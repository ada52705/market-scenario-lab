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8c9c32325843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情景汇总" sheetId="1" r:id="R204c6f82ab724762"/>
    <x:sheet xmlns:r="http://schemas.openxmlformats.org/officeDocument/2006/relationships" name="触发事件" sheetId="2" r:id="R1993bf6d82054fab"/>
    <x:sheet xmlns:r="http://schemas.openxmlformats.org/officeDocument/2006/relationships" name="月度收益" sheetId="3" r:id="Rb60912ffecfd4e8b"/>
    <x:sheet xmlns:r="http://schemas.openxmlformats.org/officeDocument/2006/relationships" name="研究口径" sheetId="4" r:id="R72353b6ba26c4e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General"/>
    <x:numFmt numFmtId="202" formatCode="0.00%"/>
    <x:numFmt numFmtId="203" formatCode="0%"/>
    <x:numFmt numFmtId="204" formatCode="0.00"/>
  </x:numFmts>
  <x:fonts count="4">
    <x:font>
      <x:sz val="11"/>
      <x:name val="Carlito"/>
    </x:font>
    <x:font>
      <x:sz val="11"/>
      <x:color rgb="FF142B40"/>
      <x:name val="Arial"/>
    </x:font>
    <x:font>
      <x:b/>
      <x:sz val="11"/>
      <x:color rgb="FFFFFFFF"/>
      <x:name val="Arial"/>
    </x:font>
    <x:font>
      <x:b/>
      <x:sz val="15"/>
      <x:color rgb="FF142B4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D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4b092eac884ea5" /><Relationship Type="http://schemas.openxmlformats.org/officeDocument/2006/relationships/theme" Target="/xl/theme/theme1.xml" Id="R06bac23aad8a45dd" /><Relationship Type="http://schemas.openxmlformats.org/officeDocument/2006/relationships/sharedStrings" Target="/xl/sharedStrings.xml" Id="R3cb248f58d9b4c96" /><Relationship Type="http://schemas.openxmlformats.org/officeDocument/2006/relationships/worksheet" Target="/xl/worksheets/sheet1.xml" Id="R204c6f82ab724762" /><Relationship Type="http://schemas.openxmlformats.org/officeDocument/2006/relationships/worksheet" Target="/xl/worksheets/sheet2.xml" Id="R1993bf6d82054fab" /><Relationship Type="http://schemas.openxmlformats.org/officeDocument/2006/relationships/worksheet" Target="/xl/worksheets/sheet3.xml" Id="Rb60912ffecfd4e8b" /><Relationship Type="http://schemas.openxmlformats.org/officeDocument/2006/relationships/worksheet" Target="/xl/worksheets/sheet4.xml" Id="R72353b6ba26c4e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5" customHeight="1">
      <x:c r="A1" s="10" t="str">
        <x:v>多指数急跌情景：四档×三种历史范围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</x:row>
    <x:row r="2" ht="42" customHeight="1">
      <x:c r="A2" s="11" t="str">
        <x:v>买入：次月首个交易日开盘；卖出：买入日加三个月后的首个交易日开盘。数据截至2026-10-09，完整触发月份截至2026-09。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</x:row>
    <x:row r="3" ht="38" customHeight="1">
      <x:c r="A3" s="11" t="str">
        <x:v>样本数、胜率、平均收益为可复核公式；中位数、回撤、重叠与盈亏比由研究引擎计算。空样本显示n.a.，观察中不计胜率分母。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34" customHeight="1">
      <x:c r="A5" s="4" t="str">
        <x:v>指数名称</x:v>
      </x:c>
      <x:c r="B5" s="4" t="str">
        <x:v>指数代码</x:v>
      </x:c>
      <x:c r="C5" s="4" t="str">
        <x:v>历史范围</x:v>
      </x:c>
      <x:c r="D5" s="4" t="str">
        <x:v>跌幅严格超过</x:v>
      </x:c>
      <x:c r="E5" s="4" t="str">
        <x:v>触发数</x:v>
      </x:c>
      <x:c r="F5" s="4" t="str">
        <x:v>完整结局</x:v>
      </x:c>
      <x:c r="G5" s="4" t="str">
        <x:v>盈利次数</x:v>
      </x:c>
      <x:c r="H5" s="4" t="str">
        <x:v>胜率</x:v>
      </x:c>
      <x:c r="I5" s="4" t="str">
        <x:v>平均持有收益</x:v>
      </x:c>
      <x:c r="J5" s="4" t="str">
        <x:v>收益中位数</x:v>
      </x:c>
      <x:c r="K5" s="4" t="str">
        <x:v>最佳收益</x:v>
      </x:c>
      <x:c r="L5" s="4" t="str">
        <x:v>最差收益</x:v>
      </x:c>
      <x:c r="M5" s="4" t="str">
        <x:v>最差最大回撤</x:v>
      </x:c>
      <x:c r="N5" s="4" t="str">
        <x:v>平均最大回撤</x:v>
      </x:c>
      <x:c r="O5" s="4" t="str">
        <x:v>重叠次数</x:v>
      </x:c>
      <x:c r="P5" s="4" t="str">
        <x:v>盈亏比</x:v>
      </x:c>
    </x:row>
    <x:row r="6" ht="25" customHeight="1">
      <x:c r="A6" s="1" t="str">
        <x:v>上证综指</x:v>
      </x:c>
      <x:c r="B6" s="1" t="str">
        <x:v>sh000001</x:v>
      </x:c>
      <x:c r="C6" s="1" t="str">
        <x:v>全历史含回溯</x:v>
      </x:c>
      <x:c r="D6" s="8" t="n">
        <x:v>0.1</x:v>
      </x:c>
      <x:c r="E6" s="1" t="n">
        <x:f>COUNTIFS('触发事件'!$A$6:$A$199,B6,'触发事件'!$E$6:$E$199,"&lt;"&amp;-D6)</x:f>
        <x:v>32</x:v>
      </x:c>
      <x:c r="F6" s="1" t="n">
        <x:f>COUNTIFS('触发事件'!$A$6:$A$199,B6,'触发事件'!$E$6:$E$199,"&lt;"&amp;-D6,'触发事件'!$M$6:$M$199,"已完成")</x:f>
        <x:v>32</x:v>
      </x:c>
      <x:c r="G6" s="1" t="n">
        <x:f>COUNTIFS('触发事件'!$A$6:$A$199,B6,'触发事件'!$E$6:$E$199,"&lt;"&amp;-D6,'触发事件'!$M$6:$M$199,"已完成",'触发事件'!$L$6:$L$199,"&gt;0")</x:f>
        <x:v>16</x:v>
      </x:c>
      <x:c r="H6" s="7" t="n">
        <x:f>IF(F6=0,"n.a.",G6/F6)</x:f>
        <x:v>0.5</x:v>
      </x:c>
      <x:c r="I6" s="7" t="n">
        <x:f>IF(F6=0,"n.a.",SUMIFS('触发事件'!$L$6:$L$199,'触发事件'!$A$6:$A$199,B6,'触发事件'!$E$6:$E$199,"&lt;"&amp;-D6,'触发事件'!$M$6:$M$199,"已完成")/F6)</x:f>
        <x:v>0.07462418715724871</x:v>
      </x:c>
      <x:c r="J6" s="7" t="n">
        <x:v>0.01101066067503409</x:v>
      </x:c>
      <x:c r="K6" s="7" t="n">
        <x:v>1.742900802241182</x:v>
      </x:c>
      <x:c r="L6" s="7" t="n">
        <x:v>-0.5348023581714507</x:v>
      </x:c>
      <x:c r="M6" s="7" t="n">
        <x:v>-0.5652115137645686</x:v>
      </x:c>
      <x:c r="N6" s="7" t="n">
        <x:v>-0.24132536070005056</x:v>
      </x:c>
      <x:c r="O6" s="1" t="n">
        <x:v>14</x:v>
      </x:c>
      <x:c r="P6" s="9" t="n">
        <x:v>1.956568137656669</x:v>
      </x:c>
    </x:row>
    <x:row r="7" ht="25" customHeight="1">
      <x:c r="A7" s="1" t="str">
        <x:v>上证综指</x:v>
      </x:c>
      <x:c r="B7" s="1" t="str">
        <x:v>sh000001</x:v>
      </x:c>
      <x:c r="C7" s="1" t="str">
        <x:v>全历史含回溯</x:v>
      </x:c>
      <x:c r="D7" s="8" t="n">
        <x:v>0.15</x:v>
      </x:c>
      <x:c r="E7" s="1" t="n">
        <x:f>COUNTIFS('触发事件'!$A$6:$A$199,B7,'触发事件'!$E$6:$E$199,"&lt;"&amp;-D7)</x:f>
        <x:v>16</x:v>
      </x:c>
      <x:c r="F7" s="1" t="n">
        <x:f>COUNTIFS('触发事件'!$A$6:$A$199,B7,'触发事件'!$E$6:$E$199,"&lt;"&amp;-D7,'触发事件'!$M$6:$M$199,"已完成")</x:f>
        <x:v>16</x:v>
      </x:c>
      <x:c r="G7" s="1" t="n">
        <x:f>COUNTIFS('触发事件'!$A$6:$A$199,B7,'触发事件'!$E$6:$E$199,"&lt;"&amp;-D7,'触发事件'!$M$6:$M$199,"已完成",'触发事件'!$L$6:$L$199,"&gt;0")</x:f>
        <x:v>7</x:v>
      </x:c>
      <x:c r="H7" s="7" t="n">
        <x:f>IF(F7=0,"n.a.",G7/F7)</x:f>
        <x:v>0.4375</x:v>
      </x:c>
      <x:c r="I7" s="7" t="n">
        <x:f>IF(F7=0,"n.a.",SUMIFS('触发事件'!$L$6:$L$199,'触发事件'!$A$6:$A$199,B7,'触发事件'!$E$6:$E$199,"&lt;"&amp;-D7,'触发事件'!$M$6:$M$199,"已完成")/F7)</x:f>
        <x:v>0.13885530023306775</x:v>
      </x:c>
      <x:c r="J7" s="7" t="n">
        <x:v>-0.07344639305298828</x:v>
      </x:c>
      <x:c r="K7" s="7" t="n">
        <x:v>1.742900802241182</x:v>
      </x:c>
      <x:c r="L7" s="7" t="n">
        <x:v>-0.26167626359564944</x:v>
      </x:c>
      <x:c r="M7" s="7" t="n">
        <x:v>-0.5241365966914966</x:v>
      </x:c>
      <x:c r="N7" s="7" t="n">
        <x:v>-0.28037524278431436</x:v>
      </x:c>
      <x:c r="O7" s="1" t="n">
        <x:v>6</x:v>
      </x:c>
      <x:c r="P7" s="9" t="n">
        <x:v>3.332048433703889</x:v>
      </x:c>
    </x:row>
    <x:row r="8" ht="25" customHeight="1">
      <x:c r="A8" s="1" t="str">
        <x:v>上证综指</x:v>
      </x:c>
      <x:c r="B8" s="1" t="str">
        <x:v>sh000001</x:v>
      </x:c>
      <x:c r="C8" s="1" t="str">
        <x:v>全历史含回溯</x:v>
      </x:c>
      <x:c r="D8" s="8" t="n">
        <x:v>0.2</x:v>
      </x:c>
      <x:c r="E8" s="1" t="n">
        <x:f>COUNTIFS('触发事件'!$A$6:$A$199,B8,'触发事件'!$E$6:$E$199,"&lt;"&amp;-D8)</x:f>
        <x:v>10</x:v>
      </x:c>
      <x:c r="F8" s="1" t="n">
        <x:f>COUNTIFS('触发事件'!$A$6:$A$199,B8,'触发事件'!$E$6:$E$199,"&lt;"&amp;-D8,'触发事件'!$M$6:$M$199,"已完成")</x:f>
        <x:v>10</x:v>
      </x:c>
      <x:c r="G8" s="1" t="n">
        <x:f>COUNTIFS('触发事件'!$A$6:$A$199,B8,'触发事件'!$E$6:$E$199,"&lt;"&amp;-D8,'触发事件'!$M$6:$M$199,"已完成",'触发事件'!$L$6:$L$199,"&gt;0")</x:f>
        <x:v>6</x:v>
      </x:c>
      <x:c r="H8" s="7" t="n">
        <x:f>IF(F8=0,"n.a.",G8/F8)</x:f>
        <x:v>0.6</x:v>
      </x:c>
      <x:c r="I8" s="7" t="n">
        <x:f>IF(F8=0,"n.a.",SUMIFS('触发事件'!$L$6:$L$199,'触发事件'!$A$6:$A$199,B8,'触发事件'!$E$6:$E$199,"&lt;"&amp;-D8,'触发事件'!$M$6:$M$199,"已完成")/F8)</x:f>
        <x:v>0.24228926582368535</x:v>
      </x:c>
      <x:c r="J8" s="7" t="n">
        <x:v>0.08131435853011793</x:v>
      </x:c>
      <x:c r="K8" s="7" t="n">
        <x:v>1.742900802241182</x:v>
      </x:c>
      <x:c r="L8" s="7" t="n">
        <x:v>-0.2074288735629528</x:v>
      </x:c>
      <x:c r="M8" s="7" t="n">
        <x:v>-0.5241365966914966</x:v>
      </x:c>
      <x:c r="N8" s="7" t="n">
        <x:v>-0.2683591551728381</x:v>
      </x:c>
      <x:c r="O8" s="1" t="n">
        <x:v>2</x:v>
      </x:c>
      <x:c r="P8" s="9" t="n">
        <x:v>3.5933152765404897</x:v>
      </x:c>
    </x:row>
    <x:row r="9" ht="25" customHeight="1">
      <x:c r="A9" s="1" t="str">
        <x:v>上证综指</x:v>
      </x:c>
      <x:c r="B9" s="1" t="str">
        <x:v>sh000001</x:v>
      </x:c>
      <x:c r="C9" s="1" t="str">
        <x:v>全历史含回溯</x:v>
      </x:c>
      <x:c r="D9" s="8" t="n">
        <x:v>0.25</x:v>
      </x:c>
      <x:c r="E9" s="1" t="n">
        <x:f>COUNTIFS('触发事件'!$A$6:$A$199,B9,'触发事件'!$E$6:$E$199,"&lt;"&amp;-D9)</x:f>
        <x:v>4</x:v>
      </x:c>
      <x:c r="F9" s="1" t="n">
        <x:f>COUNTIFS('触发事件'!$A$6:$A$199,B9,'触发事件'!$E$6:$E$199,"&lt;"&amp;-D9,'触发事件'!$M$6:$M$199,"已完成")</x:f>
        <x:v>4</x:v>
      </x:c>
      <x:c r="G9" s="1" t="n">
        <x:f>COUNTIFS('触发事件'!$A$6:$A$199,B9,'触发事件'!$E$6:$E$199,"&lt;"&amp;-D9,'触发事件'!$M$6:$M$199,"已完成",'触发事件'!$L$6:$L$199,"&gt;0")</x:f>
        <x:v>3</x:v>
      </x:c>
      <x:c r="H9" s="7" t="n">
        <x:f>IF(F9=0,"n.a.",G9/F9)</x:f>
        <x:v>0.75</x:v>
      </x:c>
      <x:c r="I9" s="7" t="n">
        <x:f>IF(F9=0,"n.a.",SUMIFS('触发事件'!$L$6:$L$199,'触发事件'!$A$6:$A$199,B9,'触发事件'!$E$6:$E$199,"&lt;"&amp;-D9,'触发事件'!$M$6:$M$199,"已完成")/F9)</x:f>
        <x:v>0.6197999873310931</x:v>
      </x:c>
      <x:c r="J9" s="7" t="n">
        <x:v>0.38839212082228747</x:v>
      </x:c>
      <x:c r="K9" s="7" t="n">
        <x:v>1.742900802241182</x:v>
      </x:c>
      <x:c r="L9" s="7" t="n">
        <x:v>-0.040485094561384716</x:v>
      </x:c>
      <x:c r="M9" s="7" t="n">
        <x:v>-0.40362081144106743</x:v>
      </x:c>
      <x:c r="N9" s="7" t="n">
        <x:v>-0.30620191860954304</x:v>
      </x:c>
      <x:c r="O9" s="1" t="n">
        <x:v>1</x:v>
      </x:c>
      <x:c r="P9" s="9" t="n">
        <x:v>20.745783694665985</x:v>
      </x:c>
    </x:row>
    <x:row r="10" ht="25" customHeight="1">
      <x:c r="A10" s="1" t="str">
        <x:v>上证综指</x:v>
      </x:c>
      <x:c r="B10" s="1" t="str">
        <x:v>sh000001</x:v>
      </x:c>
      <x:c r="C10" s="1" t="str">
        <x:v>发布后</x:v>
      </x:c>
      <x:c r="D10" s="8" t="n">
        <x:v>0.1</x:v>
      </x:c>
      <x:c r="E10" s="1" t="n">
        <x:f>COUNTIFS('触发事件'!$A$6:$A$199,B10,'触发事件'!$E$6:$E$199,"&lt;"&amp;-D10,'触发事件'!$D$6:$D$199,1)</x:f>
        <x:v>32</x:v>
      </x:c>
      <x:c r="F10" s="1" t="n">
        <x:f>COUNTIFS('触发事件'!$A$6:$A$199,B10,'触发事件'!$E$6:$E$199,"&lt;"&amp;-D10,'触发事件'!$D$6:$D$199,1,'触发事件'!$M$6:$M$199,"已完成")</x:f>
        <x:v>32</x:v>
      </x:c>
      <x:c r="G10" s="1" t="n">
        <x:f>COUNTIFS('触发事件'!$A$6:$A$199,B10,'触发事件'!$E$6:$E$199,"&lt;"&amp;-D10,'触发事件'!$D$6:$D$199,1,'触发事件'!$M$6:$M$199,"已完成",'触发事件'!$L$6:$L$199,"&gt;0")</x:f>
        <x:v>16</x:v>
      </x:c>
      <x:c r="H10" s="7" t="n">
        <x:f>IF(F10=0,"n.a.",G10/F10)</x:f>
        <x:v>0.5</x:v>
      </x:c>
      <x:c r="I10" s="7" t="n">
        <x:f>IF(F10=0,"n.a.",SUMIFS('触发事件'!$L$6:$L$199,'触发事件'!$A$6:$A$199,B10,'触发事件'!$E$6:$E$199,"&lt;"&amp;-D10,'触发事件'!$D$6:$D$199,1,'触发事件'!$M$6:$M$199,"已完成")/F10)</x:f>
        <x:v>0.07462418715724871</x:v>
      </x:c>
      <x:c r="J10" s="7" t="n">
        <x:v>0.01101066067503409</x:v>
      </x:c>
      <x:c r="K10" s="7" t="n">
        <x:v>1.742900802241182</x:v>
      </x:c>
      <x:c r="L10" s="7" t="n">
        <x:v>-0.5348023581714507</x:v>
      </x:c>
      <x:c r="M10" s="7" t="n">
        <x:v>-0.5652115137645686</x:v>
      </x:c>
      <x:c r="N10" s="7" t="n">
        <x:v>-0.24132536070005056</x:v>
      </x:c>
      <x:c r="O10" s="1" t="n">
        <x:v>14</x:v>
      </x:c>
      <x:c r="P10" s="9" t="n">
        <x:v>1.956568137656669</x:v>
      </x:c>
    </x:row>
    <x:row r="11" ht="25" customHeight="1">
      <x:c r="A11" s="1" t="str">
        <x:v>上证综指</x:v>
      </x:c>
      <x:c r="B11" s="1" t="str">
        <x:v>sh000001</x:v>
      </x:c>
      <x:c r="C11" s="1" t="str">
        <x:v>发布后</x:v>
      </x:c>
      <x:c r="D11" s="8" t="n">
        <x:v>0.15</x:v>
      </x:c>
      <x:c r="E11" s="1" t="n">
        <x:f>COUNTIFS('触发事件'!$A$6:$A$199,B11,'触发事件'!$E$6:$E$199,"&lt;"&amp;-D11,'触发事件'!$D$6:$D$199,1)</x:f>
        <x:v>16</x:v>
      </x:c>
      <x:c r="F11" s="1" t="n">
        <x:f>COUNTIFS('触发事件'!$A$6:$A$199,B11,'触发事件'!$E$6:$E$199,"&lt;"&amp;-D11,'触发事件'!$D$6:$D$199,1,'触发事件'!$M$6:$M$199,"已完成")</x:f>
        <x:v>16</x:v>
      </x:c>
      <x:c r="G11" s="1" t="n">
        <x:f>COUNTIFS('触发事件'!$A$6:$A$199,B11,'触发事件'!$E$6:$E$199,"&lt;"&amp;-D11,'触发事件'!$D$6:$D$199,1,'触发事件'!$M$6:$M$199,"已完成",'触发事件'!$L$6:$L$199,"&gt;0")</x:f>
        <x:v>7</x:v>
      </x:c>
      <x:c r="H11" s="7" t="n">
        <x:f>IF(F11=0,"n.a.",G11/F11)</x:f>
        <x:v>0.4375</x:v>
      </x:c>
      <x:c r="I11" s="7" t="n">
        <x:f>IF(F11=0,"n.a.",SUMIFS('触发事件'!$L$6:$L$199,'触发事件'!$A$6:$A$199,B11,'触发事件'!$E$6:$E$199,"&lt;"&amp;-D11,'触发事件'!$D$6:$D$199,1,'触发事件'!$M$6:$M$199,"已完成")/F11)</x:f>
        <x:v>0.13885530023306775</x:v>
      </x:c>
      <x:c r="J11" s="7" t="n">
        <x:v>-0.07344639305298828</x:v>
      </x:c>
      <x:c r="K11" s="7" t="n">
        <x:v>1.742900802241182</x:v>
      </x:c>
      <x:c r="L11" s="7" t="n">
        <x:v>-0.26167626359564944</x:v>
      </x:c>
      <x:c r="M11" s="7" t="n">
        <x:v>-0.5241365966914966</x:v>
      </x:c>
      <x:c r="N11" s="7" t="n">
        <x:v>-0.28037524278431436</x:v>
      </x:c>
      <x:c r="O11" s="1" t="n">
        <x:v>6</x:v>
      </x:c>
      <x:c r="P11" s="9" t="n">
        <x:v>3.332048433703889</x:v>
      </x:c>
    </x:row>
    <x:row r="12" ht="25" customHeight="1">
      <x:c r="A12" s="1" t="str">
        <x:v>上证综指</x:v>
      </x:c>
      <x:c r="B12" s="1" t="str">
        <x:v>sh000001</x:v>
      </x:c>
      <x:c r="C12" s="1" t="str">
        <x:v>发布后</x:v>
      </x:c>
      <x:c r="D12" s="8" t="n">
        <x:v>0.2</x:v>
      </x:c>
      <x:c r="E12" s="1" t="n">
        <x:f>COUNTIFS('触发事件'!$A$6:$A$199,B12,'触发事件'!$E$6:$E$199,"&lt;"&amp;-D12,'触发事件'!$D$6:$D$199,1)</x:f>
        <x:v>10</x:v>
      </x:c>
      <x:c r="F12" s="1" t="n">
        <x:f>COUNTIFS('触发事件'!$A$6:$A$199,B12,'触发事件'!$E$6:$E$199,"&lt;"&amp;-D12,'触发事件'!$D$6:$D$199,1,'触发事件'!$M$6:$M$199,"已完成")</x:f>
        <x:v>10</x:v>
      </x:c>
      <x:c r="G12" s="1" t="n">
        <x:f>COUNTIFS('触发事件'!$A$6:$A$199,B12,'触发事件'!$E$6:$E$199,"&lt;"&amp;-D12,'触发事件'!$D$6:$D$199,1,'触发事件'!$M$6:$M$199,"已完成",'触发事件'!$L$6:$L$199,"&gt;0")</x:f>
        <x:v>6</x:v>
      </x:c>
      <x:c r="H12" s="7" t="n">
        <x:f>IF(F12=0,"n.a.",G12/F12)</x:f>
        <x:v>0.6</x:v>
      </x:c>
      <x:c r="I12" s="7" t="n">
        <x:f>IF(F12=0,"n.a.",SUMIFS('触发事件'!$L$6:$L$199,'触发事件'!$A$6:$A$199,B12,'触发事件'!$E$6:$E$199,"&lt;"&amp;-D12,'触发事件'!$D$6:$D$199,1,'触发事件'!$M$6:$M$199,"已完成")/F12)</x:f>
        <x:v>0.24228926582368535</x:v>
      </x:c>
      <x:c r="J12" s="7" t="n">
        <x:v>0.08131435853011793</x:v>
      </x:c>
      <x:c r="K12" s="7" t="n">
        <x:v>1.742900802241182</x:v>
      </x:c>
      <x:c r="L12" s="7" t="n">
        <x:v>-0.2074288735629528</x:v>
      </x:c>
      <x:c r="M12" s="7" t="n">
        <x:v>-0.5241365966914966</x:v>
      </x:c>
      <x:c r="N12" s="7" t="n">
        <x:v>-0.2683591551728381</x:v>
      </x:c>
      <x:c r="O12" s="1" t="n">
        <x:v>2</x:v>
      </x:c>
      <x:c r="P12" s="9" t="n">
        <x:v>3.5933152765404897</x:v>
      </x:c>
    </x:row>
    <x:row r="13" ht="25" customHeight="1">
      <x:c r="A13" s="1" t="str">
        <x:v>上证综指</x:v>
      </x:c>
      <x:c r="B13" s="1" t="str">
        <x:v>sh000001</x:v>
      </x:c>
      <x:c r="C13" s="1" t="str">
        <x:v>发布后</x:v>
      </x:c>
      <x:c r="D13" s="8" t="n">
        <x:v>0.25</x:v>
      </x:c>
      <x:c r="E13" s="1" t="n">
        <x:f>COUNTIFS('触发事件'!$A$6:$A$199,B13,'触发事件'!$E$6:$E$199,"&lt;"&amp;-D13,'触发事件'!$D$6:$D$199,1)</x:f>
        <x:v>4</x:v>
      </x:c>
      <x:c r="F13" s="1" t="n">
        <x:f>COUNTIFS('触发事件'!$A$6:$A$199,B13,'触发事件'!$E$6:$E$199,"&lt;"&amp;-D13,'触发事件'!$D$6:$D$199,1,'触发事件'!$M$6:$M$199,"已完成")</x:f>
        <x:v>4</x:v>
      </x:c>
      <x:c r="G13" s="1" t="n">
        <x:f>COUNTIFS('触发事件'!$A$6:$A$199,B13,'触发事件'!$E$6:$E$199,"&lt;"&amp;-D13,'触发事件'!$D$6:$D$199,1,'触发事件'!$M$6:$M$199,"已完成",'触发事件'!$L$6:$L$199,"&gt;0")</x:f>
        <x:v>3</x:v>
      </x:c>
      <x:c r="H13" s="7" t="n">
        <x:f>IF(F13=0,"n.a.",G13/F13)</x:f>
        <x:v>0.75</x:v>
      </x:c>
      <x:c r="I13" s="7" t="n">
        <x:f>IF(F13=0,"n.a.",SUMIFS('触发事件'!$L$6:$L$199,'触发事件'!$A$6:$A$199,B13,'触发事件'!$E$6:$E$199,"&lt;"&amp;-D13,'触发事件'!$D$6:$D$199,1,'触发事件'!$M$6:$M$199,"已完成")/F13)</x:f>
        <x:v>0.6197999873310931</x:v>
      </x:c>
      <x:c r="J13" s="7" t="n">
        <x:v>0.38839212082228747</x:v>
      </x:c>
      <x:c r="K13" s="7" t="n">
        <x:v>1.742900802241182</x:v>
      </x:c>
      <x:c r="L13" s="7" t="n">
        <x:v>-0.040485094561384716</x:v>
      </x:c>
      <x:c r="M13" s="7" t="n">
        <x:v>-0.40362081144106743</x:v>
      </x:c>
      <x:c r="N13" s="7" t="n">
        <x:v>-0.30620191860954304</x:v>
      </x:c>
      <x:c r="O13" s="1" t="n">
        <x:v>1</x:v>
      </x:c>
      <x:c r="P13" s="9" t="n">
        <x:v>20.745783694665985</x:v>
      </x:c>
    </x:row>
    <x:row r="14" ht="25" customHeight="1">
      <x:c r="A14" s="1" t="str">
        <x:v>上证综指</x:v>
      </x:c>
      <x:c r="B14" s="1" t="str">
        <x:v>sh000001</x:v>
      </x:c>
      <x:c r="C14" s="1" t="str">
        <x:v>近十年含回溯</x:v>
      </x:c>
      <x:c r="D14" s="8" t="n">
        <x:v>0.1</x:v>
      </x:c>
      <x:c r="E14" s="1" t="n">
        <x:f>COUNTIFS('触发事件'!$A$6:$A$199,B14,'触发事件'!$E$6:$E$199,"&lt;"&amp;-D14,'触发事件'!$C$6:$C$199,"&gt;=2016-10")</x:f>
        <x:v>0</x:v>
      </x:c>
      <x:c r="F14" s="1" t="n">
        <x:f>COUNTIFS('触发事件'!$A$6:$A$199,B14,'触发事件'!$E$6:$E$199,"&lt;"&amp;-D14,'触发事件'!$C$6:$C$199,"&gt;=2016-10",'触发事件'!$M$6:$M$199,"已完成")</x:f>
        <x:v>0</x:v>
      </x:c>
      <x:c r="G14" s="1" t="n">
        <x:f>COUNTIFS('触发事件'!$A$6:$A$199,B14,'触发事件'!$E$6:$E$199,"&lt;"&amp;-D14,'触发事件'!$C$6:$C$199,"&gt;=2016-10",'触发事件'!$M$6:$M$199,"已完成",'触发事件'!$L$6:$L$199,"&gt;0")</x:f>
        <x:v>0</x:v>
      </x:c>
      <x:c r="H14" s="7" t="str">
        <x:f>IF(F14=0,"n.a.",G14/F14)</x:f>
        <x:v>n.a.</x:v>
      </x:c>
      <x:c r="I14" s="7" t="str">
        <x:f>IF(F14=0,"n.a.",SUMIFS('触发事件'!$L$6:$L$199,'触发事件'!$A$6:$A$199,B14,'触发事件'!$E$6:$E$199,"&lt;"&amp;-D14,'触发事件'!$C$6:$C$199,"&gt;=2016-10",'触发事件'!$M$6:$M$199,"已完成")/F14)</x:f>
        <x:v>n.a.</x:v>
      </x:c>
      <x:c r="J14" s="7"/>
      <x:c r="K14" s="7"/>
      <x:c r="L14" s="7"/>
      <x:c r="M14" s="7"/>
      <x:c r="N14" s="7"/>
      <x:c r="O14" s="1" t="n">
        <x:v>0</x:v>
      </x:c>
      <x:c r="P14" s="9"/>
    </x:row>
    <x:row r="15" ht="25" customHeight="1">
      <x:c r="A15" s="1" t="str">
        <x:v>上证综指</x:v>
      </x:c>
      <x:c r="B15" s="1" t="str">
        <x:v>sh000001</x:v>
      </x:c>
      <x:c r="C15" s="1" t="str">
        <x:v>近十年含回溯</x:v>
      </x:c>
      <x:c r="D15" s="8" t="n">
        <x:v>0.15</x:v>
      </x:c>
      <x:c r="E15" s="1" t="n">
        <x:f>COUNTIFS('触发事件'!$A$6:$A$199,B15,'触发事件'!$E$6:$E$199,"&lt;"&amp;-D15,'触发事件'!$C$6:$C$199,"&gt;=2016-10")</x:f>
        <x:v>0</x:v>
      </x:c>
      <x:c r="F15" s="1" t="n">
        <x:f>COUNTIFS('触发事件'!$A$6:$A$199,B15,'触发事件'!$E$6:$E$199,"&lt;"&amp;-D15,'触发事件'!$C$6:$C$199,"&gt;=2016-10",'触发事件'!$M$6:$M$199,"已完成")</x:f>
        <x:v>0</x:v>
      </x:c>
      <x:c r="G15" s="1" t="n">
        <x:f>COUNTIFS('触发事件'!$A$6:$A$199,B15,'触发事件'!$E$6:$E$199,"&lt;"&amp;-D15,'触发事件'!$C$6:$C$199,"&gt;=2016-10",'触发事件'!$M$6:$M$199,"已完成",'触发事件'!$L$6:$L$199,"&gt;0")</x:f>
        <x:v>0</x:v>
      </x:c>
      <x:c r="H15" s="7" t="str">
        <x:f>IF(F15=0,"n.a.",G15/F15)</x:f>
        <x:v>n.a.</x:v>
      </x:c>
      <x:c r="I15" s="7" t="str">
        <x:f>IF(F15=0,"n.a.",SUMIFS('触发事件'!$L$6:$L$199,'触发事件'!$A$6:$A$199,B15,'触发事件'!$E$6:$E$199,"&lt;"&amp;-D15,'触发事件'!$C$6:$C$199,"&gt;=2016-10",'触发事件'!$M$6:$M$199,"已完成")/F15)</x:f>
        <x:v>n.a.</x:v>
      </x:c>
      <x:c r="J15" s="7"/>
      <x:c r="K15" s="7"/>
      <x:c r="L15" s="7"/>
      <x:c r="M15" s="7"/>
      <x:c r="N15" s="7"/>
      <x:c r="O15" s="1" t="n">
        <x:v>0</x:v>
      </x:c>
      <x:c r="P15" s="9"/>
    </x:row>
    <x:row r="16" ht="25" customHeight="1">
      <x:c r="A16" s="1" t="str">
        <x:v>上证综指</x:v>
      </x:c>
      <x:c r="B16" s="1" t="str">
        <x:v>sh000001</x:v>
      </x:c>
      <x:c r="C16" s="1" t="str">
        <x:v>近十年含回溯</x:v>
      </x:c>
      <x:c r="D16" s="8" t="n">
        <x:v>0.2</x:v>
      </x:c>
      <x:c r="E16" s="1" t="n">
        <x:f>COUNTIFS('触发事件'!$A$6:$A$199,B16,'触发事件'!$E$6:$E$199,"&lt;"&amp;-D16,'触发事件'!$C$6:$C$199,"&gt;=2016-10")</x:f>
        <x:v>0</x:v>
      </x:c>
      <x:c r="F16" s="1" t="n">
        <x:f>COUNTIFS('触发事件'!$A$6:$A$199,B16,'触发事件'!$E$6:$E$199,"&lt;"&amp;-D16,'触发事件'!$C$6:$C$199,"&gt;=2016-10",'触发事件'!$M$6:$M$199,"已完成")</x:f>
        <x:v>0</x:v>
      </x:c>
      <x:c r="G16" s="1" t="n">
        <x:f>COUNTIFS('触发事件'!$A$6:$A$199,B16,'触发事件'!$E$6:$E$199,"&lt;"&amp;-D16,'触发事件'!$C$6:$C$199,"&gt;=2016-10",'触发事件'!$M$6:$M$199,"已完成",'触发事件'!$L$6:$L$199,"&gt;0")</x:f>
        <x:v>0</x:v>
      </x:c>
      <x:c r="H16" s="7" t="str">
        <x:f>IF(F16=0,"n.a.",G16/F16)</x:f>
        <x:v>n.a.</x:v>
      </x:c>
      <x:c r="I16" s="7" t="str">
        <x:f>IF(F16=0,"n.a.",SUMIFS('触发事件'!$L$6:$L$199,'触发事件'!$A$6:$A$199,B16,'触发事件'!$E$6:$E$199,"&lt;"&amp;-D16,'触发事件'!$C$6:$C$199,"&gt;=2016-10",'触发事件'!$M$6:$M$199,"已完成")/F16)</x:f>
        <x:v>n.a.</x:v>
      </x:c>
      <x:c r="J16" s="7"/>
      <x:c r="K16" s="7"/>
      <x:c r="L16" s="7"/>
      <x:c r="M16" s="7"/>
      <x:c r="N16" s="7"/>
      <x:c r="O16" s="1" t="n">
        <x:v>0</x:v>
      </x:c>
      <x:c r="P16" s="9"/>
    </x:row>
    <x:row r="17" ht="25" customHeight="1">
      <x:c r="A17" s="1" t="str">
        <x:v>上证综指</x:v>
      </x:c>
      <x:c r="B17" s="1" t="str">
        <x:v>sh000001</x:v>
      </x:c>
      <x:c r="C17" s="1" t="str">
        <x:v>近十年含回溯</x:v>
      </x:c>
      <x:c r="D17" s="8" t="n">
        <x:v>0.25</x:v>
      </x:c>
      <x:c r="E17" s="1" t="n">
        <x:f>COUNTIFS('触发事件'!$A$6:$A$199,B17,'触发事件'!$E$6:$E$199,"&lt;"&amp;-D17,'触发事件'!$C$6:$C$199,"&gt;=2016-10")</x:f>
        <x:v>0</x:v>
      </x:c>
      <x:c r="F17" s="1" t="n">
        <x:f>COUNTIFS('触发事件'!$A$6:$A$199,B17,'触发事件'!$E$6:$E$199,"&lt;"&amp;-D17,'触发事件'!$C$6:$C$199,"&gt;=2016-10",'触发事件'!$M$6:$M$199,"已完成")</x:f>
        <x:v>0</x:v>
      </x:c>
      <x:c r="G17" s="1" t="n">
        <x:f>COUNTIFS('触发事件'!$A$6:$A$199,B17,'触发事件'!$E$6:$E$199,"&lt;"&amp;-D17,'触发事件'!$C$6:$C$199,"&gt;=2016-10",'触发事件'!$M$6:$M$199,"已完成",'触发事件'!$L$6:$L$199,"&gt;0")</x:f>
        <x:v>0</x:v>
      </x:c>
      <x:c r="H17" s="7" t="str">
        <x:f>IF(F17=0,"n.a.",G17/F17)</x:f>
        <x:v>n.a.</x:v>
      </x:c>
      <x:c r="I17" s="7" t="str">
        <x:f>IF(F17=0,"n.a.",SUMIFS('触发事件'!$L$6:$L$199,'触发事件'!$A$6:$A$199,B17,'触发事件'!$E$6:$E$199,"&lt;"&amp;-D17,'触发事件'!$C$6:$C$199,"&gt;=2016-10",'触发事件'!$M$6:$M$199,"已完成")/F17)</x:f>
        <x:v>n.a.</x:v>
      </x:c>
      <x:c r="J17" s="7"/>
      <x:c r="K17" s="7"/>
      <x:c r="L17" s="7"/>
      <x:c r="M17" s="7"/>
      <x:c r="N17" s="7"/>
      <x:c r="O17" s="1" t="n">
        <x:v>0</x:v>
      </x:c>
      <x:c r="P17" s="9"/>
    </x:row>
    <x:row r="18" ht="25" customHeight="1">
      <x:c r="A18" s="1" t="str">
        <x:v>沪深300</x:v>
      </x:c>
      <x:c r="B18" s="1" t="str">
        <x:v>sh000300</x:v>
      </x:c>
      <x:c r="C18" s="1" t="str">
        <x:v>全历史含回溯</x:v>
      </x:c>
      <x:c r="D18" s="8" t="n">
        <x:v>0.1</x:v>
      </x:c>
      <x:c r="E18" s="1" t="n">
        <x:f>COUNTIFS('触发事件'!$A$6:$A$199,B18,'触发事件'!$E$6:$E$199,"&lt;"&amp;-D18)</x:f>
        <x:v>12</x:v>
      </x:c>
      <x:c r="F18" s="1" t="n">
        <x:f>COUNTIFS('触发事件'!$A$6:$A$199,B18,'触发事件'!$E$6:$E$199,"&lt;"&amp;-D18,'触发事件'!$M$6:$M$199,"已完成")</x:f>
        <x:v>12</x:v>
      </x:c>
      <x:c r="G18" s="1" t="n">
        <x:f>COUNTIFS('触发事件'!$A$6:$A$199,B18,'触发事件'!$E$6:$E$199,"&lt;"&amp;-D18,'触发事件'!$M$6:$M$199,"已完成",'触发事件'!$L$6:$L$199,"&gt;0")</x:f>
        <x:v>5</x:v>
      </x:c>
      <x:c r="H18" s="7" t="n">
        <x:f>IF(F18=0,"n.a.",G18/F18)</x:f>
        <x:v>0.4166666666666667</x:v>
      </x:c>
      <x:c r="I18" s="7" t="n">
        <x:f>IF(F18=0,"n.a.",SUMIFS('触发事件'!$L$6:$L$199,'触发事件'!$A$6:$A$199,B18,'触发事件'!$E$6:$E$199,"&lt;"&amp;-D18,'触发事件'!$M$6:$M$199,"已完成")/F18)</x:f>
        <x:v>-0.019005448581561002</x:v>
      </x:c>
      <x:c r="J18" s="7" t="n">
        <x:v>-0.037150438573330447</x:v>
      </x:c>
      <x:c r="K18" s="7" t="n">
        <x:v>0.250654286916401</x:v>
      </x:c>
      <x:c r="L18" s="7" t="n">
        <x:v>-0.25873944394865833</x:v>
      </x:c>
      <x:c r="M18" s="7" t="n">
        <x:v>-0.3711747088848574</x:v>
      </x:c>
      <x:c r="N18" s="7" t="n">
        <x:v>-0.1994631897197038</x:v>
      </x:c>
      <x:c r="O18" s="1" t="n">
        <x:v>5</x:v>
      </x:c>
      <x:c r="P18" s="9" t="n">
        <x:v>1.0749832548029792</x:v>
      </x:c>
    </x:row>
    <x:row r="19" ht="25" customHeight="1">
      <x:c r="A19" s="1" t="str">
        <x:v>沪深300</x:v>
      </x:c>
      <x:c r="B19" s="1" t="str">
        <x:v>sh000300</x:v>
      </x:c>
      <x:c r="C19" s="1" t="str">
        <x:v>全历史含回溯</x:v>
      </x:c>
      <x:c r="D19" s="8" t="n">
        <x:v>0.15</x:v>
      </x:c>
      <x:c r="E19" s="1" t="n">
        <x:f>COUNTIFS('触发事件'!$A$6:$A$199,B19,'触发事件'!$E$6:$E$199,"&lt;"&amp;-D19)</x:f>
        <x:v>7</x:v>
      </x:c>
      <x:c r="F19" s="1" t="n">
        <x:f>COUNTIFS('触发事件'!$A$6:$A$199,B19,'触发事件'!$E$6:$E$199,"&lt;"&amp;-D19,'触发事件'!$M$6:$M$199,"已完成")</x:f>
        <x:v>7</x:v>
      </x:c>
      <x:c r="G19" s="1" t="n">
        <x:f>COUNTIFS('触发事件'!$A$6:$A$199,B19,'触发事件'!$E$6:$E$199,"&lt;"&amp;-D19,'触发事件'!$M$6:$M$199,"已完成",'触发事件'!$L$6:$L$199,"&gt;0")</x:f>
        <x:v>4</x:v>
      </x:c>
      <x:c r="H19" s="7" t="n">
        <x:f>IF(F19=0,"n.a.",G19/F19)</x:f>
        <x:v>0.5714285714285714</x:v>
      </x:c>
      <x:c r="I19" s="7" t="n">
        <x:f>IF(F19=0,"n.a.",SUMIFS('触发事件'!$L$6:$L$199,'触发事件'!$A$6:$A$199,B19,'触发事件'!$E$6:$E$199,"&lt;"&amp;-D19,'触发事件'!$M$6:$M$199,"已完成")/F19)</x:f>
        <x:v>0.02702841728790368</x:v>
      </x:c>
      <x:c r="J19" s="7" t="n">
        <x:v>0.075119766998748</x:v>
      </x:c>
      <x:c r="K19" s="7" t="n">
        <x:v>0.250654286916401</x:v>
      </x:c>
      <x:c r="L19" s="7" t="n">
        <x:v>-0.25873944394865833</x:v>
      </x:c>
      <x:c r="M19" s="7" t="n">
        <x:v>-0.3711747088848574</x:v>
      </x:c>
      <x:c r="N19" s="7" t="n">
        <x:v>-0.18278524533168716</x:v>
      </x:c>
      <x:c r="O19" s="1" t="n">
        <x:v>0</x:v>
      </x:c>
      <x:c r="P19" s="9" t="n">
        <x:v>1.0428815940463754</x:v>
      </x:c>
    </x:row>
    <x:row r="20" ht="25" customHeight="1">
      <x:c r="A20" s="1" t="str">
        <x:v>沪深300</x:v>
      </x:c>
      <x:c r="B20" s="1" t="str">
        <x:v>sh000300</x:v>
      </x:c>
      <x:c r="C20" s="1" t="str">
        <x:v>全历史含回溯</x:v>
      </x:c>
      <x:c r="D20" s="8" t="n">
        <x:v>0.2</x:v>
      </x:c>
      <x:c r="E20" s="1" t="n">
        <x:f>COUNTIFS('触发事件'!$A$6:$A$199,B20,'触发事件'!$E$6:$E$199,"&lt;"&amp;-D20)</x:f>
        <x:v>4</x:v>
      </x:c>
      <x:c r="F20" s="1" t="n">
        <x:f>COUNTIFS('触发事件'!$A$6:$A$199,B20,'触发事件'!$E$6:$E$199,"&lt;"&amp;-D20,'触发事件'!$M$6:$M$199,"已完成")</x:f>
        <x:v>4</x:v>
      </x:c>
      <x:c r="G20" s="1" t="n">
        <x:f>COUNTIFS('触发事件'!$A$6:$A$199,B20,'触发事件'!$E$6:$E$199,"&lt;"&amp;-D20,'触发事件'!$M$6:$M$199,"已完成",'触发事件'!$L$6:$L$199,"&gt;0")</x:f>
        <x:v>3</x:v>
      </x:c>
      <x:c r="H20" s="7" t="n">
        <x:f>IF(F20=0,"n.a.",G20/F20)</x:f>
        <x:v>0.75</x:v>
      </x:c>
      <x:c r="I20" s="7" t="n">
        <x:f>IF(F20=0,"n.a.",SUMIFS('触发事件'!$L$6:$L$199,'触发事件'!$A$6:$A$199,B20,'触发事件'!$E$6:$E$199,"&lt;"&amp;-D20,'触发事件'!$M$6:$M$199,"已完成")/F20)</x:f>
        <x:v>0.09042267983253743</x:v>
      </x:c>
      <x:c r="J20" s="7" t="n">
        <x:v>0.16137703301167572</x:v>
      </x:c>
      <x:c r="K20" s="7" t="n">
        <x:v>0.250654286916401</x:v>
      </x:c>
      <x:c r="L20" s="7" t="n">
        <x:v>-0.21171763360960272</x:v>
      </x:c>
      <x:c r="M20" s="7" t="n">
        <x:v>-0.3711747088848574</x:v>
      </x:c>
      <x:c r="N20" s="7" t="n">
        <x:v>-0.17156548490757312</x:v>
      </x:c>
      <x:c r="O20" s="1" t="n">
        <x:v>0</x:v>
      </x:c>
      <x:c r="P20" s="9" t="n">
        <x:v>0.9027878990893602</x:v>
      </x:c>
    </x:row>
    <x:row r="21" ht="25" customHeight="1">
      <x:c r="A21" s="1" t="str">
        <x:v>沪深300</x:v>
      </x:c>
      <x:c r="B21" s="1" t="str">
        <x:v>sh000300</x:v>
      </x:c>
      <x:c r="C21" s="1" t="str">
        <x:v>全历史含回溯</x:v>
      </x:c>
      <x:c r="D21" s="8" t="n">
        <x:v>0.25</x:v>
      </x:c>
      <x:c r="E21" s="1" t="n">
        <x:f>COUNTIFS('触发事件'!$A$6:$A$199,B21,'触发事件'!$E$6:$E$199,"&lt;"&amp;-D21)</x:f>
        <x:v>1</x:v>
      </x:c>
      <x:c r="F21" s="1" t="n">
        <x:f>COUNTIFS('触发事件'!$A$6:$A$199,B21,'触发事件'!$E$6:$E$199,"&lt;"&amp;-D21,'触发事件'!$M$6:$M$199,"已完成")</x:f>
        <x:v>1</x:v>
      </x:c>
      <x:c r="G21" s="1" t="n">
        <x:f>COUNTIFS('触发事件'!$A$6:$A$199,B21,'触发事件'!$E$6:$E$199,"&lt;"&amp;-D21,'触发事件'!$M$6:$M$199,"已完成",'触发事件'!$L$6:$L$199,"&gt;0")</x:f>
        <x:v>1</x:v>
      </x:c>
      <x:c r="H21" s="7" t="n">
        <x:f>IF(F21=0,"n.a.",G21/F21)</x:f>
        <x:v>1</x:v>
      </x:c>
      <x:c r="I21" s="7" t="n">
        <x:f>IF(F21=0,"n.a.",SUMIFS('触发事件'!$L$6:$L$199,'触发事件'!$A$6:$A$199,B21,'触发事件'!$E$6:$E$199,"&lt;"&amp;-D21,'触发事件'!$M$6:$M$199,"已完成")/F21)</x:f>
        <x:v>0.24763429902460343</x:v>
      </x:c>
      <x:c r="J21" s="7" t="n">
        <x:v>0.24763429902460343</x:v>
      </x:c>
      <x:c r="K21" s="7" t="n">
        <x:v>0.24763429902460343</x:v>
      </x:c>
      <x:c r="L21" s="7" t="n">
        <x:v>0.24763429902460343</x:v>
      </x:c>
      <x:c r="M21" s="7" t="n">
        <x:v>-0.13292851043937426</x:v>
      </x:c>
      <x:c r="N21" s="7" t="n">
        <x:v>-0.13292851043937426</x:v>
      </x:c>
      <x:c r="O21" s="1" t="n">
        <x:v>0</x:v>
      </x:c>
      <x:c r="P21" s="9"/>
    </x:row>
    <x:row r="22" ht="25" customHeight="1">
      <x:c r="A22" s="1" t="str">
        <x:v>沪深300</x:v>
      </x:c>
      <x:c r="B22" s="1" t="str">
        <x:v>sh000300</x:v>
      </x:c>
      <x:c r="C22" s="1" t="str">
        <x:v>发布后</x:v>
      </x:c>
      <x:c r="D22" s="8" t="n">
        <x:v>0.1</x:v>
      </x:c>
      <x:c r="E22" s="1" t="n">
        <x:f>COUNTIFS('触发事件'!$A$6:$A$199,B22,'触发事件'!$E$6:$E$199,"&lt;"&amp;-D22,'触发事件'!$D$6:$D$199,1)</x:f>
        <x:v>12</x:v>
      </x:c>
      <x:c r="F22" s="1" t="n">
        <x:f>COUNTIFS('触发事件'!$A$6:$A$199,B22,'触发事件'!$E$6:$E$199,"&lt;"&amp;-D22,'触发事件'!$D$6:$D$199,1,'触发事件'!$M$6:$M$199,"已完成")</x:f>
        <x:v>12</x:v>
      </x:c>
      <x:c r="G22" s="1" t="n">
        <x:f>COUNTIFS('触发事件'!$A$6:$A$199,B22,'触发事件'!$E$6:$E$199,"&lt;"&amp;-D22,'触发事件'!$D$6:$D$199,1,'触发事件'!$M$6:$M$199,"已完成",'触发事件'!$L$6:$L$199,"&gt;0")</x:f>
        <x:v>5</x:v>
      </x:c>
      <x:c r="H22" s="7" t="n">
        <x:f>IF(F22=0,"n.a.",G22/F22)</x:f>
        <x:v>0.4166666666666667</x:v>
      </x:c>
      <x:c r="I22" s="7" t="n">
        <x:f>IF(F22=0,"n.a.",SUMIFS('触发事件'!$L$6:$L$199,'触发事件'!$A$6:$A$199,B22,'触发事件'!$E$6:$E$199,"&lt;"&amp;-D22,'触发事件'!$D$6:$D$199,1,'触发事件'!$M$6:$M$199,"已完成")/F22)</x:f>
        <x:v>-0.019005448581561002</x:v>
      </x:c>
      <x:c r="J22" s="7" t="n">
        <x:v>-0.037150438573330447</x:v>
      </x:c>
      <x:c r="K22" s="7" t="n">
        <x:v>0.250654286916401</x:v>
      </x:c>
      <x:c r="L22" s="7" t="n">
        <x:v>-0.25873944394865833</x:v>
      </x:c>
      <x:c r="M22" s="7" t="n">
        <x:v>-0.3711747088848574</x:v>
      </x:c>
      <x:c r="N22" s="7" t="n">
        <x:v>-0.1994631897197038</x:v>
      </x:c>
      <x:c r="O22" s="1" t="n">
        <x:v>5</x:v>
      </x:c>
      <x:c r="P22" s="9" t="n">
        <x:v>1.0749832548029792</x:v>
      </x:c>
    </x:row>
    <x:row r="23" ht="25" customHeight="1">
      <x:c r="A23" s="1" t="str">
        <x:v>沪深300</x:v>
      </x:c>
      <x:c r="B23" s="1" t="str">
        <x:v>sh000300</x:v>
      </x:c>
      <x:c r="C23" s="1" t="str">
        <x:v>发布后</x:v>
      </x:c>
      <x:c r="D23" s="8" t="n">
        <x:v>0.15</x:v>
      </x:c>
      <x:c r="E23" s="1" t="n">
        <x:f>COUNTIFS('触发事件'!$A$6:$A$199,B23,'触发事件'!$E$6:$E$199,"&lt;"&amp;-D23,'触发事件'!$D$6:$D$199,1)</x:f>
        <x:v>7</x:v>
      </x:c>
      <x:c r="F23" s="1" t="n">
        <x:f>COUNTIFS('触发事件'!$A$6:$A$199,B23,'触发事件'!$E$6:$E$199,"&lt;"&amp;-D23,'触发事件'!$D$6:$D$199,1,'触发事件'!$M$6:$M$199,"已完成")</x:f>
        <x:v>7</x:v>
      </x:c>
      <x:c r="G23" s="1" t="n">
        <x:f>COUNTIFS('触发事件'!$A$6:$A$199,B23,'触发事件'!$E$6:$E$199,"&lt;"&amp;-D23,'触发事件'!$D$6:$D$199,1,'触发事件'!$M$6:$M$199,"已完成",'触发事件'!$L$6:$L$199,"&gt;0")</x:f>
        <x:v>4</x:v>
      </x:c>
      <x:c r="H23" s="7" t="n">
        <x:f>IF(F23=0,"n.a.",G23/F23)</x:f>
        <x:v>0.5714285714285714</x:v>
      </x:c>
      <x:c r="I23" s="7" t="n">
        <x:f>IF(F23=0,"n.a.",SUMIFS('触发事件'!$L$6:$L$199,'触发事件'!$A$6:$A$199,B23,'触发事件'!$E$6:$E$199,"&lt;"&amp;-D23,'触发事件'!$D$6:$D$199,1,'触发事件'!$M$6:$M$199,"已完成")/F23)</x:f>
        <x:v>0.02702841728790368</x:v>
      </x:c>
      <x:c r="J23" s="7" t="n">
        <x:v>0.075119766998748</x:v>
      </x:c>
      <x:c r="K23" s="7" t="n">
        <x:v>0.250654286916401</x:v>
      </x:c>
      <x:c r="L23" s="7" t="n">
        <x:v>-0.25873944394865833</x:v>
      </x:c>
      <x:c r="M23" s="7" t="n">
        <x:v>-0.3711747088848574</x:v>
      </x:c>
      <x:c r="N23" s="7" t="n">
        <x:v>-0.18278524533168716</x:v>
      </x:c>
      <x:c r="O23" s="1" t="n">
        <x:v>0</x:v>
      </x:c>
      <x:c r="P23" s="9" t="n">
        <x:v>1.0428815940463754</x:v>
      </x:c>
    </x:row>
    <x:row r="24" ht="25" customHeight="1">
      <x:c r="A24" s="1" t="str">
        <x:v>沪深300</x:v>
      </x:c>
      <x:c r="B24" s="1" t="str">
        <x:v>sh000300</x:v>
      </x:c>
      <x:c r="C24" s="1" t="str">
        <x:v>发布后</x:v>
      </x:c>
      <x:c r="D24" s="8" t="n">
        <x:v>0.2</x:v>
      </x:c>
      <x:c r="E24" s="1" t="n">
        <x:f>COUNTIFS('触发事件'!$A$6:$A$199,B24,'触发事件'!$E$6:$E$199,"&lt;"&amp;-D24,'触发事件'!$D$6:$D$199,1)</x:f>
        <x:v>4</x:v>
      </x:c>
      <x:c r="F24" s="1" t="n">
        <x:f>COUNTIFS('触发事件'!$A$6:$A$199,B24,'触发事件'!$E$6:$E$199,"&lt;"&amp;-D24,'触发事件'!$D$6:$D$199,1,'触发事件'!$M$6:$M$199,"已完成")</x:f>
        <x:v>4</x:v>
      </x:c>
      <x:c r="G24" s="1" t="n">
        <x:f>COUNTIFS('触发事件'!$A$6:$A$199,B24,'触发事件'!$E$6:$E$199,"&lt;"&amp;-D24,'触发事件'!$D$6:$D$199,1,'触发事件'!$M$6:$M$199,"已完成",'触发事件'!$L$6:$L$199,"&gt;0")</x:f>
        <x:v>3</x:v>
      </x:c>
      <x:c r="H24" s="7" t="n">
        <x:f>IF(F24=0,"n.a.",G24/F24)</x:f>
        <x:v>0.75</x:v>
      </x:c>
      <x:c r="I24" s="7" t="n">
        <x:f>IF(F24=0,"n.a.",SUMIFS('触发事件'!$L$6:$L$199,'触发事件'!$A$6:$A$199,B24,'触发事件'!$E$6:$E$199,"&lt;"&amp;-D24,'触发事件'!$D$6:$D$199,1,'触发事件'!$M$6:$M$199,"已完成")/F24)</x:f>
        <x:v>0.09042267983253743</x:v>
      </x:c>
      <x:c r="J24" s="7" t="n">
        <x:v>0.16137703301167572</x:v>
      </x:c>
      <x:c r="K24" s="7" t="n">
        <x:v>0.250654286916401</x:v>
      </x:c>
      <x:c r="L24" s="7" t="n">
        <x:v>-0.21171763360960272</x:v>
      </x:c>
      <x:c r="M24" s="7" t="n">
        <x:v>-0.3711747088848574</x:v>
      </x:c>
      <x:c r="N24" s="7" t="n">
        <x:v>-0.17156548490757312</x:v>
      </x:c>
      <x:c r="O24" s="1" t="n">
        <x:v>0</x:v>
      </x:c>
      <x:c r="P24" s="9" t="n">
        <x:v>0.9027878990893602</x:v>
      </x:c>
    </x:row>
    <x:row r="25" ht="25" customHeight="1">
      <x:c r="A25" s="1" t="str">
        <x:v>沪深300</x:v>
      </x:c>
      <x:c r="B25" s="1" t="str">
        <x:v>sh000300</x:v>
      </x:c>
      <x:c r="C25" s="1" t="str">
        <x:v>发布后</x:v>
      </x:c>
      <x:c r="D25" s="8" t="n">
        <x:v>0.25</x:v>
      </x:c>
      <x:c r="E25" s="1" t="n">
        <x:f>COUNTIFS('触发事件'!$A$6:$A$199,B25,'触发事件'!$E$6:$E$199,"&lt;"&amp;-D25,'触发事件'!$D$6:$D$199,1)</x:f>
        <x:v>1</x:v>
      </x:c>
      <x:c r="F25" s="1" t="n">
        <x:f>COUNTIFS('触发事件'!$A$6:$A$199,B25,'触发事件'!$E$6:$E$199,"&lt;"&amp;-D25,'触发事件'!$D$6:$D$199,1,'触发事件'!$M$6:$M$199,"已完成")</x:f>
        <x:v>1</x:v>
      </x:c>
      <x:c r="G25" s="1" t="n">
        <x:f>COUNTIFS('触发事件'!$A$6:$A$199,B25,'触发事件'!$E$6:$E$199,"&lt;"&amp;-D25,'触发事件'!$D$6:$D$199,1,'触发事件'!$M$6:$M$199,"已完成",'触发事件'!$L$6:$L$199,"&gt;0")</x:f>
        <x:v>1</x:v>
      </x:c>
      <x:c r="H25" s="7" t="n">
        <x:f>IF(F25=0,"n.a.",G25/F25)</x:f>
        <x:v>1</x:v>
      </x:c>
      <x:c r="I25" s="7" t="n">
        <x:f>IF(F25=0,"n.a.",SUMIFS('触发事件'!$L$6:$L$199,'触发事件'!$A$6:$A$199,B25,'触发事件'!$E$6:$E$199,"&lt;"&amp;-D25,'触发事件'!$D$6:$D$199,1,'触发事件'!$M$6:$M$199,"已完成")/F25)</x:f>
        <x:v>0.24763429902460343</x:v>
      </x:c>
      <x:c r="J25" s="7" t="n">
        <x:v>0.24763429902460343</x:v>
      </x:c>
      <x:c r="K25" s="7" t="n">
        <x:v>0.24763429902460343</x:v>
      </x:c>
      <x:c r="L25" s="7" t="n">
        <x:v>0.24763429902460343</x:v>
      </x:c>
      <x:c r="M25" s="7" t="n">
        <x:v>-0.13292851043937426</x:v>
      </x:c>
      <x:c r="N25" s="7" t="n">
        <x:v>-0.13292851043937426</x:v>
      </x:c>
      <x:c r="O25" s="1" t="n">
        <x:v>0</x:v>
      </x:c>
      <x:c r="P25" s="9"/>
    </x:row>
    <x:row r="26" ht="25" customHeight="1">
      <x:c r="A26" s="1" t="str">
        <x:v>沪深300</x:v>
      </x:c>
      <x:c r="B26" s="1" t="str">
        <x:v>sh000300</x:v>
      </x:c>
      <x:c r="C26" s="1" t="str">
        <x:v>近十年含回溯</x:v>
      </x:c>
      <x:c r="D26" s="8" t="n">
        <x:v>0.1</x:v>
      </x:c>
      <x:c r="E26" s="1" t="n">
        <x:f>COUNTIFS('触发事件'!$A$6:$A$199,B26,'触发事件'!$E$6:$E$199,"&lt;"&amp;-D26,'触发事件'!$C$6:$C$199,"&gt;=2016-10")</x:f>
        <x:v>0</x:v>
      </x:c>
      <x:c r="F26" s="1" t="n">
        <x:f>COUNTIFS('触发事件'!$A$6:$A$199,B26,'触发事件'!$E$6:$E$199,"&lt;"&amp;-D26,'触发事件'!$C$6:$C$199,"&gt;=2016-10",'触发事件'!$M$6:$M$199,"已完成")</x:f>
        <x:v>0</x:v>
      </x:c>
      <x:c r="G26" s="1" t="n">
        <x:f>COUNTIFS('触发事件'!$A$6:$A$199,B26,'触发事件'!$E$6:$E$199,"&lt;"&amp;-D26,'触发事件'!$C$6:$C$199,"&gt;=2016-10",'触发事件'!$M$6:$M$199,"已完成",'触发事件'!$L$6:$L$199,"&gt;0")</x:f>
        <x:v>0</x:v>
      </x:c>
      <x:c r="H26" s="7" t="str">
        <x:f>IF(F26=0,"n.a.",G26/F26)</x:f>
        <x:v>n.a.</x:v>
      </x:c>
      <x:c r="I26" s="7" t="str">
        <x:f>IF(F26=0,"n.a.",SUMIFS('触发事件'!$L$6:$L$199,'触发事件'!$A$6:$A$199,B26,'触发事件'!$E$6:$E$199,"&lt;"&amp;-D26,'触发事件'!$C$6:$C$199,"&gt;=2016-10",'触发事件'!$M$6:$M$199,"已完成")/F26)</x:f>
        <x:v>n.a.</x:v>
      </x:c>
      <x:c r="J26" s="7"/>
      <x:c r="K26" s="7"/>
      <x:c r="L26" s="7"/>
      <x:c r="M26" s="7"/>
      <x:c r="N26" s="7"/>
      <x:c r="O26" s="1" t="n">
        <x:v>0</x:v>
      </x:c>
      <x:c r="P26" s="9"/>
    </x:row>
    <x:row r="27" ht="25" customHeight="1">
      <x:c r="A27" s="1" t="str">
        <x:v>沪深300</x:v>
      </x:c>
      <x:c r="B27" s="1" t="str">
        <x:v>sh000300</x:v>
      </x:c>
      <x:c r="C27" s="1" t="str">
        <x:v>近十年含回溯</x:v>
      </x:c>
      <x:c r="D27" s="8" t="n">
        <x:v>0.15</x:v>
      </x:c>
      <x:c r="E27" s="1" t="n">
        <x:f>COUNTIFS('触发事件'!$A$6:$A$199,B27,'触发事件'!$E$6:$E$199,"&lt;"&amp;-D27,'触发事件'!$C$6:$C$199,"&gt;=2016-10")</x:f>
        <x:v>0</x:v>
      </x:c>
      <x:c r="F27" s="1" t="n">
        <x:f>COUNTIFS('触发事件'!$A$6:$A$199,B27,'触发事件'!$E$6:$E$199,"&lt;"&amp;-D27,'触发事件'!$C$6:$C$199,"&gt;=2016-10",'触发事件'!$M$6:$M$199,"已完成")</x:f>
        <x:v>0</x:v>
      </x:c>
      <x:c r="G27" s="1" t="n">
        <x:f>COUNTIFS('触发事件'!$A$6:$A$199,B27,'触发事件'!$E$6:$E$199,"&lt;"&amp;-D27,'触发事件'!$C$6:$C$199,"&gt;=2016-10",'触发事件'!$M$6:$M$199,"已完成",'触发事件'!$L$6:$L$199,"&gt;0")</x:f>
        <x:v>0</x:v>
      </x:c>
      <x:c r="H27" s="7" t="str">
        <x:f>IF(F27=0,"n.a.",G27/F27)</x:f>
        <x:v>n.a.</x:v>
      </x:c>
      <x:c r="I27" s="7" t="str">
        <x:f>IF(F27=0,"n.a.",SUMIFS('触发事件'!$L$6:$L$199,'触发事件'!$A$6:$A$199,B27,'触发事件'!$E$6:$E$199,"&lt;"&amp;-D27,'触发事件'!$C$6:$C$199,"&gt;=2016-10",'触发事件'!$M$6:$M$199,"已完成")/F27)</x:f>
        <x:v>n.a.</x:v>
      </x:c>
      <x:c r="J27" s="7"/>
      <x:c r="K27" s="7"/>
      <x:c r="L27" s="7"/>
      <x:c r="M27" s="7"/>
      <x:c r="N27" s="7"/>
      <x:c r="O27" s="1" t="n">
        <x:v>0</x:v>
      </x:c>
      <x:c r="P27" s="9"/>
    </x:row>
    <x:row r="28" ht="25" customHeight="1">
      <x:c r="A28" s="1" t="str">
        <x:v>沪深300</x:v>
      </x:c>
      <x:c r="B28" s="1" t="str">
        <x:v>sh000300</x:v>
      </x:c>
      <x:c r="C28" s="1" t="str">
        <x:v>近十年含回溯</x:v>
      </x:c>
      <x:c r="D28" s="8" t="n">
        <x:v>0.2</x:v>
      </x:c>
      <x:c r="E28" s="1" t="n">
        <x:f>COUNTIFS('触发事件'!$A$6:$A$199,B28,'触发事件'!$E$6:$E$199,"&lt;"&amp;-D28,'触发事件'!$C$6:$C$199,"&gt;=2016-10")</x:f>
        <x:v>0</x:v>
      </x:c>
      <x:c r="F28" s="1" t="n">
        <x:f>COUNTIFS('触发事件'!$A$6:$A$199,B28,'触发事件'!$E$6:$E$199,"&lt;"&amp;-D28,'触发事件'!$C$6:$C$199,"&gt;=2016-10",'触发事件'!$M$6:$M$199,"已完成")</x:f>
        <x:v>0</x:v>
      </x:c>
      <x:c r="G28" s="1" t="n">
        <x:f>COUNTIFS('触发事件'!$A$6:$A$199,B28,'触发事件'!$E$6:$E$199,"&lt;"&amp;-D28,'触发事件'!$C$6:$C$199,"&gt;=2016-10",'触发事件'!$M$6:$M$199,"已完成",'触发事件'!$L$6:$L$199,"&gt;0")</x:f>
        <x:v>0</x:v>
      </x:c>
      <x:c r="H28" s="7" t="str">
        <x:f>IF(F28=0,"n.a.",G28/F28)</x:f>
        <x:v>n.a.</x:v>
      </x:c>
      <x:c r="I28" s="7" t="str">
        <x:f>IF(F28=0,"n.a.",SUMIFS('触发事件'!$L$6:$L$199,'触发事件'!$A$6:$A$199,B28,'触发事件'!$E$6:$E$199,"&lt;"&amp;-D28,'触发事件'!$C$6:$C$199,"&gt;=2016-10",'触发事件'!$M$6:$M$199,"已完成")/F28)</x:f>
        <x:v>n.a.</x:v>
      </x:c>
      <x:c r="J28" s="7"/>
      <x:c r="K28" s="7"/>
      <x:c r="L28" s="7"/>
      <x:c r="M28" s="7"/>
      <x:c r="N28" s="7"/>
      <x:c r="O28" s="1" t="n">
        <x:v>0</x:v>
      </x:c>
      <x:c r="P28" s="9"/>
    </x:row>
    <x:row r="29" ht="25" customHeight="1">
      <x:c r="A29" s="1" t="str">
        <x:v>沪深300</x:v>
      </x:c>
      <x:c r="B29" s="1" t="str">
        <x:v>sh000300</x:v>
      </x:c>
      <x:c r="C29" s="1" t="str">
        <x:v>近十年含回溯</x:v>
      </x:c>
      <x:c r="D29" s="8" t="n">
        <x:v>0.25</x:v>
      </x:c>
      <x:c r="E29" s="1" t="n">
        <x:f>COUNTIFS('触发事件'!$A$6:$A$199,B29,'触发事件'!$E$6:$E$199,"&lt;"&amp;-D29,'触发事件'!$C$6:$C$199,"&gt;=2016-10")</x:f>
        <x:v>0</x:v>
      </x:c>
      <x:c r="F29" s="1" t="n">
        <x:f>COUNTIFS('触发事件'!$A$6:$A$199,B29,'触发事件'!$E$6:$E$199,"&lt;"&amp;-D29,'触发事件'!$C$6:$C$199,"&gt;=2016-10",'触发事件'!$M$6:$M$199,"已完成")</x:f>
        <x:v>0</x:v>
      </x:c>
      <x:c r="G29" s="1" t="n">
        <x:f>COUNTIFS('触发事件'!$A$6:$A$199,B29,'触发事件'!$E$6:$E$199,"&lt;"&amp;-D29,'触发事件'!$C$6:$C$199,"&gt;=2016-10",'触发事件'!$M$6:$M$199,"已完成",'触发事件'!$L$6:$L$199,"&gt;0")</x:f>
        <x:v>0</x:v>
      </x:c>
      <x:c r="H29" s="7" t="str">
        <x:f>IF(F29=0,"n.a.",G29/F29)</x:f>
        <x:v>n.a.</x:v>
      </x:c>
      <x:c r="I29" s="7" t="str">
        <x:f>IF(F29=0,"n.a.",SUMIFS('触发事件'!$L$6:$L$199,'触发事件'!$A$6:$A$199,B29,'触发事件'!$E$6:$E$199,"&lt;"&amp;-D29,'触发事件'!$C$6:$C$199,"&gt;=2016-10",'触发事件'!$M$6:$M$199,"已完成")/F29)</x:f>
        <x:v>n.a.</x:v>
      </x:c>
      <x:c r="J29" s="7"/>
      <x:c r="K29" s="7"/>
      <x:c r="L29" s="7"/>
      <x:c r="M29" s="7"/>
      <x:c r="N29" s="7"/>
      <x:c r="O29" s="1" t="n">
        <x:v>0</x:v>
      </x:c>
      <x:c r="P29" s="9"/>
    </x:row>
    <x:row r="30" ht="25" customHeight="1">
      <x:c r="A30" s="1" t="str">
        <x:v>中证500</x:v>
      </x:c>
      <x:c r="B30" s="1" t="str">
        <x:v>sh000905</x:v>
      </x:c>
      <x:c r="C30" s="1" t="str">
        <x:v>全历史含回溯</x:v>
      </x:c>
      <x:c r="D30" s="8" t="n">
        <x:v>0.1</x:v>
      </x:c>
      <x:c r="E30" s="1" t="n">
        <x:f>COUNTIFS('触发事件'!$A$6:$A$199,B30,'触发事件'!$E$6:$E$199,"&lt;"&amp;-D30)</x:f>
        <x:v>23</x:v>
      </x:c>
      <x:c r="F30" s="1" t="n">
        <x:f>COUNTIFS('触发事件'!$A$6:$A$199,B30,'触发事件'!$E$6:$E$199,"&lt;"&amp;-D30,'触发事件'!$M$6:$M$199,"已完成")</x:f>
        <x:v>22</x:v>
      </x:c>
      <x:c r="G30" s="1" t="n">
        <x:f>COUNTIFS('触发事件'!$A$6:$A$199,B30,'触发事件'!$E$6:$E$199,"&lt;"&amp;-D30,'触发事件'!$M$6:$M$199,"已完成",'触发事件'!$L$6:$L$199,"&gt;0")</x:f>
        <x:v>13</x:v>
      </x:c>
      <x:c r="H30" s="7" t="n">
        <x:f>IF(F30=0,"n.a.",G30/F30)</x:f>
        <x:v>0.5909090909090909</x:v>
      </x:c>
      <x:c r="I30" s="7" t="n">
        <x:f>IF(F30=0,"n.a.",SUMIFS('触发事件'!$L$6:$L$199,'触发事件'!$A$6:$A$199,B30,'触发事件'!$E$6:$E$199,"&lt;"&amp;-D30,'触发事件'!$M$6:$M$199,"已完成")/F30)</x:f>
        <x:v>0.05435177128151421</x:v>
      </x:c>
      <x:c r="J30" s="7" t="n">
        <x:v>0.06847499501701526</x:v>
      </x:c>
      <x:c r="K30" s="7" t="n">
        <x:v>0.48524339073802336</x:v>
      </x:c>
      <x:c r="L30" s="7" t="n">
        <x:v>-0.2993981771376887</x:v>
      </x:c>
      <x:c r="M30" s="7" t="n">
        <x:v>-0.41127349937231683</x:v>
      </x:c>
      <x:c r="N30" s="7" t="n">
        <x:v>-0.1755352719103682</x:v>
      </x:c>
      <x:c r="O30" s="1" t="n">
        <x:v>6</x:v>
      </x:c>
      <x:c r="P30" s="9" t="n">
        <x:v>1.2085563032176883</x:v>
      </x:c>
    </x:row>
    <x:row r="31" ht="25" customHeight="1">
      <x:c r="A31" s="1" t="str">
        <x:v>中证500</x:v>
      </x:c>
      <x:c r="B31" s="1" t="str">
        <x:v>sh000905</x:v>
      </x:c>
      <x:c r="C31" s="1" t="str">
        <x:v>全历史含回溯</x:v>
      </x:c>
      <x:c r="D31" s="8" t="n">
        <x:v>0.15</x:v>
      </x:c>
      <x:c r="E31" s="1" t="n">
        <x:f>COUNTIFS('触发事件'!$A$6:$A$199,B31,'触发事件'!$E$6:$E$199,"&lt;"&amp;-D31)</x:f>
        <x:v>9</x:v>
      </x:c>
      <x:c r="F31" s="1" t="n">
        <x:f>COUNTIFS('触发事件'!$A$6:$A$199,B31,'触发事件'!$E$6:$E$199,"&lt;"&amp;-D31,'触发事件'!$M$6:$M$199,"已完成")</x:f>
        <x:v>8</x:v>
      </x:c>
      <x:c r="G31" s="1" t="n">
        <x:f>COUNTIFS('触发事件'!$A$6:$A$199,B31,'触发事件'!$E$6:$E$199,"&lt;"&amp;-D31,'触发事件'!$M$6:$M$199,"已完成",'触发事件'!$L$6:$L$199,"&gt;0")</x:f>
        <x:v>5</x:v>
      </x:c>
      <x:c r="H31" s="7" t="n">
        <x:f>IF(F31=0,"n.a.",G31/F31)</x:f>
        <x:v>0.625</x:v>
      </x:c>
      <x:c r="I31" s="7" t="n">
        <x:f>IF(F31=0,"n.a.",SUMIFS('触发事件'!$L$6:$L$199,'触发事件'!$A$6:$A$199,B31,'触发事件'!$E$6:$E$199,"&lt;"&amp;-D31,'触发事件'!$M$6:$M$199,"已完成")/F31)</x:f>
        <x:v>0.10429397437166023</x:v>
      </x:c>
      <x:c r="J31" s="7" t="n">
        <x:v>0.14939725020076344</x:v>
      </x:c>
      <x:c r="K31" s="7" t="n">
        <x:v>0.48524339073802336</x:v>
      </x:c>
      <x:c r="L31" s="7" t="n">
        <x:v>-0.2993981771376887</x:v>
      </x:c>
      <x:c r="M31" s="7" t="n">
        <x:v>-0.41127349937231683</x:v>
      </x:c>
      <x:c r="N31" s="7" t="n">
        <x:v>-0.20043627044105822</x:v>
      </x:c>
      <x:c r="O31" s="1" t="n">
        <x:v>2</x:v>
      </x:c>
      <x:c r="P31" s="9" t="n">
        <x:v>1.2626048144039208</x:v>
      </x:c>
    </x:row>
    <x:row r="32" ht="25" customHeight="1">
      <x:c r="A32" s="1" t="str">
        <x:v>中证500</x:v>
      </x:c>
      <x:c r="B32" s="1" t="str">
        <x:v>sh000905</x:v>
      </x:c>
      <x:c r="C32" s="1" t="str">
        <x:v>全历史含回溯</x:v>
      </x:c>
      <x:c r="D32" s="8" t="n">
        <x:v>0.2</x:v>
      </x:c>
      <x:c r="E32" s="1" t="n">
        <x:f>COUNTIFS('触发事件'!$A$6:$A$199,B32,'触发事件'!$E$6:$E$199,"&lt;"&amp;-D32)</x:f>
        <x:v>5</x:v>
      </x:c>
      <x:c r="F32" s="1" t="n">
        <x:f>COUNTIFS('触发事件'!$A$6:$A$199,B32,'触发事件'!$E$6:$E$199,"&lt;"&amp;-D32,'触发事件'!$M$6:$M$199,"已完成")</x:f>
        <x:v>5</x:v>
      </x:c>
      <x:c r="G32" s="1" t="n">
        <x:f>COUNTIFS('触发事件'!$A$6:$A$199,B32,'触发事件'!$E$6:$E$199,"&lt;"&amp;-D32,'触发事件'!$M$6:$M$199,"已完成",'触发事件'!$L$6:$L$199,"&gt;0")</x:f>
        <x:v>2</x:v>
      </x:c>
      <x:c r="H32" s="7" t="n">
        <x:f>IF(F32=0,"n.a.",G32/F32)</x:f>
        <x:v>0.4</x:v>
      </x:c>
      <x:c r="I32" s="7" t="n">
        <x:f>IF(F32=0,"n.a.",SUMIFS('触发事件'!$L$6:$L$199,'触发事件'!$A$6:$A$199,B32,'触发事件'!$E$6:$E$199,"&lt;"&amp;-D32,'触发事件'!$M$6:$M$199,"已完成")/F32)</x:f>
        <x:v>-0.03451804394537981</x:v>
      </x:c>
      <x:c r="J32" s="7" t="n">
        <x:v>-0.1982134203046615</x:v>
      </x:c>
      <x:c r="K32" s="7" t="n">
        <x:v>0.48524339073802336</x:v>
      </x:c>
      <x:c r="L32" s="7" t="n">
        <x:v>-0.2993981771376887</x:v>
      </x:c>
      <x:c r="M32" s="7" t="n">
        <x:v>-0.41127349937231683</x:v>
      </x:c>
      <x:c r="N32" s="7" t="n">
        <x:v>-0.26865639872337904</x:v>
      </x:c>
      <x:c r="O32" s="1" t="n">
        <x:v>2</x:v>
      </x:c>
      <x:c r="P32" s="9" t="n">
        <x:v>1.1573414499763377</x:v>
      </x:c>
    </x:row>
    <x:row r="33" ht="25" customHeight="1">
      <x:c r="A33" s="1" t="str">
        <x:v>中证500</x:v>
      </x:c>
      <x:c r="B33" s="1" t="str">
        <x:v>sh000905</x:v>
      </x:c>
      <x:c r="C33" s="1" t="str">
        <x:v>全历史含回溯</x:v>
      </x:c>
      <x:c r="D33" s="8" t="n">
        <x:v>0.25</x:v>
      </x:c>
      <x:c r="E33" s="1" t="n">
        <x:f>COUNTIFS('触发事件'!$A$6:$A$199,B33,'触发事件'!$E$6:$E$199,"&lt;"&amp;-D33)</x:f>
        <x:v>3</x:v>
      </x:c>
      <x:c r="F33" s="1" t="n">
        <x:f>COUNTIFS('触发事件'!$A$6:$A$199,B33,'触发事件'!$E$6:$E$199,"&lt;"&amp;-D33,'触发事件'!$M$6:$M$199,"已完成")</x:f>
        <x:v>3</x:v>
      </x:c>
      <x:c r="G33" s="1" t="n">
        <x:f>COUNTIFS('触发事件'!$A$6:$A$199,B33,'触发事件'!$E$6:$E$199,"&lt;"&amp;-D33,'触发事件'!$M$6:$M$199,"已完成",'触发事件'!$L$6:$L$199,"&gt;0")</x:f>
        <x:v>2</x:v>
      </x:c>
      <x:c r="H33" s="7" t="n">
        <x:f>IF(F33=0,"n.a.",G33/F33)</x:f>
        <x:v>0.6666666666666666</x:v>
      </x:c>
      <x:c r="I33" s="7" t="n">
        <x:f>IF(F33=0,"n.a.",SUMIFS('触发事件'!$L$6:$L$199,'触发事件'!$A$6:$A$199,B33,'触发事件'!$E$6:$E$199,"&lt;"&amp;-D33,'触发事件'!$M$6:$M$199,"已完成")/F33)</x:f>
        <x:v>0.10834045923848372</x:v>
      </x:c>
      <x:c r="J33" s="7" t="n">
        <x:v>0.09768621990986692</x:v>
      </x:c>
      <x:c r="K33" s="7" t="n">
        <x:v>0.48524339073802336</x:v>
      </x:c>
      <x:c r="L33" s="7" t="n">
        <x:v>-0.25790823293243914</x:v>
      </x:c>
      <x:c r="M33" s="7" t="n">
        <x:v>-0.41127349937231683</x:v>
      </x:c>
      <x:c r="N33" s="7" t="n">
        <x:v>-0.21748966017942042</x:v>
      </x:c>
      <x:c r="O33" s="1" t="n">
        <x:v>0</x:v>
      </x:c>
      <x:c r="P33" s="9" t="n">
        <x:v>1.1301105126035134</x:v>
      </x:c>
    </x:row>
    <x:row r="34" ht="25" customHeight="1">
      <x:c r="A34" s="1" t="str">
        <x:v>中证500</x:v>
      </x:c>
      <x:c r="B34" s="1" t="str">
        <x:v>sh000905</x:v>
      </x:c>
      <x:c r="C34" s="1" t="str">
        <x:v>发布后</x:v>
      </x:c>
      <x:c r="D34" s="8" t="n">
        <x:v>0.1</x:v>
      </x:c>
      <x:c r="E34" s="1" t="n">
        <x:f>COUNTIFS('触发事件'!$A$6:$A$199,B34,'触发事件'!$E$6:$E$199,"&lt;"&amp;-D34,'触发事件'!$D$6:$D$199,1)</x:f>
        <x:v>22</x:v>
      </x:c>
      <x:c r="F34" s="1" t="n">
        <x:f>COUNTIFS('触发事件'!$A$6:$A$199,B34,'触发事件'!$E$6:$E$199,"&lt;"&amp;-D34,'触发事件'!$D$6:$D$199,1,'触发事件'!$M$6:$M$199,"已完成")</x:f>
        <x:v>21</x:v>
      </x:c>
      <x:c r="G34" s="1" t="n">
        <x:f>COUNTIFS('触发事件'!$A$6:$A$199,B34,'触发事件'!$E$6:$E$199,"&lt;"&amp;-D34,'触发事件'!$D$6:$D$199,1,'触发事件'!$M$6:$M$199,"已完成",'触发事件'!$L$6:$L$199,"&gt;0")</x:f>
        <x:v>13</x:v>
      </x:c>
      <x:c r="H34" s="7" t="n">
        <x:f>IF(F34=0,"n.a.",G34/F34)</x:f>
        <x:v>0.6190476190476191</x:v>
      </x:c>
      <x:c r="I34" s="7" t="n">
        <x:f>IF(F34=0,"n.a.",SUMIFS('触发事件'!$L$6:$L$199,'触发事件'!$A$6:$A$199,B34,'触发事件'!$E$6:$E$199,"&lt;"&amp;-D34,'触发事件'!$D$6:$D$199,1,'触发事件'!$M$6:$M$199,"已完成")/F34)</x:f>
        <x:v>0.06258095932227577</x:v>
      </x:c>
      <x:c r="J34" s="7" t="n">
        <x:v>0.09768621990986692</x:v>
      </x:c>
      <x:c r="K34" s="7" t="n">
        <x:v>0.48524339073802336</x:v>
      </x:c>
      <x:c r="L34" s="7" t="n">
        <x:v>-0.2993981771376887</x:v>
      </x:c>
      <x:c r="M34" s="7" t="n">
        <x:v>-0.41127349937231683</x:v>
      </x:c>
      <x:c r="N34" s="7" t="n">
        <x:v>-0.17466023972153916</x:v>
      </x:c>
      <x:c r="O34" s="1" t="n">
        <x:v>6</x:v>
      </x:c>
      <x:c r="P34" s="9" t="n">
        <x:v>1.1599650651412898</x:v>
      </x:c>
    </x:row>
    <x:row r="35" ht="25" customHeight="1">
      <x:c r="A35" s="1" t="str">
        <x:v>中证500</x:v>
      </x:c>
      <x:c r="B35" s="1" t="str">
        <x:v>sh000905</x:v>
      </x:c>
      <x:c r="C35" s="1" t="str">
        <x:v>发布后</x:v>
      </x:c>
      <x:c r="D35" s="8" t="n">
        <x:v>0.15</x:v>
      </x:c>
      <x:c r="E35" s="1" t="n">
        <x:f>COUNTIFS('触发事件'!$A$6:$A$199,B35,'触发事件'!$E$6:$E$199,"&lt;"&amp;-D35,'触发事件'!$D$6:$D$199,1)</x:f>
        <x:v>9</x:v>
      </x:c>
      <x:c r="F35" s="1" t="n">
        <x:f>COUNTIFS('触发事件'!$A$6:$A$199,B35,'触发事件'!$E$6:$E$199,"&lt;"&amp;-D35,'触发事件'!$D$6:$D$199,1,'触发事件'!$M$6:$M$199,"已完成")</x:f>
        <x:v>8</x:v>
      </x:c>
      <x:c r="G35" s="1" t="n">
        <x:f>COUNTIFS('触发事件'!$A$6:$A$199,B35,'触发事件'!$E$6:$E$199,"&lt;"&amp;-D35,'触发事件'!$D$6:$D$199,1,'触发事件'!$M$6:$M$199,"已完成",'触发事件'!$L$6:$L$199,"&gt;0")</x:f>
        <x:v>5</x:v>
      </x:c>
      <x:c r="H35" s="7" t="n">
        <x:f>IF(F35=0,"n.a.",G35/F35)</x:f>
        <x:v>0.625</x:v>
      </x:c>
      <x:c r="I35" s="7" t="n">
        <x:f>IF(F35=0,"n.a.",SUMIFS('触发事件'!$L$6:$L$199,'触发事件'!$A$6:$A$199,B35,'触发事件'!$E$6:$E$199,"&lt;"&amp;-D35,'触发事件'!$D$6:$D$199,1,'触发事件'!$M$6:$M$199,"已完成")/F35)</x:f>
        <x:v>0.10429397437166023</x:v>
      </x:c>
      <x:c r="J35" s="7" t="n">
        <x:v>0.14939725020076344</x:v>
      </x:c>
      <x:c r="K35" s="7" t="n">
        <x:v>0.48524339073802336</x:v>
      </x:c>
      <x:c r="L35" s="7" t="n">
        <x:v>-0.2993981771376887</x:v>
      </x:c>
      <x:c r="M35" s="7" t="n">
        <x:v>-0.41127349937231683</x:v>
      </x:c>
      <x:c r="N35" s="7" t="n">
        <x:v>-0.20043627044105822</x:v>
      </x:c>
      <x:c r="O35" s="1" t="n">
        <x:v>2</x:v>
      </x:c>
      <x:c r="P35" s="9" t="n">
        <x:v>1.2626048144039208</x:v>
      </x:c>
    </x:row>
    <x:row r="36" ht="25" customHeight="1">
      <x:c r="A36" s="1" t="str">
        <x:v>中证500</x:v>
      </x:c>
      <x:c r="B36" s="1" t="str">
        <x:v>sh000905</x:v>
      </x:c>
      <x:c r="C36" s="1" t="str">
        <x:v>发布后</x:v>
      </x:c>
      <x:c r="D36" s="8" t="n">
        <x:v>0.2</x:v>
      </x:c>
      <x:c r="E36" s="1" t="n">
        <x:f>COUNTIFS('触发事件'!$A$6:$A$199,B36,'触发事件'!$E$6:$E$199,"&lt;"&amp;-D36,'触发事件'!$D$6:$D$199,1)</x:f>
        <x:v>5</x:v>
      </x:c>
      <x:c r="F36" s="1" t="n">
        <x:f>COUNTIFS('触发事件'!$A$6:$A$199,B36,'触发事件'!$E$6:$E$199,"&lt;"&amp;-D36,'触发事件'!$D$6:$D$199,1,'触发事件'!$M$6:$M$199,"已完成")</x:f>
        <x:v>5</x:v>
      </x:c>
      <x:c r="G36" s="1" t="n">
        <x:f>COUNTIFS('触发事件'!$A$6:$A$199,B36,'触发事件'!$E$6:$E$199,"&lt;"&amp;-D36,'触发事件'!$D$6:$D$199,1,'触发事件'!$M$6:$M$199,"已完成",'触发事件'!$L$6:$L$199,"&gt;0")</x:f>
        <x:v>2</x:v>
      </x:c>
      <x:c r="H36" s="7" t="n">
        <x:f>IF(F36=0,"n.a.",G36/F36)</x:f>
        <x:v>0.4</x:v>
      </x:c>
      <x:c r="I36" s="7" t="n">
        <x:f>IF(F36=0,"n.a.",SUMIFS('触发事件'!$L$6:$L$199,'触发事件'!$A$6:$A$199,B36,'触发事件'!$E$6:$E$199,"&lt;"&amp;-D36,'触发事件'!$D$6:$D$199,1,'触发事件'!$M$6:$M$199,"已完成")/F36)</x:f>
        <x:v>-0.03451804394537981</x:v>
      </x:c>
      <x:c r="J36" s="7" t="n">
        <x:v>-0.1982134203046615</x:v>
      </x:c>
      <x:c r="K36" s="7" t="n">
        <x:v>0.48524339073802336</x:v>
      </x:c>
      <x:c r="L36" s="7" t="n">
        <x:v>-0.2993981771376887</x:v>
      </x:c>
      <x:c r="M36" s="7" t="n">
        <x:v>-0.41127349937231683</x:v>
      </x:c>
      <x:c r="N36" s="7" t="n">
        <x:v>-0.26865639872337904</x:v>
      </x:c>
      <x:c r="O36" s="1" t="n">
        <x:v>2</x:v>
      </x:c>
      <x:c r="P36" s="9" t="n">
        <x:v>1.1573414499763377</x:v>
      </x:c>
    </x:row>
    <x:row r="37" ht="25" customHeight="1">
      <x:c r="A37" s="1" t="str">
        <x:v>中证500</x:v>
      </x:c>
      <x:c r="B37" s="1" t="str">
        <x:v>sh000905</x:v>
      </x:c>
      <x:c r="C37" s="1" t="str">
        <x:v>发布后</x:v>
      </x:c>
      <x:c r="D37" s="8" t="n">
        <x:v>0.25</x:v>
      </x:c>
      <x:c r="E37" s="1" t="n">
        <x:f>COUNTIFS('触发事件'!$A$6:$A$199,B37,'触发事件'!$E$6:$E$199,"&lt;"&amp;-D37,'触发事件'!$D$6:$D$199,1)</x:f>
        <x:v>3</x:v>
      </x:c>
      <x:c r="F37" s="1" t="n">
        <x:f>COUNTIFS('触发事件'!$A$6:$A$199,B37,'触发事件'!$E$6:$E$199,"&lt;"&amp;-D37,'触发事件'!$D$6:$D$199,1,'触发事件'!$M$6:$M$199,"已完成")</x:f>
        <x:v>3</x:v>
      </x:c>
      <x:c r="G37" s="1" t="n">
        <x:f>COUNTIFS('触发事件'!$A$6:$A$199,B37,'触发事件'!$E$6:$E$199,"&lt;"&amp;-D37,'触发事件'!$D$6:$D$199,1,'触发事件'!$M$6:$M$199,"已完成",'触发事件'!$L$6:$L$199,"&gt;0")</x:f>
        <x:v>2</x:v>
      </x:c>
      <x:c r="H37" s="7" t="n">
        <x:f>IF(F37=0,"n.a.",G37/F37)</x:f>
        <x:v>0.6666666666666666</x:v>
      </x:c>
      <x:c r="I37" s="7" t="n">
        <x:f>IF(F37=0,"n.a.",SUMIFS('触发事件'!$L$6:$L$199,'触发事件'!$A$6:$A$199,B37,'触发事件'!$E$6:$E$199,"&lt;"&amp;-D37,'触发事件'!$D$6:$D$199,1,'触发事件'!$M$6:$M$199,"已完成")/F37)</x:f>
        <x:v>0.10834045923848372</x:v>
      </x:c>
      <x:c r="J37" s="7" t="n">
        <x:v>0.09768621990986692</x:v>
      </x:c>
      <x:c r="K37" s="7" t="n">
        <x:v>0.48524339073802336</x:v>
      </x:c>
      <x:c r="L37" s="7" t="n">
        <x:v>-0.25790823293243914</x:v>
      </x:c>
      <x:c r="M37" s="7" t="n">
        <x:v>-0.41127349937231683</x:v>
      </x:c>
      <x:c r="N37" s="7" t="n">
        <x:v>-0.21748966017942042</x:v>
      </x:c>
      <x:c r="O37" s="1" t="n">
        <x:v>0</x:v>
      </x:c>
      <x:c r="P37" s="9" t="n">
        <x:v>1.1301105126035134</x:v>
      </x:c>
    </x:row>
    <x:row r="38" ht="25" customHeight="1">
      <x:c r="A38" s="1" t="str">
        <x:v>中证500</x:v>
      </x:c>
      <x:c r="B38" s="1" t="str">
        <x:v>sh000905</x:v>
      </x:c>
      <x:c r="C38" s="1" t="str">
        <x:v>近十年含回溯</x:v>
      </x:c>
      <x:c r="D38" s="8" t="n">
        <x:v>0.1</x:v>
      </x:c>
      <x:c r="E38" s="1" t="n">
        <x:f>COUNTIFS('触发事件'!$A$6:$A$199,B38,'触发事件'!$E$6:$E$199,"&lt;"&amp;-D38,'触发事件'!$C$6:$C$199,"&gt;=2016-10")</x:f>
        <x:v>6</x:v>
      </x:c>
      <x:c r="F38" s="1" t="n">
        <x:f>COUNTIFS('触发事件'!$A$6:$A$199,B38,'触发事件'!$E$6:$E$199,"&lt;"&amp;-D38,'触发事件'!$C$6:$C$199,"&gt;=2016-10",'触发事件'!$M$6:$M$199,"已完成")</x:f>
        <x:v>5</x:v>
      </x:c>
      <x:c r="G38" s="1" t="n">
        <x:f>COUNTIFS('触发事件'!$A$6:$A$199,B38,'触发事件'!$E$6:$E$199,"&lt;"&amp;-D38,'触发事件'!$C$6:$C$199,"&gt;=2016-10",'触发事件'!$M$6:$M$199,"已完成",'触发事件'!$L$6:$L$199,"&gt;0")</x:f>
        <x:v>3</x:v>
      </x:c>
      <x:c r="H38" s="7" t="n">
        <x:f>IF(F38=0,"n.a.",G38/F38)</x:f>
        <x:v>0.6</x:v>
      </x:c>
      <x:c r="I38" s="7" t="n">
        <x:f>IF(F38=0,"n.a.",SUMIFS('触发事件'!$L$6:$L$199,'触发事件'!$A$6:$A$199,B38,'触发事件'!$E$6:$E$199,"&lt;"&amp;-D38,'触发事件'!$C$6:$C$199,"&gt;=2016-10",'触发事件'!$M$6:$M$199,"已完成")/F38)</x:f>
        <x:v>0.05030950484343144</x:v>
      </x:c>
      <x:c r="J38" s="7" t="n">
        <x:v>0.10030824053452103</x:v>
      </x:c>
      <x:c r="K38" s="7" t="n">
        <x:v>0.17792331043229193</x:v>
      </x:c>
      <x:c r="L38" s="7" t="n">
        <x:v>-0.16686597935050573</x:v>
      </x:c>
      <x:c r="M38" s="7" t="n">
        <x:v>-0.24006231651329524</x:v>
      </x:c>
      <x:c r="N38" s="7" t="n">
        <x:v>-0.11899217994821934</x:v>
      </x:c>
      <x:c r="O38" s="1" t="n">
        <x:v>1</x:v>
      </x:c>
      <x:c r="P38" s="9" t="n">
        <x:v>1.5376821621782415</x:v>
      </x:c>
    </x:row>
    <x:row r="39" ht="25" customHeight="1">
      <x:c r="A39" s="1" t="str">
        <x:v>中证500</x:v>
      </x:c>
      <x:c r="B39" s="1" t="str">
        <x:v>sh000905</x:v>
      </x:c>
      <x:c r="C39" s="1" t="str">
        <x:v>近十年含回溯</x:v>
      </x:c>
      <x:c r="D39" s="8" t="n">
        <x:v>0.15</x:v>
      </x:c>
      <x:c r="E39" s="1" t="n">
        <x:f>COUNTIFS('触发事件'!$A$6:$A$199,B39,'触发事件'!$E$6:$E$199,"&lt;"&amp;-D39,'触发事件'!$C$6:$C$199,"&gt;=2016-10")</x:f>
        <x:v>1</x:v>
      </x:c>
      <x:c r="F39" s="1" t="n">
        <x:f>COUNTIFS('触发事件'!$A$6:$A$199,B39,'触发事件'!$E$6:$E$199,"&lt;"&amp;-D39,'触发事件'!$C$6:$C$199,"&gt;=2016-10",'触发事件'!$M$6:$M$199,"已完成")</x:f>
        <x:v>0</x:v>
      </x:c>
      <x:c r="G39" s="1" t="n">
        <x:f>COUNTIFS('触发事件'!$A$6:$A$199,B39,'触发事件'!$E$6:$E$199,"&lt;"&amp;-D39,'触发事件'!$C$6:$C$199,"&gt;=2016-10",'触发事件'!$M$6:$M$199,"已完成",'触发事件'!$L$6:$L$199,"&gt;0")</x:f>
        <x:v>0</x:v>
      </x:c>
      <x:c r="H39" s="7" t="str">
        <x:f>IF(F39=0,"n.a.",G39/F39)</x:f>
        <x:v>n.a.</x:v>
      </x:c>
      <x:c r="I39" s="7" t="str">
        <x:f>IF(F39=0,"n.a.",SUMIFS('触发事件'!$L$6:$L$199,'触发事件'!$A$6:$A$199,B39,'触发事件'!$E$6:$E$199,"&lt;"&amp;-D39,'触发事件'!$C$6:$C$199,"&gt;=2016-10",'触发事件'!$M$6:$M$199,"已完成")/F39)</x:f>
        <x:v>n.a.</x:v>
      </x:c>
      <x:c r="J39" s="7"/>
      <x:c r="K39" s="7"/>
      <x:c r="L39" s="7"/>
      <x:c r="M39" s="7"/>
      <x:c r="N39" s="7"/>
      <x:c r="O39" s="1" t="n">
        <x:v>0</x:v>
      </x:c>
      <x:c r="P39" s="9"/>
    </x:row>
    <x:row r="40" ht="25" customHeight="1">
      <x:c r="A40" s="1" t="str">
        <x:v>中证500</x:v>
      </x:c>
      <x:c r="B40" s="1" t="str">
        <x:v>sh000905</x:v>
      </x:c>
      <x:c r="C40" s="1" t="str">
        <x:v>近十年含回溯</x:v>
      </x:c>
      <x:c r="D40" s="8" t="n">
        <x:v>0.2</x:v>
      </x:c>
      <x:c r="E40" s="1" t="n">
        <x:f>COUNTIFS('触发事件'!$A$6:$A$199,B40,'触发事件'!$E$6:$E$199,"&lt;"&amp;-D40,'触发事件'!$C$6:$C$199,"&gt;=2016-10")</x:f>
        <x:v>0</x:v>
      </x:c>
      <x:c r="F40" s="1" t="n">
        <x:f>COUNTIFS('触发事件'!$A$6:$A$199,B40,'触发事件'!$E$6:$E$199,"&lt;"&amp;-D40,'触发事件'!$C$6:$C$199,"&gt;=2016-10",'触发事件'!$M$6:$M$199,"已完成")</x:f>
        <x:v>0</x:v>
      </x:c>
      <x:c r="G40" s="1" t="n">
        <x:f>COUNTIFS('触发事件'!$A$6:$A$199,B40,'触发事件'!$E$6:$E$199,"&lt;"&amp;-D40,'触发事件'!$C$6:$C$199,"&gt;=2016-10",'触发事件'!$M$6:$M$199,"已完成",'触发事件'!$L$6:$L$199,"&gt;0")</x:f>
        <x:v>0</x:v>
      </x:c>
      <x:c r="H40" s="7" t="str">
        <x:f>IF(F40=0,"n.a.",G40/F40)</x:f>
        <x:v>n.a.</x:v>
      </x:c>
      <x:c r="I40" s="7" t="str">
        <x:f>IF(F40=0,"n.a.",SUMIFS('触发事件'!$L$6:$L$199,'触发事件'!$A$6:$A$199,B40,'触发事件'!$E$6:$E$199,"&lt;"&amp;-D40,'触发事件'!$C$6:$C$199,"&gt;=2016-10",'触发事件'!$M$6:$M$199,"已完成")/F40)</x:f>
        <x:v>n.a.</x:v>
      </x:c>
      <x:c r="J40" s="7"/>
      <x:c r="K40" s="7"/>
      <x:c r="L40" s="7"/>
      <x:c r="M40" s="7"/>
      <x:c r="N40" s="7"/>
      <x:c r="O40" s="1" t="n">
        <x:v>0</x:v>
      </x:c>
      <x:c r="P40" s="9"/>
    </x:row>
    <x:row r="41" ht="25" customHeight="1">
      <x:c r="A41" s="1" t="str">
        <x:v>中证500</x:v>
      </x:c>
      <x:c r="B41" s="1" t="str">
        <x:v>sh000905</x:v>
      </x:c>
      <x:c r="C41" s="1" t="str">
        <x:v>近十年含回溯</x:v>
      </x:c>
      <x:c r="D41" s="8" t="n">
        <x:v>0.25</x:v>
      </x:c>
      <x:c r="E41" s="1" t="n">
        <x:f>COUNTIFS('触发事件'!$A$6:$A$199,B41,'触发事件'!$E$6:$E$199,"&lt;"&amp;-D41,'触发事件'!$C$6:$C$199,"&gt;=2016-10")</x:f>
        <x:v>0</x:v>
      </x:c>
      <x:c r="F41" s="1" t="n">
        <x:f>COUNTIFS('触发事件'!$A$6:$A$199,B41,'触发事件'!$E$6:$E$199,"&lt;"&amp;-D41,'触发事件'!$C$6:$C$199,"&gt;=2016-10",'触发事件'!$M$6:$M$199,"已完成")</x:f>
        <x:v>0</x:v>
      </x:c>
      <x:c r="G41" s="1" t="n">
        <x:f>COUNTIFS('触发事件'!$A$6:$A$199,B41,'触发事件'!$E$6:$E$199,"&lt;"&amp;-D41,'触发事件'!$C$6:$C$199,"&gt;=2016-10",'触发事件'!$M$6:$M$199,"已完成",'触发事件'!$L$6:$L$199,"&gt;0")</x:f>
        <x:v>0</x:v>
      </x:c>
      <x:c r="H41" s="7" t="str">
        <x:f>IF(F41=0,"n.a.",G41/F41)</x:f>
        <x:v>n.a.</x:v>
      </x:c>
      <x:c r="I41" s="7" t="str">
        <x:f>IF(F41=0,"n.a.",SUMIFS('触发事件'!$L$6:$L$199,'触发事件'!$A$6:$A$199,B41,'触发事件'!$E$6:$E$199,"&lt;"&amp;-D41,'触发事件'!$C$6:$C$199,"&gt;=2016-10",'触发事件'!$M$6:$M$199,"已完成")/F41)</x:f>
        <x:v>n.a.</x:v>
      </x:c>
      <x:c r="J41" s="7"/>
      <x:c r="K41" s="7"/>
      <x:c r="L41" s="7"/>
      <x:c r="M41" s="7"/>
      <x:c r="N41" s="7"/>
      <x:c r="O41" s="1" t="n">
        <x:v>0</x:v>
      </x:c>
      <x:c r="P41" s="9"/>
    </x:row>
    <x:row r="42" ht="25" customHeight="1">
      <x:c r="A42" s="1" t="str">
        <x:v>中证1000</x:v>
      </x:c>
      <x:c r="B42" s="1" t="str">
        <x:v>sh000852</x:v>
      </x:c>
      <x:c r="C42" s="1" t="str">
        <x:v>全历史含回溯</x:v>
      </x:c>
      <x:c r="D42" s="8" t="n">
        <x:v>0.1</x:v>
      </x:c>
      <x:c r="E42" s="1" t="n">
        <x:f>COUNTIFS('触发事件'!$A$6:$A$199,B42,'触发事件'!$E$6:$E$199,"&lt;"&amp;-D42)</x:f>
        <x:v>24</x:v>
      </x:c>
      <x:c r="F42" s="1" t="n">
        <x:f>COUNTIFS('触发事件'!$A$6:$A$199,B42,'触发事件'!$E$6:$E$199,"&lt;"&amp;-D42,'触发事件'!$M$6:$M$199,"已完成")</x:f>
        <x:v>23</x:v>
      </x:c>
      <x:c r="G42" s="1" t="n">
        <x:f>COUNTIFS('触发事件'!$A$6:$A$199,B42,'触发事件'!$E$6:$E$199,"&lt;"&amp;-D42,'触发事件'!$M$6:$M$199,"已完成",'触发事件'!$L$6:$L$199,"&gt;0")</x:f>
        <x:v>13</x:v>
      </x:c>
      <x:c r="H42" s="7" t="n">
        <x:f>IF(F42=0,"n.a.",G42/F42)</x:f>
        <x:v>0.5652173913043478</x:v>
      </x:c>
      <x:c r="I42" s="7" t="n">
        <x:f>IF(F42=0,"n.a.",SUMIFS('触发事件'!$L$6:$L$199,'触发事件'!$A$6:$A$199,B42,'触发事件'!$E$6:$E$199,"&lt;"&amp;-D42,'触发事件'!$M$6:$M$199,"已完成")/F42)</x:f>
        <x:v>0.06678045215695104</x:v>
      </x:c>
      <x:c r="J42" s="7" t="n">
        <x:v>0.046124698759186566</x:v>
      </x:c>
      <x:c r="K42" s="7" t="n">
        <x:v>0.5689674908424909</x:v>
      </x:c>
      <x:c r="L42" s="7" t="n">
        <x:v>-0.3263570688201184</x:v>
      </x:c>
      <x:c r="M42" s="7" t="n">
        <x:v>-0.43380958527358837</x:v>
      </x:c>
      <x:c r="N42" s="7" t="n">
        <x:v>-0.1816418116314602</x:v>
      </x:c>
      <x:c r="O42" s="1" t="n">
        <x:v>6</x:v>
      </x:c>
      <x:c r="P42" s="9" t="n">
        <x:v>1.4556287825072605</x:v>
      </x:c>
    </x:row>
    <x:row r="43" ht="25" customHeight="1">
      <x:c r="A43" s="1" t="str">
        <x:v>中证1000</x:v>
      </x:c>
      <x:c r="B43" s="1" t="str">
        <x:v>sh000852</x:v>
      </x:c>
      <x:c r="C43" s="1" t="str">
        <x:v>全历史含回溯</x:v>
      </x:c>
      <x:c r="D43" s="8" t="n">
        <x:v>0.15</x:v>
      </x:c>
      <x:c r="E43" s="1" t="n">
        <x:f>COUNTIFS('触发事件'!$A$6:$A$199,B43,'触发事件'!$E$6:$E$199,"&lt;"&amp;-D43)</x:f>
        <x:v>12</x:v>
      </x:c>
      <x:c r="F43" s="1" t="n">
        <x:f>COUNTIFS('触发事件'!$A$6:$A$199,B43,'触发事件'!$E$6:$E$199,"&lt;"&amp;-D43,'触发事件'!$M$6:$M$199,"已完成")</x:f>
        <x:v>11</x:v>
      </x:c>
      <x:c r="G43" s="1" t="n">
        <x:f>COUNTIFS('触发事件'!$A$6:$A$199,B43,'触发事件'!$E$6:$E$199,"&lt;"&amp;-D43,'触发事件'!$M$6:$M$199,"已完成",'触发事件'!$L$6:$L$199,"&gt;0")</x:f>
        <x:v>7</x:v>
      </x:c>
      <x:c r="H43" s="7" t="n">
        <x:f>IF(F43=0,"n.a.",G43/F43)</x:f>
        <x:v>0.6363636363636364</x:v>
      </x:c>
      <x:c r="I43" s="7" t="n">
        <x:f>IF(F43=0,"n.a.",SUMIFS('触发事件'!$L$6:$L$199,'触发事件'!$A$6:$A$199,B43,'触发事件'!$E$6:$E$199,"&lt;"&amp;-D43,'触发事件'!$M$6:$M$199,"已完成")/F43)</x:f>
        <x:v>0.10504661572058192</x:v>
      </x:c>
      <x:c r="J43" s="7" t="n">
        <x:v>0.12665738066927146</x:v>
      </x:c>
      <x:c r="K43" s="7" t="n">
        <x:v>0.5689674908424909</x:v>
      </x:c>
      <x:c r="L43" s="7" t="n">
        <x:v>-0.3263570688201184</x:v>
      </x:c>
      <x:c r="M43" s="7" t="n">
        <x:v>-0.43380958527358837</x:v>
      </x:c>
      <x:c r="N43" s="7" t="n">
        <x:v>-0.202650514490635</x:v>
      </x:c>
      <x:c r="O43" s="1" t="n">
        <x:v>2</x:v>
      </x:c>
      <x:c r="P43" s="9" t="n">
        <x:v>1.4045892053072044</x:v>
      </x:c>
    </x:row>
    <x:row r="44" ht="25" customHeight="1">
      <x:c r="A44" s="1" t="str">
        <x:v>中证1000</x:v>
      </x:c>
      <x:c r="B44" s="1" t="str">
        <x:v>sh000852</x:v>
      </x:c>
      <x:c r="C44" s="1" t="str">
        <x:v>全历史含回溯</x:v>
      </x:c>
      <x:c r="D44" s="8" t="n">
        <x:v>0.2</x:v>
      </x:c>
      <x:c r="E44" s="1" t="n">
        <x:f>COUNTIFS('触发事件'!$A$6:$A$199,B44,'触发事件'!$E$6:$E$199,"&lt;"&amp;-D44)</x:f>
        <x:v>4</x:v>
      </x:c>
      <x:c r="F44" s="1" t="n">
        <x:f>COUNTIFS('触发事件'!$A$6:$A$199,B44,'触发事件'!$E$6:$E$199,"&lt;"&amp;-D44,'触发事件'!$M$6:$M$199,"已完成")</x:f>
        <x:v>4</x:v>
      </x:c>
      <x:c r="G44" s="1" t="n">
        <x:f>COUNTIFS('触发事件'!$A$6:$A$199,B44,'触发事件'!$E$6:$E$199,"&lt;"&amp;-D44,'触发事件'!$M$6:$M$199,"已完成",'触发事件'!$L$6:$L$199,"&gt;0")</x:f>
        <x:v>2</x:v>
      </x:c>
      <x:c r="H44" s="7" t="n">
        <x:f>IF(F44=0,"n.a.",G44/F44)</x:f>
        <x:v>0.5</x:v>
      </x:c>
      <x:c r="I44" s="7" t="n">
        <x:f>IF(F44=0,"n.a.",SUMIFS('触发事件'!$L$6:$L$199,'触发事件'!$A$6:$A$199,B44,'触发事件'!$E$6:$E$199,"&lt;"&amp;-D44,'触发事件'!$M$6:$M$199,"已完成")/F44)</x:f>
        <x:v>0.06045982022813992</x:v>
      </x:c>
      <x:c r="J44" s="7" t="n">
        <x:v>-0.027747831429421</x:v>
      </x:c>
      <x:c r="K44" s="7" t="n">
        <x:v>0.5689674908424909</x:v>
      </x:c>
      <x:c r="L44" s="7" t="n">
        <x:v>-0.2716325470710892</x:v>
      </x:c>
      <x:c r="M44" s="7" t="n">
        <x:v>-0.43380958527358837</x:v>
      </x:c>
      <x:c r="N44" s="7" t="n">
        <x:v>-0.2601541368115078</x:v>
      </x:c>
      <x:c r="O44" s="1" t="n">
        <x:v>2</x:v>
      </x:c>
      <x:c r="P44" s="9" t="n">
        <x:v>1.5329373297050315</x:v>
      </x:c>
    </x:row>
    <x:row r="45" ht="25" customHeight="1">
      <x:c r="A45" s="1" t="str">
        <x:v>中证1000</x:v>
      </x:c>
      <x:c r="B45" s="1" t="str">
        <x:v>sh000852</x:v>
      </x:c>
      <x:c r="C45" s="1" t="str">
        <x:v>全历史含回溯</x:v>
      </x:c>
      <x:c r="D45" s="8" t="n">
        <x:v>0.25</x:v>
      </x:c>
      <x:c r="E45" s="1" t="n">
        <x:f>COUNTIFS('触发事件'!$A$6:$A$199,B45,'触发事件'!$E$6:$E$199,"&lt;"&amp;-D45)</x:f>
        <x:v>4</x:v>
      </x:c>
      <x:c r="F45" s="1" t="n">
        <x:f>COUNTIFS('触发事件'!$A$6:$A$199,B45,'触发事件'!$E$6:$E$199,"&lt;"&amp;-D45,'触发事件'!$M$6:$M$199,"已完成")</x:f>
        <x:v>4</x:v>
      </x:c>
      <x:c r="G45" s="1" t="n">
        <x:f>COUNTIFS('触发事件'!$A$6:$A$199,B45,'触发事件'!$E$6:$E$199,"&lt;"&amp;-D45,'触发事件'!$M$6:$M$199,"已完成",'触发事件'!$L$6:$L$199,"&gt;0")</x:f>
        <x:v>2</x:v>
      </x:c>
      <x:c r="H45" s="7" t="n">
        <x:f>IF(F45=0,"n.a.",G45/F45)</x:f>
        <x:v>0.5</x:v>
      </x:c>
      <x:c r="I45" s="7" t="n">
        <x:f>IF(F45=0,"n.a.",SUMIFS('触发事件'!$L$6:$L$199,'触发事件'!$A$6:$A$199,B45,'触发事件'!$E$6:$E$199,"&lt;"&amp;-D45,'触发事件'!$M$6:$M$199,"已完成")/F45)</x:f>
        <x:v>0.06045982022813992</x:v>
      </x:c>
      <x:c r="J45" s="7" t="n">
        <x:v>-0.027747831429421</x:v>
      </x:c>
      <x:c r="K45" s="7" t="n">
        <x:v>0.5689674908424909</x:v>
      </x:c>
      <x:c r="L45" s="7" t="n">
        <x:v>-0.2716325470710892</x:v>
      </x:c>
      <x:c r="M45" s="7" t="n">
        <x:v>-0.43380958527358837</x:v>
      </x:c>
      <x:c r="N45" s="7" t="n">
        <x:v>-0.2601541368115078</x:v>
      </x:c>
      <x:c r="O45" s="1" t="n">
        <x:v>2</x:v>
      </x:c>
      <x:c r="P45" s="9" t="n">
        <x:v>1.5329373297050315</x:v>
      </x:c>
    </x:row>
    <x:row r="46" ht="25" customHeight="1">
      <x:c r="A46" s="1" t="str">
        <x:v>中证1000</x:v>
      </x:c>
      <x:c r="B46" s="1" t="str">
        <x:v>sh000852</x:v>
      </x:c>
      <x:c r="C46" s="1" t="str">
        <x:v>发布后</x:v>
      </x:c>
      <x:c r="D46" s="8" t="n">
        <x:v>0.1</x:v>
      </x:c>
      <x:c r="E46" s="1" t="n">
        <x:f>COUNTIFS('触发事件'!$A$6:$A$199,B46,'触发事件'!$E$6:$E$199,"&lt;"&amp;-D46,'触发事件'!$D$6:$D$199,1)</x:f>
        <x:v>11</x:v>
      </x:c>
      <x:c r="F46" s="1" t="n">
        <x:f>COUNTIFS('触发事件'!$A$6:$A$199,B46,'触发事件'!$E$6:$E$199,"&lt;"&amp;-D46,'触发事件'!$D$6:$D$199,1,'触发事件'!$M$6:$M$199,"已完成")</x:f>
        <x:v>10</x:v>
      </x:c>
      <x:c r="G46" s="1" t="n">
        <x:f>COUNTIFS('触发事件'!$A$6:$A$199,B46,'触发事件'!$E$6:$E$199,"&lt;"&amp;-D46,'触发事件'!$D$6:$D$199,1,'触发事件'!$M$6:$M$199,"已完成",'触发事件'!$L$6:$L$199,"&gt;0")</x:f>
        <x:v>5</x:v>
      </x:c>
      <x:c r="H46" s="7" t="n">
        <x:f>IF(F46=0,"n.a.",G46/F46)</x:f>
        <x:v>0.5</x:v>
      </x:c>
      <x:c r="I46" s="7" t="n">
        <x:f>IF(F46=0,"n.a.",SUMIFS('触发事件'!$L$6:$L$199,'触发事件'!$A$6:$A$199,B46,'触发事件'!$E$6:$E$199,"&lt;"&amp;-D46,'触发事件'!$D$6:$D$199,1,'触发事件'!$M$6:$M$199,"已完成")/F46)</x:f>
        <x:v>0.02924048446771401</x:v>
      </x:c>
      <x:c r="J46" s="7" t="n">
        <x:v>0.05714209195009268</x:v>
      </x:c>
      <x:c r="K46" s="7" t="n">
        <x:v>0.27229234034854377</x:v>
      </x:c>
      <x:c r="L46" s="7" t="n">
        <x:v>-0.2932896695656497</x:v>
      </x:c>
      <x:c r="M46" s="7" t="n">
        <x:v>-0.375501004450118</x:v>
      </x:c>
      <x:c r="N46" s="7" t="n">
        <x:v>-0.1777720563908286</x:v>
      </x:c>
      <x:c r="O46" s="1" t="n">
        <x:v>3</x:v>
      </x:c>
      <x:c r="P46" s="9" t="n">
        <x:v>1.4632245211876265</x:v>
      </x:c>
    </x:row>
    <x:row r="47" ht="25" customHeight="1">
      <x:c r="A47" s="1" t="str">
        <x:v>中证1000</x:v>
      </x:c>
      <x:c r="B47" s="1" t="str">
        <x:v>sh000852</x:v>
      </x:c>
      <x:c r="C47" s="1" t="str">
        <x:v>发布后</x:v>
      </x:c>
      <x:c r="D47" s="8" t="n">
        <x:v>0.15</x:v>
      </x:c>
      <x:c r="E47" s="1" t="n">
        <x:f>COUNTIFS('触发事件'!$A$6:$A$199,B47,'触发事件'!$E$6:$E$199,"&lt;"&amp;-D47,'触发事件'!$D$6:$D$199,1)</x:f>
        <x:v>5</x:v>
      </x:c>
      <x:c r="F47" s="1" t="n">
        <x:f>COUNTIFS('触发事件'!$A$6:$A$199,B47,'触发事件'!$E$6:$E$199,"&lt;"&amp;-D47,'触发事件'!$D$6:$D$199,1,'触发事件'!$M$6:$M$199,"已完成")</x:f>
        <x:v>4</x:v>
      </x:c>
      <x:c r="G47" s="1" t="n">
        <x:f>COUNTIFS('触发事件'!$A$6:$A$199,B47,'触发事件'!$E$6:$E$199,"&lt;"&amp;-D47,'触发事件'!$D$6:$D$199,1,'触发事件'!$M$6:$M$199,"已完成",'触发事件'!$L$6:$L$199,"&gt;0")</x:f>
        <x:v>3</x:v>
      </x:c>
      <x:c r="H47" s="7" t="n">
        <x:f>IF(F47=0,"n.a.",G47/F47)</x:f>
        <x:v>0.75</x:v>
      </x:c>
      <x:c r="I47" s="7" t="n">
        <x:f>IF(F47=0,"n.a.",SUMIFS('触发事件'!$L$6:$L$199,'触发事件'!$A$6:$A$199,B47,'触发事件'!$E$6:$E$199,"&lt;"&amp;-D47,'触发事件'!$D$6:$D$199,1,'触发事件'!$M$6:$M$199,"已完成")/F47)</x:f>
        <x:v>0.12564263929229685</x:v>
      </x:c>
      <x:c r="J47" s="7" t="n">
        <x:v>0.14803009809794976</x:v>
      </x:c>
      <x:c r="K47" s="7" t="n">
        <x:v>0.218883557742374</x:v>
      </x:c>
      <x:c r="L47" s="7" t="n">
        <x:v>-0.012373196769086103</x:v>
      </x:c>
      <x:c r="M47" s="7" t="n">
        <x:v>-0.3340136872309628</x:v>
      </x:c>
      <x:c r="N47" s="7" t="n">
        <x:v>-0.15667630941647623</x:v>
      </x:c>
      <x:c r="O47" s="1" t="n">
        <x:v>0</x:v>
      </x:c>
      <x:c r="P47" s="9" t="n">
        <x:v>13.872560275472171</x:v>
      </x:c>
    </x:row>
    <x:row r="48" ht="25" customHeight="1">
      <x:c r="A48" s="1" t="str">
        <x:v>中证1000</x:v>
      </x:c>
      <x:c r="B48" s="1" t="str">
        <x:v>sh000852</x:v>
      </x:c>
      <x:c r="C48" s="1" t="str">
        <x:v>发布后</x:v>
      </x:c>
      <x:c r="D48" s="8" t="n">
        <x:v>0.2</x:v>
      </x:c>
      <x:c r="E48" s="1" t="n">
        <x:f>COUNTIFS('触发事件'!$A$6:$A$199,B48,'触发事件'!$E$6:$E$199,"&lt;"&amp;-D48,'触发事件'!$D$6:$D$199,1)</x:f>
        <x:v>1</x:v>
      </x:c>
      <x:c r="F48" s="1" t="n">
        <x:f>COUNTIFS('触发事件'!$A$6:$A$199,B48,'触发事件'!$E$6:$E$199,"&lt;"&amp;-D48,'触发事件'!$D$6:$D$199,1,'触发事件'!$M$6:$M$199,"已完成")</x:f>
        <x:v>1</x:v>
      </x:c>
      <x:c r="G48" s="1" t="n">
        <x:f>COUNTIFS('触发事件'!$A$6:$A$199,B48,'触发事件'!$E$6:$E$199,"&lt;"&amp;-D48,'触发事件'!$D$6:$D$199,1,'触发事件'!$M$6:$M$199,"已完成",'触发事件'!$L$6:$L$199,"&gt;0")</x:f>
        <x:v>1</x:v>
      </x:c>
      <x:c r="H48" s="7" t="n">
        <x:f>IF(F48=0,"n.a.",G48/F48)</x:f>
        <x:v>1</x:v>
      </x:c>
      <x:c r="I48" s="7" t="n">
        <x:f>IF(F48=0,"n.a.",SUMIFS('触发事件'!$L$6:$L$199,'触发事件'!$A$6:$A$199,B48,'触发事件'!$E$6:$E$199,"&lt;"&amp;-D48,'触发事件'!$D$6:$D$199,1,'触发事件'!$M$6:$M$199,"已完成")/F48)</x:f>
        <x:v>0.12665738066927146</x:v>
      </x:c>
      <x:c r="J48" s="7" t="n">
        <x:v>0.12665738066927146</x:v>
      </x:c>
      <x:c r="K48" s="7" t="n">
        <x:v>0.12665738066927146</x:v>
      </x:c>
      <x:c r="L48" s="7" t="n">
        <x:v>0.12665738066927146</x:v>
      </x:c>
      <x:c r="M48" s="7" t="n">
        <x:v>-0.14559845858334775</x:v>
      </x:c>
      <x:c r="N48" s="7" t="n">
        <x:v>-0.14559845858334775</x:v>
      </x:c>
      <x:c r="O48" s="1" t="n">
        <x:v>0</x:v>
      </x:c>
      <x:c r="P48" s="9"/>
    </x:row>
    <x:row r="49" ht="25" customHeight="1">
      <x:c r="A49" s="1" t="str">
        <x:v>中证1000</x:v>
      </x:c>
      <x:c r="B49" s="1" t="str">
        <x:v>sh000852</x:v>
      </x:c>
      <x:c r="C49" s="1" t="str">
        <x:v>发布后</x:v>
      </x:c>
      <x:c r="D49" s="8" t="n">
        <x:v>0.25</x:v>
      </x:c>
      <x:c r="E49" s="1" t="n">
        <x:f>COUNTIFS('触发事件'!$A$6:$A$199,B49,'触发事件'!$E$6:$E$199,"&lt;"&amp;-D49,'触发事件'!$D$6:$D$199,1)</x:f>
        <x:v>1</x:v>
      </x:c>
      <x:c r="F49" s="1" t="n">
        <x:f>COUNTIFS('触发事件'!$A$6:$A$199,B49,'触发事件'!$E$6:$E$199,"&lt;"&amp;-D49,'触发事件'!$D$6:$D$199,1,'触发事件'!$M$6:$M$199,"已完成")</x:f>
        <x:v>1</x:v>
      </x:c>
      <x:c r="G49" s="1" t="n">
        <x:f>COUNTIFS('触发事件'!$A$6:$A$199,B49,'触发事件'!$E$6:$E$199,"&lt;"&amp;-D49,'触发事件'!$D$6:$D$199,1,'触发事件'!$M$6:$M$199,"已完成",'触发事件'!$L$6:$L$199,"&gt;0")</x:f>
        <x:v>1</x:v>
      </x:c>
      <x:c r="H49" s="7" t="n">
        <x:f>IF(F49=0,"n.a.",G49/F49)</x:f>
        <x:v>1</x:v>
      </x:c>
      <x:c r="I49" s="7" t="n">
        <x:f>IF(F49=0,"n.a.",SUMIFS('触发事件'!$L$6:$L$199,'触发事件'!$A$6:$A$199,B49,'触发事件'!$E$6:$E$199,"&lt;"&amp;-D49,'触发事件'!$D$6:$D$199,1,'触发事件'!$M$6:$M$199,"已完成")/F49)</x:f>
        <x:v>0.12665738066927146</x:v>
      </x:c>
      <x:c r="J49" s="7" t="n">
        <x:v>0.12665738066927146</x:v>
      </x:c>
      <x:c r="K49" s="7" t="n">
        <x:v>0.12665738066927146</x:v>
      </x:c>
      <x:c r="L49" s="7" t="n">
        <x:v>0.12665738066927146</x:v>
      </x:c>
      <x:c r="M49" s="7" t="n">
        <x:v>-0.14559845858334775</x:v>
      </x:c>
      <x:c r="N49" s="7" t="n">
        <x:v>-0.14559845858334775</x:v>
      </x:c>
      <x:c r="O49" s="1" t="n">
        <x:v>0</x:v>
      </x:c>
      <x:c r="P49" s="9"/>
    </x:row>
    <x:row r="50" ht="25" customHeight="1">
      <x:c r="A50" s="1" t="str">
        <x:v>中证1000</x:v>
      </x:c>
      <x:c r="B50" s="1" t="str">
        <x:v>sh000852</x:v>
      </x:c>
      <x:c r="C50" s="1" t="str">
        <x:v>近十年含回溯</x:v>
      </x:c>
      <x:c r="D50" s="8" t="n">
        <x:v>0.1</x:v>
      </x:c>
      <x:c r="E50" s="1" t="n">
        <x:f>COUNTIFS('触发事件'!$A$6:$A$199,B50,'触发事件'!$E$6:$E$199,"&lt;"&amp;-D50,'触发事件'!$C$6:$C$199,"&gt;=2016-10")</x:f>
        <x:v>7</x:v>
      </x:c>
      <x:c r="F50" s="1" t="n">
        <x:f>COUNTIFS('触发事件'!$A$6:$A$199,B50,'触发事件'!$E$6:$E$199,"&lt;"&amp;-D50,'触发事件'!$C$6:$C$199,"&gt;=2016-10",'触发事件'!$M$6:$M$199,"已完成")</x:f>
        <x:v>6</x:v>
      </x:c>
      <x:c r="G50" s="1" t="n">
        <x:f>COUNTIFS('触发事件'!$A$6:$A$199,B50,'触发事件'!$E$6:$E$199,"&lt;"&amp;-D50,'触发事件'!$C$6:$C$199,"&gt;=2016-10",'触发事件'!$M$6:$M$199,"已完成",'触发事件'!$L$6:$L$199,"&gt;0")</x:f>
        <x:v>3</x:v>
      </x:c>
      <x:c r="H50" s="7" t="n">
        <x:f>IF(F50=0,"n.a.",G50/F50)</x:f>
        <x:v>0.5</x:v>
      </x:c>
      <x:c r="I50" s="7" t="n">
        <x:f>IF(F50=0,"n.a.",SUMIFS('触发事件'!$L$6:$L$199,'触发事件'!$A$6:$A$199,B50,'触发事件'!$E$6:$E$199,"&lt;"&amp;-D50,'触发事件'!$C$6:$C$199,"&gt;=2016-10",'触发事件'!$M$6:$M$199,"已完成")/F50)</x:f>
        <x:v>0.033186331665676784</x:v>
      </x:c>
      <x:c r="J50" s="7" t="n">
        <x:v>0.06147582870720658</x:v>
      </x:c>
      <x:c r="K50" s="7" t="n">
        <x:v>0.218883557742374</x:v>
      </x:c>
      <x:c r="L50" s="7" t="n">
        <x:v>-0.1879371975013452</x:v>
      </x:c>
      <x:c r="M50" s="7" t="n">
        <x:v>-0.2931184902824009</x:v>
      </x:c>
      <x:c r="N50" s="7" t="n">
        <x:v>-0.13445867180702142</x:v>
      </x:c>
      <x:c r="O50" s="1" t="n">
        <x:v>1</x:v>
      </x:c>
      <x:c r="P50" s="9" t="n">
        <x:v>1.6115887525051116</x:v>
      </x:c>
    </x:row>
    <x:row r="51" ht="25" customHeight="1">
      <x:c r="A51" s="1" t="str">
        <x:v>中证1000</x:v>
      </x:c>
      <x:c r="B51" s="1" t="str">
        <x:v>sh000852</x:v>
      </x:c>
      <x:c r="C51" s="1" t="str">
        <x:v>近十年含回溯</x:v>
      </x:c>
      <x:c r="D51" s="8" t="n">
        <x:v>0.15</x:v>
      </x:c>
      <x:c r="E51" s="1" t="n">
        <x:f>COUNTIFS('触发事件'!$A$6:$A$199,B51,'触发事件'!$E$6:$E$199,"&lt;"&amp;-D51,'触发事件'!$C$6:$C$199,"&gt;=2016-10")</x:f>
        <x:v>3</x:v>
      </x:c>
      <x:c r="F51" s="1" t="n">
        <x:f>COUNTIFS('触发事件'!$A$6:$A$199,B51,'触发事件'!$E$6:$E$199,"&lt;"&amp;-D51,'触发事件'!$C$6:$C$199,"&gt;=2016-10",'触发事件'!$M$6:$M$199,"已完成")</x:f>
        <x:v>2</x:v>
      </x:c>
      <x:c r="G51" s="1" t="n">
        <x:f>COUNTIFS('触发事件'!$A$6:$A$199,B51,'触发事件'!$E$6:$E$199,"&lt;"&amp;-D51,'触发事件'!$C$6:$C$199,"&gt;=2016-10",'触发事件'!$M$6:$M$199,"已完成",'触发事件'!$L$6:$L$199,"&gt;0")</x:f>
        <x:v>2</x:v>
      </x:c>
      <x:c r="H51" s="7" t="n">
        <x:f>IF(F51=0,"n.a.",G51/F51)</x:f>
        <x:v>1</x:v>
      </x:c>
      <x:c r="I51" s="7" t="n">
        <x:f>IF(F51=0,"n.a.",SUMIFS('触发事件'!$L$6:$L$199,'触发事件'!$A$6:$A$199,B51,'触发事件'!$E$6:$E$199,"&lt;"&amp;-D51,'触发事件'!$C$6:$C$199,"&gt;=2016-10",'触发事件'!$M$6:$M$199,"已完成")/F51)</x:f>
        <x:v>0.19414318663450103</x:v>
      </x:c>
      <x:c r="J51" s="7" t="n">
        <x:v>0.19414318663450103</x:v>
      </x:c>
      <x:c r="K51" s="7" t="n">
        <x:v>0.218883557742374</x:v>
      </x:c>
      <x:c r="L51" s="7" t="n">
        <x:v>0.16940281552662806</x:v>
      </x:c>
      <x:c r="M51" s="7" t="n">
        <x:v>-0.10469593490188456</x:v>
      </x:c>
      <x:c r="N51" s="7" t="n">
        <x:v>-0.07354654592579718</x:v>
      </x:c>
      <x:c r="O51" s="1" t="n">
        <x:v>0</x:v>
      </x:c>
      <x:c r="P51" s="9"/>
    </x:row>
    <x:row r="52" ht="25" customHeight="1">
      <x:c r="A52" s="1" t="str">
        <x:v>中证1000</x:v>
      </x:c>
      <x:c r="B52" s="1" t="str">
        <x:v>sh000852</x:v>
      </x:c>
      <x:c r="C52" s="1" t="str">
        <x:v>近十年含回溯</x:v>
      </x:c>
      <x:c r="D52" s="8" t="n">
        <x:v>0.2</x:v>
      </x:c>
      <x:c r="E52" s="1" t="n">
        <x:f>COUNTIFS('触发事件'!$A$6:$A$199,B52,'触发事件'!$E$6:$E$199,"&lt;"&amp;-D52,'触发事件'!$C$6:$C$199,"&gt;=2016-10")</x:f>
        <x:v>0</x:v>
      </x:c>
      <x:c r="F52" s="1" t="n">
        <x:f>COUNTIFS('触发事件'!$A$6:$A$199,B52,'触发事件'!$E$6:$E$199,"&lt;"&amp;-D52,'触发事件'!$C$6:$C$199,"&gt;=2016-10",'触发事件'!$M$6:$M$199,"已完成")</x:f>
        <x:v>0</x:v>
      </x:c>
      <x:c r="G52" s="1" t="n">
        <x:f>COUNTIFS('触发事件'!$A$6:$A$199,B52,'触发事件'!$E$6:$E$199,"&lt;"&amp;-D52,'触发事件'!$C$6:$C$199,"&gt;=2016-10",'触发事件'!$M$6:$M$199,"已完成",'触发事件'!$L$6:$L$199,"&gt;0")</x:f>
        <x:v>0</x:v>
      </x:c>
      <x:c r="H52" s="7" t="str">
        <x:f>IF(F52=0,"n.a.",G52/F52)</x:f>
        <x:v>n.a.</x:v>
      </x:c>
      <x:c r="I52" s="7" t="str">
        <x:f>IF(F52=0,"n.a.",SUMIFS('触发事件'!$L$6:$L$199,'触发事件'!$A$6:$A$199,B52,'触发事件'!$E$6:$E$199,"&lt;"&amp;-D52,'触发事件'!$C$6:$C$199,"&gt;=2016-10",'触发事件'!$M$6:$M$199,"已完成")/F52)</x:f>
        <x:v>n.a.</x:v>
      </x:c>
      <x:c r="J52" s="7"/>
      <x:c r="K52" s="7"/>
      <x:c r="L52" s="7"/>
      <x:c r="M52" s="7"/>
      <x:c r="N52" s="7"/>
      <x:c r="O52" s="1" t="n">
        <x:v>0</x:v>
      </x:c>
      <x:c r="P52" s="9"/>
    </x:row>
    <x:row r="53" ht="25" customHeight="1">
      <x:c r="A53" s="1" t="str">
        <x:v>中证1000</x:v>
      </x:c>
      <x:c r="B53" s="1" t="str">
        <x:v>sh000852</x:v>
      </x:c>
      <x:c r="C53" s="1" t="str">
        <x:v>近十年含回溯</x:v>
      </x:c>
      <x:c r="D53" s="8" t="n">
        <x:v>0.25</x:v>
      </x:c>
      <x:c r="E53" s="1" t="n">
        <x:f>COUNTIFS('触发事件'!$A$6:$A$199,B53,'触发事件'!$E$6:$E$199,"&lt;"&amp;-D53,'触发事件'!$C$6:$C$199,"&gt;=2016-10")</x:f>
        <x:v>0</x:v>
      </x:c>
      <x:c r="F53" s="1" t="n">
        <x:f>COUNTIFS('触发事件'!$A$6:$A$199,B53,'触发事件'!$E$6:$E$199,"&lt;"&amp;-D53,'触发事件'!$C$6:$C$199,"&gt;=2016-10",'触发事件'!$M$6:$M$199,"已完成")</x:f>
        <x:v>0</x:v>
      </x:c>
      <x:c r="G53" s="1" t="n">
        <x:f>COUNTIFS('触发事件'!$A$6:$A$199,B53,'触发事件'!$E$6:$E$199,"&lt;"&amp;-D53,'触发事件'!$C$6:$C$199,"&gt;=2016-10",'触发事件'!$M$6:$M$199,"已完成",'触发事件'!$L$6:$L$199,"&gt;0")</x:f>
        <x:v>0</x:v>
      </x:c>
      <x:c r="H53" s="7" t="str">
        <x:f>IF(F53=0,"n.a.",G53/F53)</x:f>
        <x:v>n.a.</x:v>
      </x:c>
      <x:c r="I53" s="7" t="str">
        <x:f>IF(F53=0,"n.a.",SUMIFS('触发事件'!$L$6:$L$199,'触发事件'!$A$6:$A$199,B53,'触发事件'!$E$6:$E$199,"&lt;"&amp;-D53,'触发事件'!$C$6:$C$199,"&gt;=2016-10",'触发事件'!$M$6:$M$199,"已完成")/F53)</x:f>
        <x:v>n.a.</x:v>
      </x:c>
      <x:c r="J53" s="7"/>
      <x:c r="K53" s="7"/>
      <x:c r="L53" s="7"/>
      <x:c r="M53" s="7"/>
      <x:c r="N53" s="7"/>
      <x:c r="O53" s="1" t="n">
        <x:v>0</x:v>
      </x:c>
      <x:c r="P53" s="9"/>
    </x:row>
    <x:row r="54" ht="25" customHeight="1">
      <x:c r="A54" s="1" t="str">
        <x:v>中证2000</x:v>
      </x:c>
      <x:c r="B54" s="1" t="str">
        <x:v>sh932000</x:v>
      </x:c>
      <x:c r="C54" s="1" t="str">
        <x:v>全历史含回溯</x:v>
      </x:c>
      <x:c r="D54" s="8" t="n">
        <x:v>0.1</x:v>
      </x:c>
      <x:c r="E54" s="1" t="n">
        <x:f>COUNTIFS('触发事件'!$A$6:$A$199,B54,'触发事件'!$E$6:$E$199,"&lt;"&amp;-D54)</x:f>
        <x:v>11</x:v>
      </x:c>
      <x:c r="F54" s="1" t="n">
        <x:f>COUNTIFS('触发事件'!$A$6:$A$199,B54,'触发事件'!$E$6:$E$199,"&lt;"&amp;-D54,'触发事件'!$M$6:$M$199,"已完成")</x:f>
        <x:v>10</x:v>
      </x:c>
      <x:c r="G54" s="1" t="n">
        <x:f>COUNTIFS('触发事件'!$A$6:$A$199,B54,'触发事件'!$E$6:$E$199,"&lt;"&amp;-D54,'触发事件'!$M$6:$M$199,"已完成",'触发事件'!$L$6:$L$199,"&gt;0")</x:f>
        <x:v>6</x:v>
      </x:c>
      <x:c r="H54" s="7" t="n">
        <x:f>IF(F54=0,"n.a.",G54/F54)</x:f>
        <x:v>0.6</x:v>
      </x:c>
      <x:c r="I54" s="7" t="n">
        <x:f>IF(F54=0,"n.a.",SUMIFS('触发事件'!$L$6:$L$199,'触发事件'!$A$6:$A$199,B54,'触发事件'!$E$6:$E$199,"&lt;"&amp;-D54,'触发事件'!$M$6:$M$199,"已完成")/F54)</x:f>
        <x:v>0.0890213719894519</x:v>
      </x:c>
      <x:c r="J54" s="7" t="n">
        <x:v>0.08556473731263303</x:v>
      </x:c>
      <x:c r="K54" s="7" t="n">
        <x:v>0.6355262901307195</x:v>
      </x:c>
      <x:c r="L54" s="7" t="n">
        <x:v>-0.29909351500260595</x:v>
      </x:c>
      <x:c r="M54" s="7" t="n">
        <x:v>-0.3530669098850917</x:v>
      </x:c>
      <x:c r="N54" s="7" t="n">
        <x:v>-0.1702590257695538</x:v>
      </x:c>
      <x:c r="O54" s="1" t="n">
        <x:v>3</x:v>
      </x:c>
      <x:c r="P54" s="9" t="n">
        <x:v>1.6443374977166683</x:v>
      </x:c>
    </x:row>
    <x:row r="55" ht="25" customHeight="1">
      <x:c r="A55" s="1" t="str">
        <x:v>中证2000</x:v>
      </x:c>
      <x:c r="B55" s="1" t="str">
        <x:v>sh932000</x:v>
      </x:c>
      <x:c r="C55" s="1" t="str">
        <x:v>全历史含回溯</x:v>
      </x:c>
      <x:c r="D55" s="8" t="n">
        <x:v>0.15</x:v>
      </x:c>
      <x:c r="E55" s="1" t="n">
        <x:f>COUNTIFS('触发事件'!$A$6:$A$199,B55,'触发事件'!$E$6:$E$199,"&lt;"&amp;-D55)</x:f>
        <x:v>5</x:v>
      </x:c>
      <x:c r="F55" s="1" t="n">
        <x:f>COUNTIFS('触发事件'!$A$6:$A$199,B55,'触发事件'!$E$6:$E$199,"&lt;"&amp;-D55,'触发事件'!$M$6:$M$199,"已完成")</x:f>
        <x:v>4</x:v>
      </x:c>
      <x:c r="G55" s="1" t="n">
        <x:f>COUNTIFS('触发事件'!$A$6:$A$199,B55,'触发事件'!$E$6:$E$199,"&lt;"&amp;-D55,'触发事件'!$M$6:$M$199,"已完成",'触发事件'!$L$6:$L$199,"&gt;0")</x:f>
        <x:v>3</x:v>
      </x:c>
      <x:c r="H55" s="7" t="n">
        <x:f>IF(F55=0,"n.a.",G55/F55)</x:f>
        <x:v>0.75</x:v>
      </x:c>
      <x:c r="I55" s="7" t="n">
        <x:f>IF(F55=0,"n.a.",SUMIFS('触发事件'!$L$6:$L$199,'触发事件'!$A$6:$A$199,B55,'触发事件'!$E$6:$E$199,"&lt;"&amp;-D55,'触发事件'!$M$6:$M$199,"已完成")/F55)</x:f>
        <x:v>0.12603234415533604</x:v>
      </x:c>
      <x:c r="J55" s="7" t="n">
        <x:v>0.1439666167171033</x:v>
      </x:c>
      <x:c r="K55" s="7" t="n">
        <x:v>0.23127719477860254</x:v>
      </x:c>
      <x:c r="L55" s="7" t="n">
        <x:v>-0.015081051591465</x:v>
      </x:c>
      <x:c r="M55" s="7" t="n">
        <x:v>-0.3206244644910752</x:v>
      </x:c>
      <x:c r="N55" s="7" t="n">
        <x:v>-0.17123875096444144</x:v>
      </x:c>
      <x:c r="O55" s="1" t="n">
        <x:v>0</x:v>
      </x:c>
      <x:c r="P55" s="9" t="n">
        <x:v>11.475999646838334</x:v>
      </x:c>
    </x:row>
    <x:row r="56" ht="25" customHeight="1">
      <x:c r="A56" s="1" t="str">
        <x:v>中证2000</x:v>
      </x:c>
      <x:c r="B56" s="1" t="str">
        <x:v>sh932000</x:v>
      </x:c>
      <x:c r="C56" s="1" t="str">
        <x:v>全历史含回溯</x:v>
      </x:c>
      <x:c r="D56" s="8" t="n">
        <x:v>0.2</x:v>
      </x:c>
      <x:c r="E56" s="1" t="n">
        <x:f>COUNTIFS('触发事件'!$A$6:$A$199,B56,'触发事件'!$E$6:$E$199,"&lt;"&amp;-D56)</x:f>
        <x:v>2</x:v>
      </x:c>
      <x:c r="F56" s="1" t="n">
        <x:f>COUNTIFS('触发事件'!$A$6:$A$199,B56,'触发事件'!$E$6:$E$199,"&lt;"&amp;-D56,'触发事件'!$M$6:$M$199,"已完成")</x:f>
        <x:v>2</x:v>
      </x:c>
      <x:c r="G56" s="1" t="n">
        <x:f>COUNTIFS('触发事件'!$A$6:$A$199,B56,'触发事件'!$E$6:$E$199,"&lt;"&amp;-D56,'触发事件'!$M$6:$M$199,"已完成",'触发事件'!$L$6:$L$199,"&gt;0")</x:f>
        <x:v>2</x:v>
      </x:c>
      <x:c r="H56" s="7" t="n">
        <x:f>IF(F56=0,"n.a.",G56/F56)</x:f>
        <x:v>1</x:v>
      </x:c>
      <x:c r="I56" s="7" t="n">
        <x:f>IF(F56=0,"n.a.",SUMIFS('触发事件'!$L$6:$L$199,'触发事件'!$A$6:$A$199,B56,'触发事件'!$E$6:$E$199,"&lt;"&amp;-D56,'触发事件'!$M$6:$M$199,"已完成")/F56)</x:f>
        <x:v>0.1439666167171033</x:v>
      </x:c>
      <x:c r="J56" s="7" t="n">
        <x:v>0.1439666167171033</x:v>
      </x:c>
      <x:c r="K56" s="7" t="n">
        <x:v>0.17687461223205792</x:v>
      </x:c>
      <x:c r="L56" s="7" t="n">
        <x:v>0.11105862120214871</x:v>
      </x:c>
      <x:c r="M56" s="7" t="n">
        <x:v>-0.17108678021086776</x:v>
      </x:c>
      <x:c r="N56" s="7" t="n">
        <x:v>-0.15701866657483687</x:v>
      </x:c>
      <x:c r="O56" s="1" t="n">
        <x:v>0</x:v>
      </x:c>
      <x:c r="P56" s="9"/>
    </x:row>
    <x:row r="57" ht="25" customHeight="1">
      <x:c r="A57" s="1" t="str">
        <x:v>中证2000</x:v>
      </x:c>
      <x:c r="B57" s="1" t="str">
        <x:v>sh932000</x:v>
      </x:c>
      <x:c r="C57" s="1" t="str">
        <x:v>全历史含回溯</x:v>
      </x:c>
      <x:c r="D57" s="8" t="n">
        <x:v>0.25</x:v>
      </x:c>
      <x:c r="E57" s="1" t="n">
        <x:f>COUNTIFS('触发事件'!$A$6:$A$199,B57,'触发事件'!$E$6:$E$199,"&lt;"&amp;-D57)</x:f>
        <x:v>1</x:v>
      </x:c>
      <x:c r="F57" s="1" t="n">
        <x:f>COUNTIFS('触发事件'!$A$6:$A$199,B57,'触发事件'!$E$6:$E$199,"&lt;"&amp;-D57,'触发事件'!$M$6:$M$199,"已完成")</x:f>
        <x:v>1</x:v>
      </x:c>
      <x:c r="G57" s="1" t="n">
        <x:f>COUNTIFS('触发事件'!$A$6:$A$199,B57,'触发事件'!$E$6:$E$199,"&lt;"&amp;-D57,'触发事件'!$M$6:$M$199,"已完成",'触发事件'!$L$6:$L$199,"&gt;0")</x:f>
        <x:v>1</x:v>
      </x:c>
      <x:c r="H57" s="7" t="n">
        <x:f>IF(F57=0,"n.a.",G57/F57)</x:f>
        <x:v>1</x:v>
      </x:c>
      <x:c r="I57" s="7" t="n">
        <x:f>IF(F57=0,"n.a.",SUMIFS('触发事件'!$L$6:$L$199,'触发事件'!$A$6:$A$199,B57,'触发事件'!$E$6:$E$199,"&lt;"&amp;-D57,'触发事件'!$M$6:$M$199,"已完成")/F57)</x:f>
        <x:v>0.17687461223205792</x:v>
      </x:c>
      <x:c r="J57" s="7" t="n">
        <x:v>0.17687461223205792</x:v>
      </x:c>
      <x:c r="K57" s="7" t="n">
        <x:v>0.17687461223205792</x:v>
      </x:c>
      <x:c r="L57" s="7" t="n">
        <x:v>0.17687461223205792</x:v>
      </x:c>
      <x:c r="M57" s="7" t="n">
        <x:v>-0.14295055293880599</x:v>
      </x:c>
      <x:c r="N57" s="7" t="n">
        <x:v>-0.14295055293880599</x:v>
      </x:c>
      <x:c r="O57" s="1" t="n">
        <x:v>0</x:v>
      </x:c>
      <x:c r="P57" s="9"/>
    </x:row>
    <x:row r="58" ht="25" customHeight="1">
      <x:c r="A58" s="1" t="str">
        <x:v>中证2000</x:v>
      </x:c>
      <x:c r="B58" s="1" t="str">
        <x:v>sh932000</x:v>
      </x:c>
      <x:c r="C58" s="1" t="str">
        <x:v>发布后</x:v>
      </x:c>
      <x:c r="D58" s="8" t="n">
        <x:v>0.1</x:v>
      </x:c>
      <x:c r="E58" s="1" t="n">
        <x:f>COUNTIFS('触发事件'!$A$6:$A$199,B58,'触发事件'!$E$6:$E$199,"&lt;"&amp;-D58,'触发事件'!$D$6:$D$199,1)</x:f>
        <x:v>3</x:v>
      </x:c>
      <x:c r="F58" s="1" t="n">
        <x:f>COUNTIFS('触发事件'!$A$6:$A$199,B58,'触发事件'!$E$6:$E$199,"&lt;"&amp;-D58,'触发事件'!$D$6:$D$199,1,'触发事件'!$M$6:$M$199,"已完成")</x:f>
        <x:v>2</x:v>
      </x:c>
      <x:c r="G58" s="1" t="n">
        <x:f>COUNTIFS('触发事件'!$A$6:$A$199,B58,'触发事件'!$E$6:$E$199,"&lt;"&amp;-D58,'触发事件'!$D$6:$D$199,1,'触发事件'!$M$6:$M$199,"已完成",'触发事件'!$L$6:$L$199,"&gt;0")</x:f>
        <x:v>2</x:v>
      </x:c>
      <x:c r="H58" s="7" t="n">
        <x:f>IF(F58=0,"n.a.",G58/F58)</x:f>
        <x:v>1</x:v>
      </x:c>
      <x:c r="I58" s="7" t="n">
        <x:f>IF(F58=0,"n.a.",SUMIFS('触发事件'!$L$6:$L$199,'触发事件'!$A$6:$A$199,B58,'触发事件'!$E$6:$E$199,"&lt;"&amp;-D58,'触发事件'!$D$6:$D$199,1,'触发事件'!$M$6:$M$199,"已完成")/F58)</x:f>
        <x:v>0.08556473731263303</x:v>
      </x:c>
      <x:c r="J58" s="7" t="n">
        <x:v>0.08556473731263303</x:v>
      </x:c>
      <x:c r="K58" s="7" t="n">
        <x:v>0.11105862120214871</x:v>
      </x:c>
      <x:c r="L58" s="7" t="n">
        <x:v>0.060070853423117354</x:v>
      </x:c>
      <x:c r="M58" s="7" t="n">
        <x:v>-0.17108678021086776</x:v>
      </x:c>
      <x:c r="N58" s="7" t="n">
        <x:v>-0.139679139122952</x:v>
      </x:c>
      <x:c r="O58" s="1" t="n">
        <x:v>0</x:v>
      </x:c>
      <x:c r="P58" s="9"/>
    </x:row>
    <x:row r="59" ht="25" customHeight="1">
      <x:c r="A59" s="1" t="str">
        <x:v>中证2000</x:v>
      </x:c>
      <x:c r="B59" s="1" t="str">
        <x:v>sh932000</x:v>
      </x:c>
      <x:c r="C59" s="1" t="str">
        <x:v>发布后</x:v>
      </x:c>
      <x:c r="D59" s="8" t="n">
        <x:v>0.15</x:v>
      </x:c>
      <x:c r="E59" s="1" t="n">
        <x:f>COUNTIFS('触发事件'!$A$6:$A$199,B59,'触发事件'!$E$6:$E$199,"&lt;"&amp;-D59,'触发事件'!$D$6:$D$199,1)</x:f>
        <x:v>2</x:v>
      </x:c>
      <x:c r="F59" s="1" t="n">
        <x:f>COUNTIFS('触发事件'!$A$6:$A$199,B59,'触发事件'!$E$6:$E$199,"&lt;"&amp;-D59,'触发事件'!$D$6:$D$199,1,'触发事件'!$M$6:$M$199,"已完成")</x:f>
        <x:v>1</x:v>
      </x:c>
      <x:c r="G59" s="1" t="n">
        <x:f>COUNTIFS('触发事件'!$A$6:$A$199,B59,'触发事件'!$E$6:$E$199,"&lt;"&amp;-D59,'触发事件'!$D$6:$D$199,1,'触发事件'!$M$6:$M$199,"已完成",'触发事件'!$L$6:$L$199,"&gt;0")</x:f>
        <x:v>1</x:v>
      </x:c>
      <x:c r="H59" s="7" t="n">
        <x:f>IF(F59=0,"n.a.",G59/F59)</x:f>
        <x:v>1</x:v>
      </x:c>
      <x:c r="I59" s="7" t="n">
        <x:f>IF(F59=0,"n.a.",SUMIFS('触发事件'!$L$6:$L$199,'触发事件'!$A$6:$A$199,B59,'触发事件'!$E$6:$E$199,"&lt;"&amp;-D59,'触发事件'!$D$6:$D$199,1,'触发事件'!$M$6:$M$199,"已完成")/F59)</x:f>
        <x:v>0.11105862120214871</x:v>
      </x:c>
      <x:c r="J59" s="7" t="n">
        <x:v>0.11105862120214871</x:v>
      </x:c>
      <x:c r="K59" s="7" t="n">
        <x:v>0.11105862120214871</x:v>
      </x:c>
      <x:c r="L59" s="7" t="n">
        <x:v>0.11105862120214871</x:v>
      </x:c>
      <x:c r="M59" s="7" t="n">
        <x:v>-0.17108678021086776</x:v>
      </x:c>
      <x:c r="N59" s="7" t="n">
        <x:v>-0.17108678021086776</x:v>
      </x:c>
      <x:c r="O59" s="1" t="n">
        <x:v>0</x:v>
      </x:c>
      <x:c r="P59" s="9"/>
    </x:row>
    <x:row r="60" ht="25" customHeight="1">
      <x:c r="A60" s="1" t="str">
        <x:v>中证2000</x:v>
      </x:c>
      <x:c r="B60" s="1" t="str">
        <x:v>sh932000</x:v>
      </x:c>
      <x:c r="C60" s="1" t="str">
        <x:v>发布后</x:v>
      </x:c>
      <x:c r="D60" s="8" t="n">
        <x:v>0.2</x:v>
      </x:c>
      <x:c r="E60" s="1" t="n">
        <x:f>COUNTIFS('触发事件'!$A$6:$A$199,B60,'触发事件'!$E$6:$E$199,"&lt;"&amp;-D60,'触发事件'!$D$6:$D$199,1)</x:f>
        <x:v>1</x:v>
      </x:c>
      <x:c r="F60" s="1" t="n">
        <x:f>COUNTIFS('触发事件'!$A$6:$A$199,B60,'触发事件'!$E$6:$E$199,"&lt;"&amp;-D60,'触发事件'!$D$6:$D$199,1,'触发事件'!$M$6:$M$199,"已完成")</x:f>
        <x:v>1</x:v>
      </x:c>
      <x:c r="G60" s="1" t="n">
        <x:f>COUNTIFS('触发事件'!$A$6:$A$199,B60,'触发事件'!$E$6:$E$199,"&lt;"&amp;-D60,'触发事件'!$D$6:$D$199,1,'触发事件'!$M$6:$M$199,"已完成",'触发事件'!$L$6:$L$199,"&gt;0")</x:f>
        <x:v>1</x:v>
      </x:c>
      <x:c r="H60" s="7" t="n">
        <x:f>IF(F60=0,"n.a.",G60/F60)</x:f>
        <x:v>1</x:v>
      </x:c>
      <x:c r="I60" s="7" t="n">
        <x:f>IF(F60=0,"n.a.",SUMIFS('触发事件'!$L$6:$L$199,'触发事件'!$A$6:$A$199,B60,'触发事件'!$E$6:$E$199,"&lt;"&amp;-D60,'触发事件'!$D$6:$D$199,1,'触发事件'!$M$6:$M$199,"已完成")/F60)</x:f>
        <x:v>0.11105862120214871</x:v>
      </x:c>
      <x:c r="J60" s="7" t="n">
        <x:v>0.11105862120214871</x:v>
      </x:c>
      <x:c r="K60" s="7" t="n">
        <x:v>0.11105862120214871</x:v>
      </x:c>
      <x:c r="L60" s="7" t="n">
        <x:v>0.11105862120214871</x:v>
      </x:c>
      <x:c r="M60" s="7" t="n">
        <x:v>-0.17108678021086776</x:v>
      </x:c>
      <x:c r="N60" s="7" t="n">
        <x:v>-0.17108678021086776</x:v>
      </x:c>
      <x:c r="O60" s="1" t="n">
        <x:v>0</x:v>
      </x:c>
      <x:c r="P60" s="9"/>
    </x:row>
    <x:row r="61" ht="25" customHeight="1">
      <x:c r="A61" s="1" t="str">
        <x:v>中证2000</x:v>
      </x:c>
      <x:c r="B61" s="1" t="str">
        <x:v>sh932000</x:v>
      </x:c>
      <x:c r="C61" s="1" t="str">
        <x:v>发布后</x:v>
      </x:c>
      <x:c r="D61" s="8" t="n">
        <x:v>0.25</x:v>
      </x:c>
      <x:c r="E61" s="1" t="n">
        <x:f>COUNTIFS('触发事件'!$A$6:$A$199,B61,'触发事件'!$E$6:$E$199,"&lt;"&amp;-D61,'触发事件'!$D$6:$D$199,1)</x:f>
        <x:v>0</x:v>
      </x:c>
      <x:c r="F61" s="1" t="n">
        <x:f>COUNTIFS('触发事件'!$A$6:$A$199,B61,'触发事件'!$E$6:$E$199,"&lt;"&amp;-D61,'触发事件'!$D$6:$D$199,1,'触发事件'!$M$6:$M$199,"已完成")</x:f>
        <x:v>0</x:v>
      </x:c>
      <x:c r="G61" s="1" t="n">
        <x:f>COUNTIFS('触发事件'!$A$6:$A$199,B61,'触发事件'!$E$6:$E$199,"&lt;"&amp;-D61,'触发事件'!$D$6:$D$199,1,'触发事件'!$M$6:$M$199,"已完成",'触发事件'!$L$6:$L$199,"&gt;0")</x:f>
        <x:v>0</x:v>
      </x:c>
      <x:c r="H61" s="7" t="str">
        <x:f>IF(F61=0,"n.a.",G61/F61)</x:f>
        <x:v>n.a.</x:v>
      </x:c>
      <x:c r="I61" s="7" t="str">
        <x:f>IF(F61=0,"n.a.",SUMIFS('触发事件'!$L$6:$L$199,'触发事件'!$A$6:$A$199,B61,'触发事件'!$E$6:$E$199,"&lt;"&amp;-D61,'触发事件'!$D$6:$D$199,1,'触发事件'!$M$6:$M$199,"已完成")/F61)</x:f>
        <x:v>n.a.</x:v>
      </x:c>
      <x:c r="J61" s="7"/>
      <x:c r="K61" s="7"/>
      <x:c r="L61" s="7"/>
      <x:c r="M61" s="7"/>
      <x:c r="N61" s="7"/>
      <x:c r="O61" s="1" t="n">
        <x:v>0</x:v>
      </x:c>
      <x:c r="P61" s="9"/>
    </x:row>
    <x:row r="62" ht="25" customHeight="1">
      <x:c r="A62" s="1" t="str">
        <x:v>中证2000</x:v>
      </x:c>
      <x:c r="B62" s="1" t="str">
        <x:v>sh932000</x:v>
      </x:c>
      <x:c r="C62" s="1" t="str">
        <x:v>近十年含回溯</x:v>
      </x:c>
      <x:c r="D62" s="8" t="n">
        <x:v>0.1</x:v>
      </x:c>
      <x:c r="E62" s="1" t="n">
        <x:f>COUNTIFS('触发事件'!$A$6:$A$199,B62,'触发事件'!$E$6:$E$199,"&lt;"&amp;-D62,'触发事件'!$C$6:$C$199,"&gt;=2016-10")</x:f>
        <x:v>6</x:v>
      </x:c>
      <x:c r="F62" s="1" t="n">
        <x:f>COUNTIFS('触发事件'!$A$6:$A$199,B62,'触发事件'!$E$6:$E$199,"&lt;"&amp;-D62,'触发事件'!$C$6:$C$199,"&gt;=2016-10",'触发事件'!$M$6:$M$199,"已完成")</x:f>
        <x:v>5</x:v>
      </x:c>
      <x:c r="G62" s="1" t="n">
        <x:f>COUNTIFS('触发事件'!$A$6:$A$199,B62,'触发事件'!$E$6:$E$199,"&lt;"&amp;-D62,'触发事件'!$C$6:$C$199,"&gt;=2016-10",'触发事件'!$M$6:$M$199,"已完成",'触发事件'!$L$6:$L$199,"&gt;0")</x:f>
        <x:v>3</x:v>
      </x:c>
      <x:c r="H62" s="7" t="n">
        <x:f>IF(F62=0,"n.a.",G62/F62)</x:f>
        <x:v>0.6</x:v>
      </x:c>
      <x:c r="I62" s="7" t="n">
        <x:f>IF(F62=0,"n.a.",SUMIFS('触发事件'!$L$6:$L$199,'触发事件'!$A$6:$A$199,B62,'触发事件'!$E$6:$E$199,"&lt;"&amp;-D62,'触发事件'!$C$6:$C$199,"&gt;=2016-10",'触发事件'!$M$6:$M$199,"已完成")/F62)</x:f>
        <x:v>0.021910188142751807</x:v>
      </x:c>
      <x:c r="J62" s="7" t="n">
        <x:v>0.060070853423117354</x:v>
      </x:c>
      <x:c r="K62" s="7" t="n">
        <x:v>0.23127719477860254</x:v>
      </x:c>
      <x:c r="L62" s="7" t="n">
        <x:v>-0.18197532089453472</x:v>
      </x:c>
      <x:c r="M62" s="7" t="n">
        <x:v>-0.27784341648148725</x:v>
      </x:c>
      <x:c r="N62" s="7" t="n">
        <x:v>-0.14863039442965817</x:v>
      </x:c>
      <x:c r="O62" s="1" t="n">
        <x:v>1</x:v>
      </x:c>
      <x:c r="P62" s="9" t="n">
        <x:v>0.9160521261982489</x:v>
      </x:c>
    </x:row>
    <x:row r="63" ht="25" customHeight="1">
      <x:c r="A63" s="1" t="str">
        <x:v>中证2000</x:v>
      </x:c>
      <x:c r="B63" s="1" t="str">
        <x:v>sh932000</x:v>
      </x:c>
      <x:c r="C63" s="1" t="str">
        <x:v>近十年含回溯</x:v>
      </x:c>
      <x:c r="D63" s="8" t="n">
        <x:v>0.15</x:v>
      </x:c>
      <x:c r="E63" s="1" t="n">
        <x:f>COUNTIFS('触发事件'!$A$6:$A$199,B63,'触发事件'!$E$6:$E$199,"&lt;"&amp;-D63,'触发事件'!$C$6:$C$199,"&gt;=2016-10")</x:f>
        <x:v>3</x:v>
      </x:c>
      <x:c r="F63" s="1" t="n">
        <x:f>COUNTIFS('触发事件'!$A$6:$A$199,B63,'触发事件'!$E$6:$E$199,"&lt;"&amp;-D63,'触发事件'!$C$6:$C$199,"&gt;=2016-10",'触发事件'!$M$6:$M$199,"已完成")</x:f>
        <x:v>2</x:v>
      </x:c>
      <x:c r="G63" s="1" t="n">
        <x:f>COUNTIFS('触发事件'!$A$6:$A$199,B63,'触发事件'!$E$6:$E$199,"&lt;"&amp;-D63,'触发事件'!$C$6:$C$199,"&gt;=2016-10",'触发事件'!$M$6:$M$199,"已完成",'触发事件'!$L$6:$L$199,"&gt;0")</x:f>
        <x:v>2</x:v>
      </x:c>
      <x:c r="H63" s="7" t="n">
        <x:f>IF(F63=0,"n.a.",G63/F63)</x:f>
        <x:v>1</x:v>
      </x:c>
      <x:c r="I63" s="7" t="n">
        <x:f>IF(F63=0,"n.a.",SUMIFS('触发事件'!$L$6:$L$199,'触发事件'!$A$6:$A$199,B63,'触发事件'!$E$6:$E$199,"&lt;"&amp;-D63,'触发事件'!$C$6:$C$199,"&gt;=2016-10",'触发事件'!$M$6:$M$199,"已完成")/F63)</x:f>
        <x:v>0.17116790799037562</x:v>
      </x:c>
      <x:c r="J63" s="7" t="n">
        <x:v>0.17116790799037562</x:v>
      </x:c>
      <x:c r="K63" s="7" t="n">
        <x:v>0.23127719477860254</x:v>
      </x:c>
      <x:c r="L63" s="7" t="n">
        <x:v>0.11105862120214871</x:v>
      </x:c>
      <x:c r="M63" s="7" t="n">
        <x:v>-0.17108678021086776</x:v>
      </x:c>
      <x:c r="N63" s="7" t="n">
        <x:v>-0.1106899932139423</x:v>
      </x:c>
      <x:c r="O63" s="1" t="n">
        <x:v>0</x:v>
      </x:c>
      <x:c r="P63" s="9"/>
    </x:row>
    <x:row r="64" ht="25" customHeight="1">
      <x:c r="A64" s="1" t="str">
        <x:v>中证2000</x:v>
      </x:c>
      <x:c r="B64" s="1" t="str">
        <x:v>sh932000</x:v>
      </x:c>
      <x:c r="C64" s="1" t="str">
        <x:v>近十年含回溯</x:v>
      </x:c>
      <x:c r="D64" s="8" t="n">
        <x:v>0.2</x:v>
      </x:c>
      <x:c r="E64" s="1" t="n">
        <x:f>COUNTIFS('触发事件'!$A$6:$A$199,B64,'触发事件'!$E$6:$E$199,"&lt;"&amp;-D64,'触发事件'!$C$6:$C$199,"&gt;=2016-10")</x:f>
        <x:v>1</x:v>
      </x:c>
      <x:c r="F64" s="1" t="n">
        <x:f>COUNTIFS('触发事件'!$A$6:$A$199,B64,'触发事件'!$E$6:$E$199,"&lt;"&amp;-D64,'触发事件'!$C$6:$C$199,"&gt;=2016-10",'触发事件'!$M$6:$M$199,"已完成")</x:f>
        <x:v>1</x:v>
      </x:c>
      <x:c r="G64" s="1" t="n">
        <x:f>COUNTIFS('触发事件'!$A$6:$A$199,B64,'触发事件'!$E$6:$E$199,"&lt;"&amp;-D64,'触发事件'!$C$6:$C$199,"&gt;=2016-10",'触发事件'!$M$6:$M$199,"已完成",'触发事件'!$L$6:$L$199,"&gt;0")</x:f>
        <x:v>1</x:v>
      </x:c>
      <x:c r="H64" s="7" t="n">
        <x:f>IF(F64=0,"n.a.",G64/F64)</x:f>
        <x:v>1</x:v>
      </x:c>
      <x:c r="I64" s="7" t="n">
        <x:f>IF(F64=0,"n.a.",SUMIFS('触发事件'!$L$6:$L$199,'触发事件'!$A$6:$A$199,B64,'触发事件'!$E$6:$E$199,"&lt;"&amp;-D64,'触发事件'!$C$6:$C$199,"&gt;=2016-10",'触发事件'!$M$6:$M$199,"已完成")/F64)</x:f>
        <x:v>0.11105862120214871</x:v>
      </x:c>
      <x:c r="J64" s="7" t="n">
        <x:v>0.11105862120214871</x:v>
      </x:c>
      <x:c r="K64" s="7" t="n">
        <x:v>0.11105862120214871</x:v>
      </x:c>
      <x:c r="L64" s="7" t="n">
        <x:v>0.11105862120214871</x:v>
      </x:c>
      <x:c r="M64" s="7" t="n">
        <x:v>-0.17108678021086776</x:v>
      </x:c>
      <x:c r="N64" s="7" t="n">
        <x:v>-0.17108678021086776</x:v>
      </x:c>
      <x:c r="O64" s="1" t="n">
        <x:v>0</x:v>
      </x:c>
      <x:c r="P64" s="9"/>
    </x:row>
    <x:row r="65" ht="25" customHeight="1">
      <x:c r="A65" s="1" t="str">
        <x:v>中证2000</x:v>
      </x:c>
      <x:c r="B65" s="1" t="str">
        <x:v>sh932000</x:v>
      </x:c>
      <x:c r="C65" s="1" t="str">
        <x:v>近十年含回溯</x:v>
      </x:c>
      <x:c r="D65" s="8" t="n">
        <x:v>0.25</x:v>
      </x:c>
      <x:c r="E65" s="1" t="n">
        <x:f>COUNTIFS('触发事件'!$A$6:$A$199,B65,'触发事件'!$E$6:$E$199,"&lt;"&amp;-D65,'触发事件'!$C$6:$C$199,"&gt;=2016-10")</x:f>
        <x:v>0</x:v>
      </x:c>
      <x:c r="F65" s="1" t="n">
        <x:f>COUNTIFS('触发事件'!$A$6:$A$199,B65,'触发事件'!$E$6:$E$199,"&lt;"&amp;-D65,'触发事件'!$C$6:$C$199,"&gt;=2016-10",'触发事件'!$M$6:$M$199,"已完成")</x:f>
        <x:v>0</x:v>
      </x:c>
      <x:c r="G65" s="1" t="n">
        <x:f>COUNTIFS('触发事件'!$A$6:$A$199,B65,'触发事件'!$E$6:$E$199,"&lt;"&amp;-D65,'触发事件'!$C$6:$C$199,"&gt;=2016-10",'触发事件'!$M$6:$M$199,"已完成",'触发事件'!$L$6:$L$199,"&gt;0")</x:f>
        <x:v>0</x:v>
      </x:c>
      <x:c r="H65" s="7" t="str">
        <x:f>IF(F65=0,"n.a.",G65/F65)</x:f>
        <x:v>n.a.</x:v>
      </x:c>
      <x:c r="I65" s="7" t="str">
        <x:f>IF(F65=0,"n.a.",SUMIFS('触发事件'!$L$6:$L$199,'触发事件'!$A$6:$A$199,B65,'触发事件'!$E$6:$E$199,"&lt;"&amp;-D65,'触发事件'!$C$6:$C$199,"&gt;=2016-10",'触发事件'!$M$6:$M$199,"已完成")/F65)</x:f>
        <x:v>n.a.</x:v>
      </x:c>
      <x:c r="J65" s="7"/>
      <x:c r="K65" s="7"/>
      <x:c r="L65" s="7"/>
      <x:c r="M65" s="7"/>
      <x:c r="N65" s="7"/>
      <x:c r="O65" s="1" t="n">
        <x:v>0</x:v>
      </x:c>
      <x:c r="P65" s="9"/>
    </x:row>
    <x:row r="66" ht="25" customHeight="1">
      <x:c r="A66" s="1" t="str">
        <x:v>上证50</x:v>
      </x:c>
      <x:c r="B66" s="1" t="str">
        <x:v>sh000016</x:v>
      </x:c>
      <x:c r="C66" s="1" t="str">
        <x:v>全历史含回溯</x:v>
      </x:c>
      <x:c r="D66" s="8" t="n">
        <x:v>0.1</x:v>
      </x:c>
      <x:c r="E66" s="1" t="n">
        <x:f>COUNTIFS('触发事件'!$A$6:$A$199,B66,'触发事件'!$E$6:$E$199,"&lt;"&amp;-D66)</x:f>
        <x:v>16</x:v>
      </x:c>
      <x:c r="F66" s="1" t="n">
        <x:f>COUNTIFS('触发事件'!$A$6:$A$199,B66,'触发事件'!$E$6:$E$199,"&lt;"&amp;-D66,'触发事件'!$M$6:$M$199,"已完成")</x:f>
        <x:v>16</x:v>
      </x:c>
      <x:c r="G66" s="1" t="n">
        <x:f>COUNTIFS('触发事件'!$A$6:$A$199,B66,'触发事件'!$E$6:$E$199,"&lt;"&amp;-D66,'触发事件'!$M$6:$M$199,"已完成",'触发事件'!$L$6:$L$199,"&gt;0")</x:f>
        <x:v>9</x:v>
      </x:c>
      <x:c r="H66" s="7" t="n">
        <x:f>IF(F66=0,"n.a.",G66/F66)</x:f>
        <x:v>0.5625</x:v>
      </x:c>
      <x:c r="I66" s="7" t="n">
        <x:f>IF(F66=0,"n.a.",SUMIFS('触发事件'!$L$6:$L$199,'触发事件'!$A$6:$A$199,B66,'触发事件'!$E$6:$E$199,"&lt;"&amp;-D66,'触发事件'!$M$6:$M$199,"已完成")/F66)</x:f>
        <x:v>-0.0083123599196512</x:v>
      </x:c>
      <x:c r="J66" s="7" t="n">
        <x:v>0.0176327761602475</x:v>
      </x:c>
      <x:c r="K66" s="7" t="n">
        <x:v>0.22231327202646511</x:v>
      </x:c>
      <x:c r="L66" s="7" t="n">
        <x:v>-0.32204609918918137</x:v>
      </x:c>
      <x:c r="M66" s="7" t="n">
        <x:v>-0.3439990954830686</x:v>
      </x:c>
      <x:c r="N66" s="7" t="n">
        <x:v>-0.17104938613069964</x:v>
      </x:c>
      <x:c r="O66" s="1" t="n">
        <x:v>5</x:v>
      </x:c>
      <x:c r="P66" s="9" t="n">
        <x:v>0.6792079714402288</x:v>
      </x:c>
    </x:row>
    <x:row r="67" ht="25" customHeight="1">
      <x:c r="A67" s="1" t="str">
        <x:v>上证50</x:v>
      </x:c>
      <x:c r="B67" s="1" t="str">
        <x:v>sh000016</x:v>
      </x:c>
      <x:c r="C67" s="1" t="str">
        <x:v>全历史含回溯</x:v>
      </x:c>
      <x:c r="D67" s="8" t="n">
        <x:v>0.15</x:v>
      </x:c>
      <x:c r="E67" s="1" t="n">
        <x:f>COUNTIFS('触发事件'!$A$6:$A$199,B67,'触发事件'!$E$6:$E$199,"&lt;"&amp;-D67)</x:f>
        <x:v>8</x:v>
      </x:c>
      <x:c r="F67" s="1" t="n">
        <x:f>COUNTIFS('触发事件'!$A$6:$A$199,B67,'触发事件'!$E$6:$E$199,"&lt;"&amp;-D67,'触发事件'!$M$6:$M$199,"已完成")</x:f>
        <x:v>8</x:v>
      </x:c>
      <x:c r="G67" s="1" t="n">
        <x:f>COUNTIFS('触发事件'!$A$6:$A$199,B67,'触发事件'!$E$6:$E$199,"&lt;"&amp;-D67,'触发事件'!$M$6:$M$199,"已完成",'触发事件'!$L$6:$L$199,"&gt;0")</x:f>
        <x:v>4</x:v>
      </x:c>
      <x:c r="H67" s="7" t="n">
        <x:f>IF(F67=0,"n.a.",G67/F67)</x:f>
        <x:v>0.5</x:v>
      </x:c>
      <x:c r="I67" s="7" t="n">
        <x:f>IF(F67=0,"n.a.",SUMIFS('触发事件'!$L$6:$L$199,'触发事件'!$A$6:$A$199,B67,'触发事件'!$E$6:$E$199,"&lt;"&amp;-D67,'触发事件'!$M$6:$M$199,"已完成")/F67)</x:f>
        <x:v>-0.009015900454264897</x:v>
      </x:c>
      <x:c r="J67" s="7" t="n">
        <x:v>-0.015684874369703783</x:v>
      </x:c>
      <x:c r="K67" s="7" t="n">
        <x:v>0.2106135415847037</x:v>
      </x:c>
      <x:c r="L67" s="7" t="n">
        <x:v>-0.2242836469914774</x:v>
      </x:c>
      <x:c r="M67" s="7" t="n">
        <x:v>-0.3439990954830686</x:v>
      </x:c>
      <x:c r="N67" s="7" t="n">
        <x:v>-0.20487579669626776</x:v>
      </x:c>
      <x:c r="O67" s="1" t="n">
        <x:v>2</x:v>
      </x:c>
      <x:c r="P67" s="9" t="n">
        <x:v>0.8809175213092578</x:v>
      </x:c>
    </x:row>
    <x:row r="68" ht="25" customHeight="1">
      <x:c r="A68" s="1" t="str">
        <x:v>上证50</x:v>
      </x:c>
      <x:c r="B68" s="1" t="str">
        <x:v>sh000016</x:v>
      </x:c>
      <x:c r="C68" s="1" t="str">
        <x:v>全历史含回溯</x:v>
      </x:c>
      <x:c r="D68" s="8" t="n">
        <x:v>0.2</x:v>
      </x:c>
      <x:c r="E68" s="1" t="n">
        <x:f>COUNTIFS('触发事件'!$A$6:$A$199,B68,'触发事件'!$E$6:$E$199,"&lt;"&amp;-D68)</x:f>
        <x:v>3</x:v>
      </x:c>
      <x:c r="F68" s="1" t="n">
        <x:f>COUNTIFS('触发事件'!$A$6:$A$199,B68,'触发事件'!$E$6:$E$199,"&lt;"&amp;-D68,'触发事件'!$M$6:$M$199,"已完成")</x:f>
        <x:v>3</x:v>
      </x:c>
      <x:c r="G68" s="1" t="n">
        <x:f>COUNTIFS('触发事件'!$A$6:$A$199,B68,'触发事件'!$E$6:$E$199,"&lt;"&amp;-D68,'触发事件'!$M$6:$M$199,"已完成",'触发事件'!$L$6:$L$199,"&gt;0")</x:f>
        <x:v>2</x:v>
      </x:c>
      <x:c r="H68" s="7" t="n">
        <x:f>IF(F68=0,"n.a.",G68/F68)</x:f>
        <x:v>0.6666666666666666</x:v>
      </x:c>
      <x:c r="I68" s="7" t="n">
        <x:f>IF(F68=0,"n.a.",SUMIFS('触发事件'!$L$6:$L$199,'触发事件'!$A$6:$A$199,B68,'触发事件'!$E$6:$E$199,"&lt;"&amp;-D68,'触发事件'!$M$6:$M$199,"已完成")/F68)</x:f>
        <x:v>0.06850798063763996</x:v>
      </x:c>
      <x:c r="J68" s="7" t="n">
        <x:v>0.17492515939335318</x:v>
      </x:c>
      <x:c r="K68" s="7" t="n">
        <x:v>0.2106135415847037</x:v>
      </x:c>
      <x:c r="L68" s="7" t="n">
        <x:v>-0.18001475906513698</x:v>
      </x:c>
      <x:c r="M68" s="7" t="n">
        <x:v>-0.3439990954830686</x:v>
      </x:c>
      <x:c r="N68" s="7" t="n">
        <x:v>-0.19200899447543396</x:v>
      </x:c>
      <x:c r="O68" s="1" t="n">
        <x:v>0</x:v>
      </x:c>
      <x:c r="P68" s="9" t="n">
        <x:v>1.0708530316632332</x:v>
      </x:c>
    </x:row>
    <x:row r="69" ht="25" customHeight="1">
      <x:c r="A69" s="1" t="str">
        <x:v>上证50</x:v>
      </x:c>
      <x:c r="B69" s="1" t="str">
        <x:v>sh000016</x:v>
      </x:c>
      <x:c r="C69" s="1" t="str">
        <x:v>全历史含回溯</x:v>
      </x:c>
      <x:c r="D69" s="8" t="n">
        <x:v>0.25</x:v>
      </x:c>
      <x:c r="E69" s="1" t="n">
        <x:f>COUNTIFS('触发事件'!$A$6:$A$199,B69,'触发事件'!$E$6:$E$199,"&lt;"&amp;-D69)</x:f>
        <x:v>2</x:v>
      </x:c>
      <x:c r="F69" s="1" t="n">
        <x:f>COUNTIFS('触发事件'!$A$6:$A$199,B69,'触发事件'!$E$6:$E$199,"&lt;"&amp;-D69,'触发事件'!$M$6:$M$199,"已完成")</x:f>
        <x:v>2</x:v>
      </x:c>
      <x:c r="G69" s="1" t="n">
        <x:f>COUNTIFS('触发事件'!$A$6:$A$199,B69,'触发事件'!$E$6:$E$199,"&lt;"&amp;-D69,'触发事件'!$M$6:$M$199,"已完成",'触发事件'!$L$6:$L$199,"&gt;0")</x:f>
        <x:v>2</x:v>
      </x:c>
      <x:c r="H69" s="7" t="n">
        <x:f>IF(F69=0,"n.a.",G69/F69)</x:f>
        <x:v>1</x:v>
      </x:c>
      <x:c r="I69" s="7" t="n">
        <x:f>IF(F69=0,"n.a.",SUMIFS('触发事件'!$L$6:$L$199,'触发事件'!$A$6:$A$199,B69,'触发事件'!$E$6:$E$199,"&lt;"&amp;-D69,'触发事件'!$M$6:$M$199,"已完成")/F69)</x:f>
        <x:v>0.19276935048902843</x:v>
      </x:c>
      <x:c r="J69" s="7" t="n">
        <x:v>0.19276935048902843</x:v>
      </x:c>
      <x:c r="K69" s="7" t="n">
        <x:v>0.2106135415847037</x:v>
      </x:c>
      <x:c r="L69" s="7" t="n">
        <x:v>0.17492515939335318</x:v>
      </x:c>
      <x:c r="M69" s="7" t="n">
        <x:v>-0.13846431393041325</x:v>
      </x:c>
      <x:c r="N69" s="7" t="n">
        <x:v>-0.11601394397161663</x:v>
      </x:c>
      <x:c r="O69" s="1" t="n">
        <x:v>0</x:v>
      </x:c>
      <x:c r="P69" s="9"/>
    </x:row>
    <x:row r="70" ht="25" customHeight="1">
      <x:c r="A70" s="1" t="str">
        <x:v>上证50</x:v>
      </x:c>
      <x:c r="B70" s="1" t="str">
        <x:v>sh000016</x:v>
      </x:c>
      <x:c r="C70" s="1" t="str">
        <x:v>发布后</x:v>
      </x:c>
      <x:c r="D70" s="8" t="n">
        <x:v>0.1</x:v>
      </x:c>
      <x:c r="E70" s="1" t="n">
        <x:f>COUNTIFS('触发事件'!$A$6:$A$199,B70,'触发事件'!$E$6:$E$199,"&lt;"&amp;-D70,'触发事件'!$D$6:$D$199,1)</x:f>
        <x:v>16</x:v>
      </x:c>
      <x:c r="F70" s="1" t="n">
        <x:f>COUNTIFS('触发事件'!$A$6:$A$199,B70,'触发事件'!$E$6:$E$199,"&lt;"&amp;-D70,'触发事件'!$D$6:$D$199,1,'触发事件'!$M$6:$M$199,"已完成")</x:f>
        <x:v>16</x:v>
      </x:c>
      <x:c r="G70" s="1" t="n">
        <x:f>COUNTIFS('触发事件'!$A$6:$A$199,B70,'触发事件'!$E$6:$E$199,"&lt;"&amp;-D70,'触发事件'!$D$6:$D$199,1,'触发事件'!$M$6:$M$199,"已完成",'触发事件'!$L$6:$L$199,"&gt;0")</x:f>
        <x:v>9</x:v>
      </x:c>
      <x:c r="H70" s="7" t="n">
        <x:f>IF(F70=0,"n.a.",G70/F70)</x:f>
        <x:v>0.5625</x:v>
      </x:c>
      <x:c r="I70" s="7" t="n">
        <x:f>IF(F70=0,"n.a.",SUMIFS('触发事件'!$L$6:$L$199,'触发事件'!$A$6:$A$199,B70,'触发事件'!$E$6:$E$199,"&lt;"&amp;-D70,'触发事件'!$D$6:$D$199,1,'触发事件'!$M$6:$M$199,"已完成")/F70)</x:f>
        <x:v>-0.0083123599196512</x:v>
      </x:c>
      <x:c r="J70" s="7" t="n">
        <x:v>0.0176327761602475</x:v>
      </x:c>
      <x:c r="K70" s="7" t="n">
        <x:v>0.22231327202646511</x:v>
      </x:c>
      <x:c r="L70" s="7" t="n">
        <x:v>-0.32204609918918137</x:v>
      </x:c>
      <x:c r="M70" s="7" t="n">
        <x:v>-0.3439990954830686</x:v>
      </x:c>
      <x:c r="N70" s="7" t="n">
        <x:v>-0.17104938613069964</x:v>
      </x:c>
      <x:c r="O70" s="1" t="n">
        <x:v>5</x:v>
      </x:c>
      <x:c r="P70" s="9" t="n">
        <x:v>0.6792079714402288</x:v>
      </x:c>
    </x:row>
    <x:row r="71" ht="25" customHeight="1">
      <x:c r="A71" s="1" t="str">
        <x:v>上证50</x:v>
      </x:c>
      <x:c r="B71" s="1" t="str">
        <x:v>sh000016</x:v>
      </x:c>
      <x:c r="C71" s="1" t="str">
        <x:v>发布后</x:v>
      </x:c>
      <x:c r="D71" s="8" t="n">
        <x:v>0.15</x:v>
      </x:c>
      <x:c r="E71" s="1" t="n">
        <x:f>COUNTIFS('触发事件'!$A$6:$A$199,B71,'触发事件'!$E$6:$E$199,"&lt;"&amp;-D71,'触发事件'!$D$6:$D$199,1)</x:f>
        <x:v>8</x:v>
      </x:c>
      <x:c r="F71" s="1" t="n">
        <x:f>COUNTIFS('触发事件'!$A$6:$A$199,B71,'触发事件'!$E$6:$E$199,"&lt;"&amp;-D71,'触发事件'!$D$6:$D$199,1,'触发事件'!$M$6:$M$199,"已完成")</x:f>
        <x:v>8</x:v>
      </x:c>
      <x:c r="G71" s="1" t="n">
        <x:f>COUNTIFS('触发事件'!$A$6:$A$199,B71,'触发事件'!$E$6:$E$199,"&lt;"&amp;-D71,'触发事件'!$D$6:$D$199,1,'触发事件'!$M$6:$M$199,"已完成",'触发事件'!$L$6:$L$199,"&gt;0")</x:f>
        <x:v>4</x:v>
      </x:c>
      <x:c r="H71" s="7" t="n">
        <x:f>IF(F71=0,"n.a.",G71/F71)</x:f>
        <x:v>0.5</x:v>
      </x:c>
      <x:c r="I71" s="7" t="n">
        <x:f>IF(F71=0,"n.a.",SUMIFS('触发事件'!$L$6:$L$199,'触发事件'!$A$6:$A$199,B71,'触发事件'!$E$6:$E$199,"&lt;"&amp;-D71,'触发事件'!$D$6:$D$199,1,'触发事件'!$M$6:$M$199,"已完成")/F71)</x:f>
        <x:v>-0.009015900454264897</x:v>
      </x:c>
      <x:c r="J71" s="7" t="n">
        <x:v>-0.015684874369703783</x:v>
      </x:c>
      <x:c r="K71" s="7" t="n">
        <x:v>0.2106135415847037</x:v>
      </x:c>
      <x:c r="L71" s="7" t="n">
        <x:v>-0.2242836469914774</x:v>
      </x:c>
      <x:c r="M71" s="7" t="n">
        <x:v>-0.3439990954830686</x:v>
      </x:c>
      <x:c r="N71" s="7" t="n">
        <x:v>-0.20487579669626776</x:v>
      </x:c>
      <x:c r="O71" s="1" t="n">
        <x:v>2</x:v>
      </x:c>
      <x:c r="P71" s="9" t="n">
        <x:v>0.8809175213092578</x:v>
      </x:c>
    </x:row>
    <x:row r="72" ht="25" customHeight="1">
      <x:c r="A72" s="1" t="str">
        <x:v>上证50</x:v>
      </x:c>
      <x:c r="B72" s="1" t="str">
        <x:v>sh000016</x:v>
      </x:c>
      <x:c r="C72" s="1" t="str">
        <x:v>发布后</x:v>
      </x:c>
      <x:c r="D72" s="8" t="n">
        <x:v>0.2</x:v>
      </x:c>
      <x:c r="E72" s="1" t="n">
        <x:f>COUNTIFS('触发事件'!$A$6:$A$199,B72,'触发事件'!$E$6:$E$199,"&lt;"&amp;-D72,'触发事件'!$D$6:$D$199,1)</x:f>
        <x:v>3</x:v>
      </x:c>
      <x:c r="F72" s="1" t="n">
        <x:f>COUNTIFS('触发事件'!$A$6:$A$199,B72,'触发事件'!$E$6:$E$199,"&lt;"&amp;-D72,'触发事件'!$D$6:$D$199,1,'触发事件'!$M$6:$M$199,"已完成")</x:f>
        <x:v>3</x:v>
      </x:c>
      <x:c r="G72" s="1" t="n">
        <x:f>COUNTIFS('触发事件'!$A$6:$A$199,B72,'触发事件'!$E$6:$E$199,"&lt;"&amp;-D72,'触发事件'!$D$6:$D$199,1,'触发事件'!$M$6:$M$199,"已完成",'触发事件'!$L$6:$L$199,"&gt;0")</x:f>
        <x:v>2</x:v>
      </x:c>
      <x:c r="H72" s="7" t="n">
        <x:f>IF(F72=0,"n.a.",G72/F72)</x:f>
        <x:v>0.6666666666666666</x:v>
      </x:c>
      <x:c r="I72" s="7" t="n">
        <x:f>IF(F72=0,"n.a.",SUMIFS('触发事件'!$L$6:$L$199,'触发事件'!$A$6:$A$199,B72,'触发事件'!$E$6:$E$199,"&lt;"&amp;-D72,'触发事件'!$D$6:$D$199,1,'触发事件'!$M$6:$M$199,"已完成")/F72)</x:f>
        <x:v>0.06850798063763996</x:v>
      </x:c>
      <x:c r="J72" s="7" t="n">
        <x:v>0.17492515939335318</x:v>
      </x:c>
      <x:c r="K72" s="7" t="n">
        <x:v>0.2106135415847037</x:v>
      </x:c>
      <x:c r="L72" s="7" t="n">
        <x:v>-0.18001475906513698</x:v>
      </x:c>
      <x:c r="M72" s="7" t="n">
        <x:v>-0.3439990954830686</x:v>
      </x:c>
      <x:c r="N72" s="7" t="n">
        <x:v>-0.19200899447543396</x:v>
      </x:c>
      <x:c r="O72" s="1" t="n">
        <x:v>0</x:v>
      </x:c>
      <x:c r="P72" s="9" t="n">
        <x:v>1.0708530316632332</x:v>
      </x:c>
    </x:row>
    <x:row r="73" ht="25" customHeight="1">
      <x:c r="A73" s="1" t="str">
        <x:v>上证50</x:v>
      </x:c>
      <x:c r="B73" s="1" t="str">
        <x:v>sh000016</x:v>
      </x:c>
      <x:c r="C73" s="1" t="str">
        <x:v>发布后</x:v>
      </x:c>
      <x:c r="D73" s="8" t="n">
        <x:v>0.25</x:v>
      </x:c>
      <x:c r="E73" s="1" t="n">
        <x:f>COUNTIFS('触发事件'!$A$6:$A$199,B73,'触发事件'!$E$6:$E$199,"&lt;"&amp;-D73,'触发事件'!$D$6:$D$199,1)</x:f>
        <x:v>2</x:v>
      </x:c>
      <x:c r="F73" s="1" t="n">
        <x:f>COUNTIFS('触发事件'!$A$6:$A$199,B73,'触发事件'!$E$6:$E$199,"&lt;"&amp;-D73,'触发事件'!$D$6:$D$199,1,'触发事件'!$M$6:$M$199,"已完成")</x:f>
        <x:v>2</x:v>
      </x:c>
      <x:c r="G73" s="1" t="n">
        <x:f>COUNTIFS('触发事件'!$A$6:$A$199,B73,'触发事件'!$E$6:$E$199,"&lt;"&amp;-D73,'触发事件'!$D$6:$D$199,1,'触发事件'!$M$6:$M$199,"已完成",'触发事件'!$L$6:$L$199,"&gt;0")</x:f>
        <x:v>2</x:v>
      </x:c>
      <x:c r="H73" s="7" t="n">
        <x:f>IF(F73=0,"n.a.",G73/F73)</x:f>
        <x:v>1</x:v>
      </x:c>
      <x:c r="I73" s="7" t="n">
        <x:f>IF(F73=0,"n.a.",SUMIFS('触发事件'!$L$6:$L$199,'触发事件'!$A$6:$A$199,B73,'触发事件'!$E$6:$E$199,"&lt;"&amp;-D73,'触发事件'!$D$6:$D$199,1,'触发事件'!$M$6:$M$199,"已完成")/F73)</x:f>
        <x:v>0.19276935048902843</x:v>
      </x:c>
      <x:c r="J73" s="7" t="n">
        <x:v>0.19276935048902843</x:v>
      </x:c>
      <x:c r="K73" s="7" t="n">
        <x:v>0.2106135415847037</x:v>
      </x:c>
      <x:c r="L73" s="7" t="n">
        <x:v>0.17492515939335318</x:v>
      </x:c>
      <x:c r="M73" s="7" t="n">
        <x:v>-0.13846431393041325</x:v>
      </x:c>
      <x:c r="N73" s="7" t="n">
        <x:v>-0.11601394397161663</x:v>
      </x:c>
      <x:c r="O73" s="1" t="n">
        <x:v>0</x:v>
      </x:c>
      <x:c r="P73" s="9"/>
    </x:row>
    <x:row r="74" ht="25" customHeight="1">
      <x:c r="A74" s="1" t="str">
        <x:v>上证50</x:v>
      </x:c>
      <x:c r="B74" s="1" t="str">
        <x:v>sh000016</x:v>
      </x:c>
      <x:c r="C74" s="1" t="str">
        <x:v>近十年含回溯</x:v>
      </x:c>
      <x:c r="D74" s="8" t="n">
        <x:v>0.1</x:v>
      </x:c>
      <x:c r="E74" s="1" t="n">
        <x:f>COUNTIFS('触发事件'!$A$6:$A$199,B74,'触发事件'!$E$6:$E$199,"&lt;"&amp;-D74,'触发事件'!$C$6:$C$199,"&gt;=2016-10")</x:f>
        <x:v>2</x:v>
      </x:c>
      <x:c r="F74" s="1" t="n">
        <x:f>COUNTIFS('触发事件'!$A$6:$A$199,B74,'触发事件'!$E$6:$E$199,"&lt;"&amp;-D74,'触发事件'!$C$6:$C$199,"&gt;=2016-10",'触发事件'!$M$6:$M$199,"已完成")</x:f>
        <x:v>2</x:v>
      </x:c>
      <x:c r="G74" s="1" t="n">
        <x:f>COUNTIFS('触发事件'!$A$6:$A$199,B74,'触发事件'!$E$6:$E$199,"&lt;"&amp;-D74,'触发事件'!$C$6:$C$199,"&gt;=2016-10",'触发事件'!$M$6:$M$199,"已完成",'触发事件'!$L$6:$L$199,"&gt;0")</x:f>
        <x:v>2</x:v>
      </x:c>
      <x:c r="H74" s="7" t="n">
        <x:f>IF(F74=0,"n.a.",G74/F74)</x:f>
        <x:v>1</x:v>
      </x:c>
      <x:c r="I74" s="7" t="n">
        <x:f>IF(F74=0,"n.a.",SUMIFS('触发事件'!$L$6:$L$199,'触发事件'!$A$6:$A$199,B74,'触发事件'!$E$6:$E$199,"&lt;"&amp;-D74,'触发事件'!$C$6:$C$199,"&gt;=2016-10",'触发事件'!$M$6:$M$199,"已完成")/F74)</x:f>
        <x:v>0.13248170107765433</x:v>
      </x:c>
      <x:c r="J74" s="7" t="n">
        <x:v>0.13248170107765433</x:v>
      </x:c>
      <x:c r="K74" s="7" t="n">
        <x:v>0.22231327202646511</x:v>
      </x:c>
      <x:c r="L74" s="7" t="n">
        <x:v>0.042650130128843555</x:v>
      </x:c>
      <x:c r="M74" s="7" t="n">
        <x:v>-0.06565003876970799</x:v>
      </x:c>
      <x:c r="N74" s="7" t="n">
        <x:v>-0.05263667473409328</x:v>
      </x:c>
      <x:c r="O74" s="1" t="n">
        <x:v>0</x:v>
      </x:c>
      <x:c r="P74" s="9"/>
    </x:row>
    <x:row r="75" ht="25" customHeight="1">
      <x:c r="A75" s="1" t="str">
        <x:v>上证50</x:v>
      </x:c>
      <x:c r="B75" s="1" t="str">
        <x:v>sh000016</x:v>
      </x:c>
      <x:c r="C75" s="1" t="str">
        <x:v>近十年含回溯</x:v>
      </x:c>
      <x:c r="D75" s="8" t="n">
        <x:v>0.15</x:v>
      </x:c>
      <x:c r="E75" s="1" t="n">
        <x:f>COUNTIFS('触发事件'!$A$6:$A$199,B75,'触发事件'!$E$6:$E$199,"&lt;"&amp;-D75,'触发事件'!$C$6:$C$199,"&gt;=2016-10")</x:f>
        <x:v>0</x:v>
      </x:c>
      <x:c r="F75" s="1" t="n">
        <x:f>COUNTIFS('触发事件'!$A$6:$A$199,B75,'触发事件'!$E$6:$E$199,"&lt;"&amp;-D75,'触发事件'!$C$6:$C$199,"&gt;=2016-10",'触发事件'!$M$6:$M$199,"已完成")</x:f>
        <x:v>0</x:v>
      </x:c>
      <x:c r="G75" s="1" t="n">
        <x:f>COUNTIFS('触发事件'!$A$6:$A$199,B75,'触发事件'!$E$6:$E$199,"&lt;"&amp;-D75,'触发事件'!$C$6:$C$199,"&gt;=2016-10",'触发事件'!$M$6:$M$199,"已完成",'触发事件'!$L$6:$L$199,"&gt;0")</x:f>
        <x:v>0</x:v>
      </x:c>
      <x:c r="H75" s="7" t="str">
        <x:f>IF(F75=0,"n.a.",G75/F75)</x:f>
        <x:v>n.a.</x:v>
      </x:c>
      <x:c r="I75" s="7" t="str">
        <x:f>IF(F75=0,"n.a.",SUMIFS('触发事件'!$L$6:$L$199,'触发事件'!$A$6:$A$199,B75,'触发事件'!$E$6:$E$199,"&lt;"&amp;-D75,'触发事件'!$C$6:$C$199,"&gt;=2016-10",'触发事件'!$M$6:$M$199,"已完成")/F75)</x:f>
        <x:v>n.a.</x:v>
      </x:c>
      <x:c r="J75" s="7"/>
      <x:c r="K75" s="7"/>
      <x:c r="L75" s="7"/>
      <x:c r="M75" s="7"/>
      <x:c r="N75" s="7"/>
      <x:c r="O75" s="1" t="n">
        <x:v>0</x:v>
      </x:c>
      <x:c r="P75" s="9"/>
    </x:row>
    <x:row r="76" ht="25" customHeight="1">
      <x:c r="A76" s="1" t="str">
        <x:v>上证50</x:v>
      </x:c>
      <x:c r="B76" s="1" t="str">
        <x:v>sh000016</x:v>
      </x:c>
      <x:c r="C76" s="1" t="str">
        <x:v>近十年含回溯</x:v>
      </x:c>
      <x:c r="D76" s="8" t="n">
        <x:v>0.2</x:v>
      </x:c>
      <x:c r="E76" s="1" t="n">
        <x:f>COUNTIFS('触发事件'!$A$6:$A$199,B76,'触发事件'!$E$6:$E$199,"&lt;"&amp;-D76,'触发事件'!$C$6:$C$199,"&gt;=2016-10")</x:f>
        <x:v>0</x:v>
      </x:c>
      <x:c r="F76" s="1" t="n">
        <x:f>COUNTIFS('触发事件'!$A$6:$A$199,B76,'触发事件'!$E$6:$E$199,"&lt;"&amp;-D76,'触发事件'!$C$6:$C$199,"&gt;=2016-10",'触发事件'!$M$6:$M$199,"已完成")</x:f>
        <x:v>0</x:v>
      </x:c>
      <x:c r="G76" s="1" t="n">
        <x:f>COUNTIFS('触发事件'!$A$6:$A$199,B76,'触发事件'!$E$6:$E$199,"&lt;"&amp;-D76,'触发事件'!$C$6:$C$199,"&gt;=2016-10",'触发事件'!$M$6:$M$199,"已完成",'触发事件'!$L$6:$L$199,"&gt;0")</x:f>
        <x:v>0</x:v>
      </x:c>
      <x:c r="H76" s="7" t="str">
        <x:f>IF(F76=0,"n.a.",G76/F76)</x:f>
        <x:v>n.a.</x:v>
      </x:c>
      <x:c r="I76" s="7" t="str">
        <x:f>IF(F76=0,"n.a.",SUMIFS('触发事件'!$L$6:$L$199,'触发事件'!$A$6:$A$199,B76,'触发事件'!$E$6:$E$199,"&lt;"&amp;-D76,'触发事件'!$C$6:$C$199,"&gt;=2016-10",'触发事件'!$M$6:$M$199,"已完成")/F76)</x:f>
        <x:v>n.a.</x:v>
      </x:c>
      <x:c r="J76" s="7"/>
      <x:c r="K76" s="7"/>
      <x:c r="L76" s="7"/>
      <x:c r="M76" s="7"/>
      <x:c r="N76" s="7"/>
      <x:c r="O76" s="1" t="n">
        <x:v>0</x:v>
      </x:c>
      <x:c r="P76" s="9"/>
    </x:row>
    <x:row r="77" ht="25" customHeight="1">
      <x:c r="A77" s="1" t="str">
        <x:v>上证50</x:v>
      </x:c>
      <x:c r="B77" s="1" t="str">
        <x:v>sh000016</x:v>
      </x:c>
      <x:c r="C77" s="1" t="str">
        <x:v>近十年含回溯</x:v>
      </x:c>
      <x:c r="D77" s="8" t="n">
        <x:v>0.25</x:v>
      </x:c>
      <x:c r="E77" s="1" t="n">
        <x:f>COUNTIFS('触发事件'!$A$6:$A$199,B77,'触发事件'!$E$6:$E$199,"&lt;"&amp;-D77,'触发事件'!$C$6:$C$199,"&gt;=2016-10")</x:f>
        <x:v>0</x:v>
      </x:c>
      <x:c r="F77" s="1" t="n">
        <x:f>COUNTIFS('触发事件'!$A$6:$A$199,B77,'触发事件'!$E$6:$E$199,"&lt;"&amp;-D77,'触发事件'!$C$6:$C$199,"&gt;=2016-10",'触发事件'!$M$6:$M$199,"已完成")</x:f>
        <x:v>0</x:v>
      </x:c>
      <x:c r="G77" s="1" t="n">
        <x:f>COUNTIFS('触发事件'!$A$6:$A$199,B77,'触发事件'!$E$6:$E$199,"&lt;"&amp;-D77,'触发事件'!$C$6:$C$199,"&gt;=2016-10",'触发事件'!$M$6:$M$199,"已完成",'触发事件'!$L$6:$L$199,"&gt;0")</x:f>
        <x:v>0</x:v>
      </x:c>
      <x:c r="H77" s="7" t="str">
        <x:f>IF(F77=0,"n.a.",G77/F77)</x:f>
        <x:v>n.a.</x:v>
      </x:c>
      <x:c r="I77" s="7" t="str">
        <x:f>IF(F77=0,"n.a.",SUMIFS('触发事件'!$L$6:$L$199,'触发事件'!$A$6:$A$199,B77,'触发事件'!$E$6:$E$199,"&lt;"&amp;-D77,'触发事件'!$C$6:$C$199,"&gt;=2016-10",'触发事件'!$M$6:$M$199,"已完成")/F77)</x:f>
        <x:v>n.a.</x:v>
      </x:c>
      <x:c r="J77" s="7"/>
      <x:c r="K77" s="7"/>
      <x:c r="L77" s="7"/>
      <x:c r="M77" s="7"/>
      <x:c r="N77" s="7"/>
      <x:c r="O77" s="1" t="n">
        <x:v>0</x:v>
      </x:c>
      <x:c r="P77" s="9"/>
    </x:row>
    <x:row r="78" ht="25" customHeight="1">
      <x:c r="A78" s="1" t="str">
        <x:v>深证成指</x:v>
      </x:c>
      <x:c r="B78" s="1" t="str">
        <x:v>sz399001</x:v>
      </x:c>
      <x:c r="C78" s="1" t="str">
        <x:v>全历史含回溯</x:v>
      </x:c>
      <x:c r="D78" s="8" t="n">
        <x:v>0.1</x:v>
      </x:c>
      <x:c r="E78" s="1" t="n">
        <x:f>COUNTIFS('触发事件'!$A$6:$A$199,B78,'触发事件'!$E$6:$E$199,"&lt;"&amp;-D78)</x:f>
        <x:v>43</x:v>
      </x:c>
      <x:c r="F78" s="1" t="n">
        <x:f>COUNTIFS('触发事件'!$A$6:$A$199,B78,'触发事件'!$E$6:$E$199,"&lt;"&amp;-D78,'触发事件'!$M$6:$M$199,"已完成")</x:f>
        <x:v>42</x:v>
      </x:c>
      <x:c r="G78" s="1" t="n">
        <x:f>COUNTIFS('触发事件'!$A$6:$A$199,B78,'触发事件'!$E$6:$E$199,"&lt;"&amp;-D78,'触发事件'!$M$6:$M$199,"已完成",'触发事件'!$L$6:$L$199,"&gt;0")</x:f>
        <x:v>17</x:v>
      </x:c>
      <x:c r="H78" s="7" t="n">
        <x:f>IF(F78=0,"n.a.",G78/F78)</x:f>
        <x:v>0.40476190476190477</x:v>
      </x:c>
      <x:c r="I78" s="7" t="n">
        <x:f>IF(F78=0,"n.a.",SUMIFS('触发事件'!$L$6:$L$199,'触发事件'!$A$6:$A$199,B78,'触发事件'!$E$6:$E$199,"&lt;"&amp;-D78,'触发事件'!$M$6:$M$199,"已完成")/F78)</x:f>
        <x:v>0.0024068265150907022</x:v>
      </x:c>
      <x:c r="J78" s="7" t="n">
        <x:v>-0.013499088748981647</x:v>
      </x:c>
      <x:c r="K78" s="7" t="n">
        <x:v>1.0454028721898707</x:v>
      </x:c>
      <x:c r="L78" s="7" t="n">
        <x:v>-0.4505532327146645</x:v>
      </x:c>
      <x:c r="M78" s="7" t="n">
        <x:v>-0.4505532327146645</x:v>
      </x:c>
      <x:c r="N78" s="7" t="n">
        <x:v>-0.22883531429135326</x:v>
      </x:c>
      <x:c r="O78" s="1" t="n">
        <x:v>18</x:v>
      </x:c>
      <x:c r="P78" s="9" t="n">
        <x:v>1.5074388564863548</x:v>
      </x:c>
    </x:row>
    <x:row r="79" ht="25" customHeight="1">
      <x:c r="A79" s="1" t="str">
        <x:v>深证成指</x:v>
      </x:c>
      <x:c r="B79" s="1" t="str">
        <x:v>sz399001</x:v>
      </x:c>
      <x:c r="C79" s="1" t="str">
        <x:v>全历史含回溯</x:v>
      </x:c>
      <x:c r="D79" s="8" t="n">
        <x:v>0.15</x:v>
      </x:c>
      <x:c r="E79" s="1" t="n">
        <x:f>COUNTIFS('触发事件'!$A$6:$A$199,B79,'触发事件'!$E$6:$E$199,"&lt;"&amp;-D79)</x:f>
        <x:v>16</x:v>
      </x:c>
      <x:c r="F79" s="1" t="n">
        <x:f>COUNTIFS('触发事件'!$A$6:$A$199,B79,'触发事件'!$E$6:$E$199,"&lt;"&amp;-D79,'触发事件'!$M$6:$M$199,"已完成")</x:f>
        <x:v>15</x:v>
      </x:c>
      <x:c r="G79" s="1" t="n">
        <x:f>COUNTIFS('触发事件'!$A$6:$A$199,B79,'触发事件'!$E$6:$E$199,"&lt;"&amp;-D79,'触发事件'!$M$6:$M$199,"已完成",'触发事件'!$L$6:$L$199,"&gt;0")</x:f>
        <x:v>9</x:v>
      </x:c>
      <x:c r="H79" s="7" t="n">
        <x:f>IF(F79=0,"n.a.",G79/F79)</x:f>
        <x:v>0.6</x:v>
      </x:c>
      <x:c r="I79" s="7" t="n">
        <x:f>IF(F79=0,"n.a.",SUMIFS('触发事件'!$L$6:$L$199,'触发事件'!$A$6:$A$199,B79,'触发事件'!$E$6:$E$199,"&lt;"&amp;-D79,'触发事件'!$M$6:$M$199,"已完成")/F79)</x:f>
        <x:v>0.09646910927193571</x:v>
      </x:c>
      <x:c r="J79" s="7" t="n">
        <x:v>0.08035788455762849</x:v>
      </x:c>
      <x:c r="K79" s="7" t="n">
        <x:v>1.0454028721898707</x:v>
      </x:c>
      <x:c r="L79" s="7" t="n">
        <x:v>-0.2920900899000658</x:v>
      </x:c>
      <x:c r="M79" s="7" t="n">
        <x:v>-0.4412487580400566</x:v>
      </x:c>
      <x:c r="N79" s="7" t="n">
        <x:v>-0.23575101703810625</x:v>
      </x:c>
      <x:c r="O79" s="1" t="n">
        <x:v>4</x:v>
      </x:c>
      <x:c r="P79" s="9" t="n">
        <x:v>1.3893124715103131</x:v>
      </x:c>
    </x:row>
    <x:row r="80" ht="25" customHeight="1">
      <x:c r="A80" s="1" t="str">
        <x:v>深证成指</x:v>
      </x:c>
      <x:c r="B80" s="1" t="str">
        <x:v>sz399001</x:v>
      </x:c>
      <x:c r="C80" s="1" t="str">
        <x:v>全历史含回溯</x:v>
      </x:c>
      <x:c r="D80" s="8" t="n">
        <x:v>0.2</x:v>
      </x:c>
      <x:c r="E80" s="1" t="n">
        <x:f>COUNTIFS('触发事件'!$A$6:$A$199,B80,'触发事件'!$E$6:$E$199,"&lt;"&amp;-D80)</x:f>
        <x:v>6</x:v>
      </x:c>
      <x:c r="F80" s="1" t="n">
        <x:f>COUNTIFS('触发事件'!$A$6:$A$199,B80,'触发事件'!$E$6:$E$199,"&lt;"&amp;-D80,'触发事件'!$M$6:$M$199,"已完成")</x:f>
        <x:v>6</x:v>
      </x:c>
      <x:c r="G80" s="1" t="n">
        <x:f>COUNTIFS('触发事件'!$A$6:$A$199,B80,'触发事件'!$E$6:$E$199,"&lt;"&amp;-D80,'触发事件'!$M$6:$M$199,"已完成",'触发事件'!$L$6:$L$199,"&gt;0")</x:f>
        <x:v>5</x:v>
      </x:c>
      <x:c r="H80" s="7" t="n">
        <x:f>IF(F80=0,"n.a.",G80/F80)</x:f>
        <x:v>0.8333333333333334</x:v>
      </x:c>
      <x:c r="I80" s="7" t="n">
        <x:f>IF(F80=0,"n.a.",SUMIFS('触发事件'!$L$6:$L$199,'触发事件'!$A$6:$A$199,B80,'触发事件'!$E$6:$E$199,"&lt;"&amp;-D80,'触发事件'!$M$6:$M$199,"已完成")/F80)</x:f>
        <x:v>0.30970749623344423</x:v>
      </x:c>
      <x:c r="J80" s="7" t="n">
        <x:v>0.25574419005728843</x:v>
      </x:c>
      <x:c r="K80" s="7" t="n">
        <x:v>1.0454028721898707</x:v>
      </x:c>
      <x:c r="L80" s="7" t="n">
        <x:v>-0.21190083981390428</x:v>
      </x:c>
      <x:c r="M80" s="7" t="n">
        <x:v>-0.36621640152268675</x:v>
      </x:c>
      <x:c r="N80" s="7" t="n">
        <x:v>-0.18229864545571287</x:v>
      </x:c>
      <x:c r="O80" s="1" t="n">
        <x:v>0</x:v>
      </x:c>
      <x:c r="P80" s="9" t="n">
        <x:v>1.9538816542988833</x:v>
      </x:c>
    </x:row>
    <x:row r="81" ht="25" customHeight="1">
      <x:c r="A81" s="1" t="str">
        <x:v>深证成指</x:v>
      </x:c>
      <x:c r="B81" s="1" t="str">
        <x:v>sz399001</x:v>
      </x:c>
      <x:c r="C81" s="1" t="str">
        <x:v>全历史含回溯</x:v>
      </x:c>
      <x:c r="D81" s="8" t="n">
        <x:v>0.25</x:v>
      </x:c>
      <x:c r="E81" s="1" t="n">
        <x:f>COUNTIFS('触发事件'!$A$6:$A$199,B81,'触发事件'!$E$6:$E$199,"&lt;"&amp;-D81)</x:f>
        <x:v>2</x:v>
      </x:c>
      <x:c r="F81" s="1" t="n">
        <x:f>COUNTIFS('触发事件'!$A$6:$A$199,B81,'触发事件'!$E$6:$E$199,"&lt;"&amp;-D81,'触发事件'!$M$6:$M$199,"已完成")</x:f>
        <x:v>2</x:v>
      </x:c>
      <x:c r="G81" s="1" t="n">
        <x:f>COUNTIFS('触发事件'!$A$6:$A$199,B81,'触发事件'!$E$6:$E$199,"&lt;"&amp;-D81,'触发事件'!$M$6:$M$199,"已完成",'触发事件'!$L$6:$L$199,"&gt;0")</x:f>
        <x:v>2</x:v>
      </x:c>
      <x:c r="H81" s="7" t="n">
        <x:f>IF(F81=0,"n.a.",G81/F81)</x:f>
        <x:v>1</x:v>
      </x:c>
      <x:c r="I81" s="7" t="n">
        <x:f>IF(F81=0,"n.a.",SUMIFS('触发事件'!$L$6:$L$199,'触发事件'!$A$6:$A$199,B81,'触发事件'!$E$6:$E$199,"&lt;"&amp;-D81,'触发事件'!$M$6:$M$199,"已完成")/F81)</x:f>
        <x:v>0.5628803783737496</x:v>
      </x:c>
      <x:c r="J81" s="7" t="n">
        <x:v>0.5628803783737496</x:v>
      </x:c>
      <x:c r="K81" s="7" t="n">
        <x:v>1.0454028721898707</x:v>
      </x:c>
      <x:c r="L81" s="7" t="n">
        <x:v>0.08035788455762849</x:v>
      </x:c>
      <x:c r="M81" s="7" t="n">
        <x:v>-0.25727983552964173</x:v>
      </x:c>
      <x:c r="N81" s="7" t="n">
        <x:v>-0.19004340962046817</x:v>
      </x:c>
      <x:c r="O81" s="1" t="n">
        <x:v>0</x:v>
      </x:c>
      <x:c r="P81" s="9"/>
    </x:row>
    <x:row r="82" ht="25" customHeight="1">
      <x:c r="A82" s="1" t="str">
        <x:v>深证成指</x:v>
      </x:c>
      <x:c r="B82" s="1" t="str">
        <x:v>sz399001</x:v>
      </x:c>
      <x:c r="C82" s="1" t="str">
        <x:v>发布后</x:v>
      </x:c>
      <x:c r="D82" s="8" t="n">
        <x:v>0.1</x:v>
      </x:c>
      <x:c r="E82" s="1" t="n">
        <x:f>COUNTIFS('触发事件'!$A$6:$A$199,B82,'触发事件'!$E$6:$E$199,"&lt;"&amp;-D82,'触发事件'!$D$6:$D$199,1)</x:f>
        <x:v>30</x:v>
      </x:c>
      <x:c r="F82" s="1" t="n">
        <x:f>COUNTIFS('触发事件'!$A$6:$A$199,B82,'触发事件'!$E$6:$E$199,"&lt;"&amp;-D82,'触发事件'!$D$6:$D$199,1,'触发事件'!$M$6:$M$199,"已完成")</x:f>
        <x:v>29</x:v>
      </x:c>
      <x:c r="G82" s="1" t="n">
        <x:f>COUNTIFS('触发事件'!$A$6:$A$199,B82,'触发事件'!$E$6:$E$199,"&lt;"&amp;-D82,'触发事件'!$D$6:$D$199,1,'触发事件'!$M$6:$M$199,"已完成",'触发事件'!$L$6:$L$199,"&gt;0")</x:f>
        <x:v>12</x:v>
      </x:c>
      <x:c r="H82" s="7" t="n">
        <x:f>IF(F82=0,"n.a.",G82/F82)</x:f>
        <x:v>0.41379310344827586</x:v>
      </x:c>
      <x:c r="I82" s="7" t="n">
        <x:f>IF(F82=0,"n.a.",SUMIFS('触发事件'!$L$6:$L$199,'触发事件'!$A$6:$A$199,B82,'触发事件'!$E$6:$E$199,"&lt;"&amp;-D82,'触发事件'!$D$6:$D$199,1,'触发事件'!$M$6:$M$199,"已完成")/F82)</x:f>
        <x:v>-0.019713352710141924</x:v>
      </x:c>
      <x:c r="J82" s="7" t="n">
        <x:v>-0.010782518633597804</x:v>
      </x:c>
      <x:c r="K82" s="7" t="n">
        <x:v>0.4328966803524936</x:v>
      </x:c>
      <x:c r="L82" s="7" t="n">
        <x:v>-0.36328401368339036</x:v>
      </x:c>
      <x:c r="M82" s="7" t="n">
        <x:v>-0.36630989653527957</x:v>
      </x:c>
      <x:c r="N82" s="7" t="n">
        <x:v>-0.19139774499308682</x:v>
      </x:c>
      <x:c r="O82" s="1" t="n">
        <x:v>10</x:v>
      </x:c>
      <x:c r="P82" s="9" t="n">
        <x:v>1.0675565533861033</x:v>
      </x:c>
    </x:row>
    <x:row r="83" ht="25" customHeight="1">
      <x:c r="A83" s="1" t="str">
        <x:v>深证成指</x:v>
      </x:c>
      <x:c r="B83" s="1" t="str">
        <x:v>sz399001</x:v>
      </x:c>
      <x:c r="C83" s="1" t="str">
        <x:v>发布后</x:v>
      </x:c>
      <x:c r="D83" s="8" t="n">
        <x:v>0.15</x:v>
      </x:c>
      <x:c r="E83" s="1" t="n">
        <x:f>COUNTIFS('触发事件'!$A$6:$A$199,B83,'触发事件'!$E$6:$E$199,"&lt;"&amp;-D83,'触发事件'!$D$6:$D$199,1)</x:f>
        <x:v>10</x:v>
      </x:c>
      <x:c r="F83" s="1" t="n">
        <x:f>COUNTIFS('触发事件'!$A$6:$A$199,B83,'触发事件'!$E$6:$E$199,"&lt;"&amp;-D83,'触发事件'!$D$6:$D$199,1,'触发事件'!$M$6:$M$199,"已完成")</x:f>
        <x:v>9</x:v>
      </x:c>
      <x:c r="G83" s="1" t="n">
        <x:f>COUNTIFS('触发事件'!$A$6:$A$199,B83,'触发事件'!$E$6:$E$199,"&lt;"&amp;-D83,'触发事件'!$D$6:$D$199,1,'触发事件'!$M$6:$M$199,"已完成",'触发事件'!$L$6:$L$199,"&gt;0")</x:f>
        <x:v>6</x:v>
      </x:c>
      <x:c r="H83" s="7" t="n">
        <x:f>IF(F83=0,"n.a.",G83/F83)</x:f>
        <x:v>0.6666666666666666</x:v>
      </x:c>
      <x:c r="I83" s="7" t="n">
        <x:f>IF(F83=0,"n.a.",SUMIFS('触发事件'!$L$6:$L$199,'触发事件'!$A$6:$A$199,B83,'触发事件'!$E$6:$E$199,"&lt;"&amp;-D83,'触发事件'!$D$6:$D$199,1,'触发事件'!$M$6:$M$199,"已完成")/F83)</x:f>
        <x:v>0.05287469250649354</x:v>
      </x:c>
      <x:c r="J83" s="7" t="n">
        <x:v>0.08035788455762849</x:v>
      </x:c>
      <x:c r="K83" s="7" t="n">
        <x:v>0.4328966803524936</x:v>
      </x:c>
      <x:c r="L83" s="7" t="n">
        <x:v>-0.2920900899000658</x:v>
      </x:c>
      <x:c r="M83" s="7" t="n">
        <x:v>-0.36621640152268675</x:v>
      </x:c>
      <x:c r="N83" s="7" t="n">
        <x:v>-0.1917643809777105</x:v>
      </x:c>
      <x:c r="O83" s="1" t="n">
        <x:v>2</x:v>
      </x:c>
      <x:c r="P83" s="9" t="n">
        <x:v>0.8551970362734215</x:v>
      </x:c>
    </x:row>
    <x:row r="84" ht="25" customHeight="1">
      <x:c r="A84" s="1" t="str">
        <x:v>深证成指</x:v>
      </x:c>
      <x:c r="B84" s="1" t="str">
        <x:v>sz399001</x:v>
      </x:c>
      <x:c r="C84" s="1" t="str">
        <x:v>发布后</x:v>
      </x:c>
      <x:c r="D84" s="8" t="n">
        <x:v>0.2</x:v>
      </x:c>
      <x:c r="E84" s="1" t="n">
        <x:f>COUNTIFS('触发事件'!$A$6:$A$199,B84,'触发事件'!$E$6:$E$199,"&lt;"&amp;-D84,'触发事件'!$D$6:$D$199,1)</x:f>
        <x:v>5</x:v>
      </x:c>
      <x:c r="F84" s="1" t="n">
        <x:f>COUNTIFS('触发事件'!$A$6:$A$199,B84,'触发事件'!$E$6:$E$199,"&lt;"&amp;-D84,'触发事件'!$D$6:$D$199,1,'触发事件'!$M$6:$M$199,"已完成")</x:f>
        <x:v>5</x:v>
      </x:c>
      <x:c r="G84" s="1" t="n">
        <x:f>COUNTIFS('触发事件'!$A$6:$A$199,B84,'触发事件'!$E$6:$E$199,"&lt;"&amp;-D84,'触发事件'!$D$6:$D$199,1,'触发事件'!$M$6:$M$199,"已完成",'触发事件'!$L$6:$L$199,"&gt;0")</x:f>
        <x:v>4</x:v>
      </x:c>
      <x:c r="H84" s="7" t="n">
        <x:f>IF(F84=0,"n.a.",G84/F84)</x:f>
        <x:v>0.8</x:v>
      </x:c>
      <x:c r="I84" s="7" t="n">
        <x:f>IF(F84=0,"n.a.",SUMIFS('触发事件'!$L$6:$L$199,'触发事件'!$A$6:$A$199,B84,'触发事件'!$E$6:$E$199,"&lt;"&amp;-D84,'触发事件'!$D$6:$D$199,1,'触发事件'!$M$6:$M$199,"已完成")/F84)</x:f>
        <x:v>0.16256842104215893</x:v>
      </x:c>
      <x:c r="J84" s="7" t="n">
        <x:v>0.2236351366977496</x:v>
      </x:c>
      <x:c r="K84" s="7" t="n">
        <x:v>0.4328966803524936</x:v>
      </x:c>
      <x:c r="L84" s="7" t="n">
        <x:v>-0.21190083981390428</x:v>
      </x:c>
      <x:c r="M84" s="7" t="n">
        <x:v>-0.36621640152268675</x:v>
      </x:c>
      <x:c r="N84" s="7" t="n">
        <x:v>-0.1673024074409271</x:v>
      </x:c>
      <x:c r="O84" s="1" t="n">
        <x:v>0</x:v>
      </x:c>
      <x:c r="P84" s="9" t="n">
        <x:v>1.2089887726785904</x:v>
      </x:c>
    </x:row>
    <x:row r="85" ht="25" customHeight="1">
      <x:c r="A85" s="1" t="str">
        <x:v>深证成指</x:v>
      </x:c>
      <x:c r="B85" s="1" t="str">
        <x:v>sz399001</x:v>
      </x:c>
      <x:c r="C85" s="1" t="str">
        <x:v>发布后</x:v>
      </x:c>
      <x:c r="D85" s="8" t="n">
        <x:v>0.25</x:v>
      </x:c>
      <x:c r="E85" s="1" t="n">
        <x:f>COUNTIFS('触发事件'!$A$6:$A$199,B85,'触发事件'!$E$6:$E$199,"&lt;"&amp;-D85,'触发事件'!$D$6:$D$199,1)</x:f>
        <x:v>1</x:v>
      </x:c>
      <x:c r="F85" s="1" t="n">
        <x:f>COUNTIFS('触发事件'!$A$6:$A$199,B85,'触发事件'!$E$6:$E$199,"&lt;"&amp;-D85,'触发事件'!$D$6:$D$199,1,'触发事件'!$M$6:$M$199,"已完成")</x:f>
        <x:v>1</x:v>
      </x:c>
      <x:c r="G85" s="1" t="n">
        <x:f>COUNTIFS('触发事件'!$A$6:$A$199,B85,'触发事件'!$E$6:$E$199,"&lt;"&amp;-D85,'触发事件'!$D$6:$D$199,1,'触发事件'!$M$6:$M$199,"已完成",'触发事件'!$L$6:$L$199,"&gt;0")</x:f>
        <x:v>1</x:v>
      </x:c>
      <x:c r="H85" s="7" t="n">
        <x:f>IF(F85=0,"n.a.",G85/F85)</x:f>
        <x:v>1</x:v>
      </x:c>
      <x:c r="I85" s="7" t="n">
        <x:f>IF(F85=0,"n.a.",SUMIFS('触发事件'!$L$6:$L$199,'触发事件'!$A$6:$A$199,B85,'触发事件'!$E$6:$E$199,"&lt;"&amp;-D85,'触发事件'!$D$6:$D$199,1,'触发事件'!$M$6:$M$199,"已完成")/F85)</x:f>
        <x:v>0.08035788455762849</x:v>
      </x:c>
      <x:c r="J85" s="7" t="n">
        <x:v>0.08035788455762849</x:v>
      </x:c>
      <x:c r="K85" s="7" t="n">
        <x:v>0.08035788455762849</x:v>
      </x:c>
      <x:c r="L85" s="7" t="n">
        <x:v>0.08035788455762849</x:v>
      </x:c>
      <x:c r="M85" s="7" t="n">
        <x:v>-0.12280698371129461</x:v>
      </x:c>
      <x:c r="N85" s="7" t="n">
        <x:v>-0.12280698371129461</x:v>
      </x:c>
      <x:c r="O85" s="1" t="n">
        <x:v>0</x:v>
      </x:c>
      <x:c r="P85" s="9"/>
    </x:row>
    <x:row r="86" ht="25" customHeight="1">
      <x:c r="A86" s="1" t="str">
        <x:v>深证成指</x:v>
      </x:c>
      <x:c r="B86" s="1" t="str">
        <x:v>sz399001</x:v>
      </x:c>
      <x:c r="C86" s="1" t="str">
        <x:v>近十年含回溯</x:v>
      </x:c>
      <x:c r="D86" s="8" t="n">
        <x:v>0.1</x:v>
      </x:c>
      <x:c r="E86" s="1" t="n">
        <x:f>COUNTIFS('触发事件'!$A$6:$A$199,B86,'触发事件'!$E$6:$E$199,"&lt;"&amp;-D86,'触发事件'!$C$6:$C$199,"&gt;=2016-10")</x:f>
        <x:v>4</x:v>
      </x:c>
      <x:c r="F86" s="1" t="n">
        <x:f>COUNTIFS('触发事件'!$A$6:$A$199,B86,'触发事件'!$E$6:$E$199,"&lt;"&amp;-D86,'触发事件'!$C$6:$C$199,"&gt;=2016-10",'触发事件'!$M$6:$M$199,"已完成")</x:f>
        <x:v>3</x:v>
      </x:c>
      <x:c r="G86" s="1" t="n">
        <x:f>COUNTIFS('触发事件'!$A$6:$A$199,B86,'触发事件'!$E$6:$E$199,"&lt;"&amp;-D86,'触发事件'!$C$6:$C$199,"&gt;=2016-10",'触发事件'!$M$6:$M$199,"已完成",'触发事件'!$L$6:$L$199,"&gt;0")</x:f>
        <x:v>1</x:v>
      </x:c>
      <x:c r="H86" s="7" t="n">
        <x:f>IF(F86=0,"n.a.",G86/F86)</x:f>
        <x:v>0.3333333333333333</x:v>
      </x:c>
      <x:c r="I86" s="7" t="n">
        <x:f>IF(F86=0,"n.a.",SUMIFS('触发事件'!$L$6:$L$199,'触发事件'!$A$6:$A$199,B86,'触发事件'!$E$6:$E$199,"&lt;"&amp;-D86,'触发事件'!$C$6:$C$199,"&gt;=2016-10",'触发事件'!$M$6:$M$199,"已完成")/F86)</x:f>
        <x:v>-0.00739301275443538</x:v>
      </x:c>
      <x:c r="J86" s="7" t="n">
        <x:v>-0.005751697893818797</x:v>
      </x:c>
      <x:c r="K86" s="7" t="n">
        <x:v>0.19125245784497613</x:v>
      </x:c>
      <x:c r="L86" s="7" t="n">
        <x:v>-0.20767979821446347</x:v>
      </x:c>
      <x:c r="M86" s="7" t="n">
        <x:v>-0.24723964613779104</x:v>
      </x:c>
      <x:c r="N86" s="7" t="n">
        <x:v>-0.14474876811527096</x:v>
      </x:c>
      <x:c r="O86" s="1" t="n">
        <x:v>0</x:v>
      </x:c>
      <x:c r="P86" s="9" t="n">
        <x:v>1.7921671480758976</x:v>
      </x:c>
    </x:row>
    <x:row r="87" ht="25" customHeight="1">
      <x:c r="A87" s="1" t="str">
        <x:v>深证成指</x:v>
      </x:c>
      <x:c r="B87" s="1" t="str">
        <x:v>sz399001</x:v>
      </x:c>
      <x:c r="C87" s="1" t="str">
        <x:v>近十年含回溯</x:v>
      </x:c>
      <x:c r="D87" s="8" t="n">
        <x:v>0.15</x:v>
      </x:c>
      <x:c r="E87" s="1" t="n">
        <x:f>COUNTIFS('触发事件'!$A$6:$A$199,B87,'触发事件'!$E$6:$E$199,"&lt;"&amp;-D87,'触发事件'!$C$6:$C$199,"&gt;=2016-10")</x:f>
        <x:v>1</x:v>
      </x:c>
      <x:c r="F87" s="1" t="n">
        <x:f>COUNTIFS('触发事件'!$A$6:$A$199,B87,'触发事件'!$E$6:$E$199,"&lt;"&amp;-D87,'触发事件'!$C$6:$C$199,"&gt;=2016-10",'触发事件'!$M$6:$M$199,"已完成")</x:f>
        <x:v>0</x:v>
      </x:c>
      <x:c r="G87" s="1" t="n">
        <x:f>COUNTIFS('触发事件'!$A$6:$A$199,B87,'触发事件'!$E$6:$E$199,"&lt;"&amp;-D87,'触发事件'!$C$6:$C$199,"&gt;=2016-10",'触发事件'!$M$6:$M$199,"已完成",'触发事件'!$L$6:$L$199,"&gt;0")</x:f>
        <x:v>0</x:v>
      </x:c>
      <x:c r="H87" s="7" t="str">
        <x:f>IF(F87=0,"n.a.",G87/F87)</x:f>
        <x:v>n.a.</x:v>
      </x:c>
      <x:c r="I87" s="7" t="str">
        <x:f>IF(F87=0,"n.a.",SUMIFS('触发事件'!$L$6:$L$199,'触发事件'!$A$6:$A$199,B87,'触发事件'!$E$6:$E$199,"&lt;"&amp;-D87,'触发事件'!$C$6:$C$199,"&gt;=2016-10",'触发事件'!$M$6:$M$199,"已完成")/F87)</x:f>
        <x:v>n.a.</x:v>
      </x:c>
      <x:c r="J87" s="7"/>
      <x:c r="K87" s="7"/>
      <x:c r="L87" s="7"/>
      <x:c r="M87" s="7"/>
      <x:c r="N87" s="7"/>
      <x:c r="O87" s="1" t="n">
        <x:v>0</x:v>
      </x:c>
      <x:c r="P87" s="9"/>
    </x:row>
    <x:row r="88" ht="25" customHeight="1">
      <x:c r="A88" s="1" t="str">
        <x:v>深证成指</x:v>
      </x:c>
      <x:c r="B88" s="1" t="str">
        <x:v>sz399001</x:v>
      </x:c>
      <x:c r="C88" s="1" t="str">
        <x:v>近十年含回溯</x:v>
      </x:c>
      <x:c r="D88" s="8" t="n">
        <x:v>0.2</x:v>
      </x:c>
      <x:c r="E88" s="1" t="n">
        <x:f>COUNTIFS('触发事件'!$A$6:$A$199,B88,'触发事件'!$E$6:$E$199,"&lt;"&amp;-D88,'触发事件'!$C$6:$C$199,"&gt;=2016-10")</x:f>
        <x:v>0</x:v>
      </x:c>
      <x:c r="F88" s="1" t="n">
        <x:f>COUNTIFS('触发事件'!$A$6:$A$199,B88,'触发事件'!$E$6:$E$199,"&lt;"&amp;-D88,'触发事件'!$C$6:$C$199,"&gt;=2016-10",'触发事件'!$M$6:$M$199,"已完成")</x:f>
        <x:v>0</x:v>
      </x:c>
      <x:c r="G88" s="1" t="n">
        <x:f>COUNTIFS('触发事件'!$A$6:$A$199,B88,'触发事件'!$E$6:$E$199,"&lt;"&amp;-D88,'触发事件'!$C$6:$C$199,"&gt;=2016-10",'触发事件'!$M$6:$M$199,"已完成",'触发事件'!$L$6:$L$199,"&gt;0")</x:f>
        <x:v>0</x:v>
      </x:c>
      <x:c r="H88" s="7" t="str">
        <x:f>IF(F88=0,"n.a.",G88/F88)</x:f>
        <x:v>n.a.</x:v>
      </x:c>
      <x:c r="I88" s="7" t="str">
        <x:f>IF(F88=0,"n.a.",SUMIFS('触发事件'!$L$6:$L$199,'触发事件'!$A$6:$A$199,B88,'触发事件'!$E$6:$E$199,"&lt;"&amp;-D88,'触发事件'!$C$6:$C$199,"&gt;=2016-10",'触发事件'!$M$6:$M$199,"已完成")/F88)</x:f>
        <x:v>n.a.</x:v>
      </x:c>
      <x:c r="J88" s="7"/>
      <x:c r="K88" s="7"/>
      <x:c r="L88" s="7"/>
      <x:c r="M88" s="7"/>
      <x:c r="N88" s="7"/>
      <x:c r="O88" s="1" t="n">
        <x:v>0</x:v>
      </x:c>
      <x:c r="P88" s="9"/>
    </x:row>
    <x:row r="89" ht="25" customHeight="1">
      <x:c r="A89" s="1" t="str">
        <x:v>深证成指</x:v>
      </x:c>
      <x:c r="B89" s="1" t="str">
        <x:v>sz399001</x:v>
      </x:c>
      <x:c r="C89" s="1" t="str">
        <x:v>近十年含回溯</x:v>
      </x:c>
      <x:c r="D89" s="8" t="n">
        <x:v>0.25</x:v>
      </x:c>
      <x:c r="E89" s="1" t="n">
        <x:f>COUNTIFS('触发事件'!$A$6:$A$199,B89,'触发事件'!$E$6:$E$199,"&lt;"&amp;-D89,'触发事件'!$C$6:$C$199,"&gt;=2016-10")</x:f>
        <x:v>0</x:v>
      </x:c>
      <x:c r="F89" s="1" t="n">
        <x:f>COUNTIFS('触发事件'!$A$6:$A$199,B89,'触发事件'!$E$6:$E$199,"&lt;"&amp;-D89,'触发事件'!$C$6:$C$199,"&gt;=2016-10",'触发事件'!$M$6:$M$199,"已完成")</x:f>
        <x:v>0</x:v>
      </x:c>
      <x:c r="G89" s="1" t="n">
        <x:f>COUNTIFS('触发事件'!$A$6:$A$199,B89,'触发事件'!$E$6:$E$199,"&lt;"&amp;-D89,'触发事件'!$C$6:$C$199,"&gt;=2016-10",'触发事件'!$M$6:$M$199,"已完成",'触发事件'!$L$6:$L$199,"&gt;0")</x:f>
        <x:v>0</x:v>
      </x:c>
      <x:c r="H89" s="7" t="str">
        <x:f>IF(F89=0,"n.a.",G89/F89)</x:f>
        <x:v>n.a.</x:v>
      </x:c>
      <x:c r="I89" s="7" t="str">
        <x:f>IF(F89=0,"n.a.",SUMIFS('触发事件'!$L$6:$L$199,'触发事件'!$A$6:$A$199,B89,'触发事件'!$E$6:$E$199,"&lt;"&amp;-D89,'触发事件'!$C$6:$C$199,"&gt;=2016-10",'触发事件'!$M$6:$M$199,"已完成")/F89)</x:f>
        <x:v>n.a.</x:v>
      </x:c>
      <x:c r="J89" s="7"/>
      <x:c r="K89" s="7"/>
      <x:c r="L89" s="7"/>
      <x:c r="M89" s="7"/>
      <x:c r="N89" s="7"/>
      <x:c r="O89" s="1" t="n">
        <x:v>0</x:v>
      </x:c>
      <x:c r="P89" s="9"/>
    </x:row>
    <x:row r="90" ht="25" customHeight="1">
      <x:c r="A90" s="1" t="str">
        <x:v>创业板指</x:v>
      </x:c>
      <x:c r="B90" s="1" t="str">
        <x:v>sz399006</x:v>
      </x:c>
      <x:c r="C90" s="1" t="str">
        <x:v>全历史含回溯</x:v>
      </x:c>
      <x:c r="D90" s="8" t="n">
        <x:v>0.1</x:v>
      </x:c>
      <x:c r="E90" s="1" t="n">
        <x:f>COUNTIFS('触发事件'!$A$6:$A$199,B90,'触发事件'!$E$6:$E$199,"&lt;"&amp;-D90)</x:f>
        <x:v>14</x:v>
      </x:c>
      <x:c r="F90" s="1" t="n">
        <x:f>COUNTIFS('触发事件'!$A$6:$A$199,B90,'触发事件'!$E$6:$E$199,"&lt;"&amp;-D90,'触发事件'!$M$6:$M$199,"已完成")</x:f>
        <x:v>13</x:v>
      </x:c>
      <x:c r="G90" s="1" t="n">
        <x:f>COUNTIFS('触发事件'!$A$6:$A$199,B90,'触发事件'!$E$6:$E$199,"&lt;"&amp;-D90,'触发事件'!$M$6:$M$199,"已完成",'触发事件'!$L$6:$L$199,"&gt;0")</x:f>
        <x:v>7</x:v>
      </x:c>
      <x:c r="H90" s="7" t="n">
        <x:f>IF(F90=0,"n.a.",G90/F90)</x:f>
        <x:v>0.5384615384615384</x:v>
      </x:c>
      <x:c r="I90" s="7" t="n">
        <x:f>IF(F90=0,"n.a.",SUMIFS('触发事件'!$L$6:$L$199,'触发事件'!$A$6:$A$199,B90,'触发事件'!$E$6:$E$199,"&lt;"&amp;-D90,'触发事件'!$M$6:$M$199,"已完成")/F90)</x:f>
        <x:v>0.05156119390279831</x:v>
      </x:c>
      <x:c r="J90" s="7" t="n">
        <x:v>0.06396423093013537</x:v>
      </x:c>
      <x:c r="K90" s="7" t="n">
        <x:v>0.45351717305151906</x:v>
      </x:c>
      <x:c r="L90" s="7" t="n">
        <x:v>-0.24763558184369105</x:v>
      </x:c>
      <x:c r="M90" s="7" t="n">
        <x:v>-0.3943428966121397</x:v>
      </x:c>
      <x:c r="N90" s="7" t="n">
        <x:v>-0.17265542128388592</x:v>
      </x:c>
      <x:c r="O90" s="1" t="n">
        <x:v>5</x:v>
      </x:c>
      <x:c r="P90" s="9" t="n">
        <x:v>1.6403788121128438</x:v>
      </x:c>
    </x:row>
    <x:row r="91" ht="25" customHeight="1">
      <x:c r="A91" s="1" t="str">
        <x:v>创业板指</x:v>
      </x:c>
      <x:c r="B91" s="1" t="str">
        <x:v>sz399006</x:v>
      </x:c>
      <x:c r="C91" s="1" t="str">
        <x:v>全历史含回溯</x:v>
      </x:c>
      <x:c r="D91" s="8" t="n">
        <x:v>0.15</x:v>
      </x:c>
      <x:c r="E91" s="1" t="n">
        <x:f>COUNTIFS('触发事件'!$A$6:$A$199,B91,'触发事件'!$E$6:$E$199,"&lt;"&amp;-D91)</x:f>
        <x:v>5</x:v>
      </x:c>
      <x:c r="F91" s="1" t="n">
        <x:f>COUNTIFS('触发事件'!$A$6:$A$199,B91,'触发事件'!$E$6:$E$199,"&lt;"&amp;-D91,'触发事件'!$M$6:$M$199,"已完成")</x:f>
        <x:v>4</x:v>
      </x:c>
      <x:c r="G91" s="1" t="n">
        <x:f>COUNTIFS('触发事件'!$A$6:$A$199,B91,'触发事件'!$E$6:$E$199,"&lt;"&amp;-D91,'触发事件'!$M$6:$M$199,"已完成",'触发事件'!$L$6:$L$199,"&gt;0")</x:f>
        <x:v>3</x:v>
      </x:c>
      <x:c r="H91" s="7" t="n">
        <x:f>IF(F91=0,"n.a.",G91/F91)</x:f>
        <x:v>0.75</x:v>
      </x:c>
      <x:c r="I91" s="7" t="n">
        <x:f>IF(F91=0,"n.a.",SUMIFS('触发事件'!$L$6:$L$199,'触发事件'!$A$6:$A$199,B91,'触发事件'!$E$6:$E$199,"&lt;"&amp;-D91,'触发事件'!$M$6:$M$199,"已完成")/F91)</x:f>
        <x:v>0.10124093199230857</x:v>
      </x:c>
      <x:c r="J91" s="7" t="n">
        <x:v>0.14256584976855202</x:v>
      </x:c>
      <x:c r="K91" s="7" t="n">
        <x:v>0.3622700247518438</x:v>
      </x:c>
      <x:c r="L91" s="7" t="n">
        <x:v>-0.24243799631971352</x:v>
      </x:c>
      <x:c r="M91" s="7" t="n">
        <x:v>-0.3943428966121397</x:v>
      </x:c>
      <x:c r="N91" s="7" t="n">
        <x:v>-0.19518347956061124</x:v>
      </x:c>
      <x:c r="O91" s="1" t="n">
        <x:v>1</x:v>
      </x:c>
      <x:c r="P91" s="9" t="n">
        <x:v>0.8901268697106249</x:v>
      </x:c>
    </x:row>
    <x:row r="92" ht="25" customHeight="1">
      <x:c r="A92" s="1" t="str">
        <x:v>创业板指</x:v>
      </x:c>
      <x:c r="B92" s="1" t="str">
        <x:v>sz399006</x:v>
      </x:c>
      <x:c r="C92" s="1" t="str">
        <x:v>全历史含回溯</x:v>
      </x:c>
      <x:c r="D92" s="8" t="n">
        <x:v>0.2</x:v>
      </x:c>
      <x:c r="E92" s="1" t="n">
        <x:f>COUNTIFS('触发事件'!$A$6:$A$199,B92,'触发事件'!$E$6:$E$199,"&lt;"&amp;-D92)</x:f>
        <x:v>3</x:v>
      </x:c>
      <x:c r="F92" s="1" t="n">
        <x:f>COUNTIFS('触发事件'!$A$6:$A$199,B92,'触发事件'!$E$6:$E$199,"&lt;"&amp;-D92,'触发事件'!$M$6:$M$199,"已完成")</x:f>
        <x:v>2</x:v>
      </x:c>
      <x:c r="G92" s="1" t="n">
        <x:f>COUNTIFS('触发事件'!$A$6:$A$199,B92,'触发事件'!$E$6:$E$199,"&lt;"&amp;-D92,'触发事件'!$M$6:$M$199,"已完成",'触发事件'!$L$6:$L$199,"&gt;0")</x:f>
        <x:v>2</x:v>
      </x:c>
      <x:c r="H92" s="7" t="n">
        <x:f>IF(F92=0,"n.a.",G92/F92)</x:f>
        <x:v>1</x:v>
      </x:c>
      <x:c r="I92" s="7" t="n">
        <x:f>IF(F92=0,"n.a.",SUMIFS('触发事件'!$L$6:$L$199,'触发事件'!$A$6:$A$199,B92,'触发事件'!$E$6:$E$199,"&lt;"&amp;-D92,'触发事件'!$M$6:$M$199,"已完成")/F92)</x:f>
        <x:v>0.21877558325581892</x:v>
      </x:c>
      <x:c r="J92" s="7" t="n">
        <x:v>0.21877558325581892</x:v>
      </x:c>
      <x:c r="K92" s="7" t="n">
        <x:v>0.3622700247518438</x:v>
      </x:c>
      <x:c r="L92" s="7" t="n">
        <x:v>0.07528114175979406</x:v>
      </x:c>
      <x:c r="M92" s="7" t="n">
        <x:v>-0.16272555620869622</x:v>
      </x:c>
      <x:c r="N92" s="7" t="n">
        <x:v>-0.14753002078193</x:v>
      </x:c>
      <x:c r="O92" s="1" t="n">
        <x:v>0</x:v>
      </x:c>
      <x:c r="P92" s="9"/>
    </x:row>
    <x:row r="93" ht="25" customHeight="1">
      <x:c r="A93" s="1" t="str">
        <x:v>创业板指</x:v>
      </x:c>
      <x:c r="B93" s="1" t="str">
        <x:v>sz399006</x:v>
      </x:c>
      <x:c r="C93" s="1" t="str">
        <x:v>全历史含回溯</x:v>
      </x:c>
      <x:c r="D93" s="8" t="n">
        <x:v>0.25</x:v>
      </x:c>
      <x:c r="E93" s="1" t="n">
        <x:f>COUNTIFS('触发事件'!$A$6:$A$199,B93,'触发事件'!$E$6:$E$199,"&lt;"&amp;-D93)</x:f>
        <x:v>1</x:v>
      </x:c>
      <x:c r="F93" s="1" t="n">
        <x:f>COUNTIFS('触发事件'!$A$6:$A$199,B93,'触发事件'!$E$6:$E$199,"&lt;"&amp;-D93,'触发事件'!$M$6:$M$199,"已完成")</x:f>
        <x:v>1</x:v>
      </x:c>
      <x:c r="G93" s="1" t="n">
        <x:f>COUNTIFS('触发事件'!$A$6:$A$199,B93,'触发事件'!$E$6:$E$199,"&lt;"&amp;-D93,'触发事件'!$M$6:$M$199,"已完成",'触发事件'!$L$6:$L$199,"&gt;0")</x:f>
        <x:v>1</x:v>
      </x:c>
      <x:c r="H93" s="7" t="n">
        <x:f>IF(F93=0,"n.a.",G93/F93)</x:f>
        <x:v>1</x:v>
      </x:c>
      <x:c r="I93" s="7" t="n">
        <x:f>IF(F93=0,"n.a.",SUMIFS('触发事件'!$L$6:$L$199,'触发事件'!$A$6:$A$199,B93,'触发事件'!$E$6:$E$199,"&lt;"&amp;-D93,'触发事件'!$M$6:$M$199,"已完成")/F93)</x:f>
        <x:v>0.07528114175979406</x:v>
      </x:c>
      <x:c r="J93" s="7" t="n">
        <x:v>0.07528114175979406</x:v>
      </x:c>
      <x:c r="K93" s="7" t="n">
        <x:v>0.07528114175979406</x:v>
      </x:c>
      <x:c r="L93" s="7" t="n">
        <x:v>0.07528114175979406</x:v>
      </x:c>
      <x:c r="M93" s="7" t="n">
        <x:v>-0.16272555620869622</x:v>
      </x:c>
      <x:c r="N93" s="7" t="n">
        <x:v>-0.16272555620869622</x:v>
      </x:c>
      <x:c r="O93" s="1" t="n">
        <x:v>0</x:v>
      </x:c>
      <x:c r="P93" s="9"/>
    </x:row>
    <x:row r="94" ht="25" customHeight="1">
      <x:c r="A94" s="1" t="str">
        <x:v>创业板指</x:v>
      </x:c>
      <x:c r="B94" s="1" t="str">
        <x:v>sz399006</x:v>
      </x:c>
      <x:c r="C94" s="1" t="str">
        <x:v>发布后</x:v>
      </x:c>
      <x:c r="D94" s="8" t="n">
        <x:v>0.1</x:v>
      </x:c>
      <x:c r="E94" s="1" t="n">
        <x:f>COUNTIFS('触发事件'!$A$6:$A$199,B94,'触发事件'!$E$6:$E$199,"&lt;"&amp;-D94,'触发事件'!$D$6:$D$199,1)</x:f>
        <x:v>14</x:v>
      </x:c>
      <x:c r="F94" s="1" t="n">
        <x:f>COUNTIFS('触发事件'!$A$6:$A$199,B94,'触发事件'!$E$6:$E$199,"&lt;"&amp;-D94,'触发事件'!$D$6:$D$199,1,'触发事件'!$M$6:$M$199,"已完成")</x:f>
        <x:v>13</x:v>
      </x:c>
      <x:c r="G94" s="1" t="n">
        <x:f>COUNTIFS('触发事件'!$A$6:$A$199,B94,'触发事件'!$E$6:$E$199,"&lt;"&amp;-D94,'触发事件'!$D$6:$D$199,1,'触发事件'!$M$6:$M$199,"已完成",'触发事件'!$L$6:$L$199,"&gt;0")</x:f>
        <x:v>7</x:v>
      </x:c>
      <x:c r="H94" s="7" t="n">
        <x:f>IF(F94=0,"n.a.",G94/F94)</x:f>
        <x:v>0.5384615384615384</x:v>
      </x:c>
      <x:c r="I94" s="7" t="n">
        <x:f>IF(F94=0,"n.a.",SUMIFS('触发事件'!$L$6:$L$199,'触发事件'!$A$6:$A$199,B94,'触发事件'!$E$6:$E$199,"&lt;"&amp;-D94,'触发事件'!$D$6:$D$199,1,'触发事件'!$M$6:$M$199,"已完成")/F94)</x:f>
        <x:v>0.05156119390279831</x:v>
      </x:c>
      <x:c r="J94" s="7" t="n">
        <x:v>0.06396423093013537</x:v>
      </x:c>
      <x:c r="K94" s="7" t="n">
        <x:v>0.45351717305151906</x:v>
      </x:c>
      <x:c r="L94" s="7" t="n">
        <x:v>-0.24763558184369105</x:v>
      </x:c>
      <x:c r="M94" s="7" t="n">
        <x:v>-0.3943428966121397</x:v>
      </x:c>
      <x:c r="N94" s="7" t="n">
        <x:v>-0.17265542128388592</x:v>
      </x:c>
      <x:c r="O94" s="1" t="n">
        <x:v>5</x:v>
      </x:c>
      <x:c r="P94" s="9" t="n">
        <x:v>1.6403788121128438</x:v>
      </x:c>
    </x:row>
    <x:row r="95" ht="25" customHeight="1">
      <x:c r="A95" s="1" t="str">
        <x:v>创业板指</x:v>
      </x:c>
      <x:c r="B95" s="1" t="str">
        <x:v>sz399006</x:v>
      </x:c>
      <x:c r="C95" s="1" t="str">
        <x:v>发布后</x:v>
      </x:c>
      <x:c r="D95" s="8" t="n">
        <x:v>0.15</x:v>
      </x:c>
      <x:c r="E95" s="1" t="n">
        <x:f>COUNTIFS('触发事件'!$A$6:$A$199,B95,'触发事件'!$E$6:$E$199,"&lt;"&amp;-D95,'触发事件'!$D$6:$D$199,1)</x:f>
        <x:v>5</x:v>
      </x:c>
      <x:c r="F95" s="1" t="n">
        <x:f>COUNTIFS('触发事件'!$A$6:$A$199,B95,'触发事件'!$E$6:$E$199,"&lt;"&amp;-D95,'触发事件'!$D$6:$D$199,1,'触发事件'!$M$6:$M$199,"已完成")</x:f>
        <x:v>4</x:v>
      </x:c>
      <x:c r="G95" s="1" t="n">
        <x:f>COUNTIFS('触发事件'!$A$6:$A$199,B95,'触发事件'!$E$6:$E$199,"&lt;"&amp;-D95,'触发事件'!$D$6:$D$199,1,'触发事件'!$M$6:$M$199,"已完成",'触发事件'!$L$6:$L$199,"&gt;0")</x:f>
        <x:v>3</x:v>
      </x:c>
      <x:c r="H95" s="7" t="n">
        <x:f>IF(F95=0,"n.a.",G95/F95)</x:f>
        <x:v>0.75</x:v>
      </x:c>
      <x:c r="I95" s="7" t="n">
        <x:f>IF(F95=0,"n.a.",SUMIFS('触发事件'!$L$6:$L$199,'触发事件'!$A$6:$A$199,B95,'触发事件'!$E$6:$E$199,"&lt;"&amp;-D95,'触发事件'!$D$6:$D$199,1,'触发事件'!$M$6:$M$199,"已完成")/F95)</x:f>
        <x:v>0.10124093199230857</x:v>
      </x:c>
      <x:c r="J95" s="7" t="n">
        <x:v>0.14256584976855202</x:v>
      </x:c>
      <x:c r="K95" s="7" t="n">
        <x:v>0.3622700247518438</x:v>
      </x:c>
      <x:c r="L95" s="7" t="n">
        <x:v>-0.24243799631971352</x:v>
      </x:c>
      <x:c r="M95" s="7" t="n">
        <x:v>-0.3943428966121397</x:v>
      </x:c>
      <x:c r="N95" s="7" t="n">
        <x:v>-0.19518347956061124</x:v>
      </x:c>
      <x:c r="O95" s="1" t="n">
        <x:v>1</x:v>
      </x:c>
      <x:c r="P95" s="9" t="n">
        <x:v>0.8901268697106249</x:v>
      </x:c>
    </x:row>
    <x:row r="96" ht="25" customHeight="1">
      <x:c r="A96" s="1" t="str">
        <x:v>创业板指</x:v>
      </x:c>
      <x:c r="B96" s="1" t="str">
        <x:v>sz399006</x:v>
      </x:c>
      <x:c r="C96" s="1" t="str">
        <x:v>发布后</x:v>
      </x:c>
      <x:c r="D96" s="8" t="n">
        <x:v>0.2</x:v>
      </x:c>
      <x:c r="E96" s="1" t="n">
        <x:f>COUNTIFS('触发事件'!$A$6:$A$199,B96,'触发事件'!$E$6:$E$199,"&lt;"&amp;-D96,'触发事件'!$D$6:$D$199,1)</x:f>
        <x:v>3</x:v>
      </x:c>
      <x:c r="F96" s="1" t="n">
        <x:f>COUNTIFS('触发事件'!$A$6:$A$199,B96,'触发事件'!$E$6:$E$199,"&lt;"&amp;-D96,'触发事件'!$D$6:$D$199,1,'触发事件'!$M$6:$M$199,"已完成")</x:f>
        <x:v>2</x:v>
      </x:c>
      <x:c r="G96" s="1" t="n">
        <x:f>COUNTIFS('触发事件'!$A$6:$A$199,B96,'触发事件'!$E$6:$E$199,"&lt;"&amp;-D96,'触发事件'!$D$6:$D$199,1,'触发事件'!$M$6:$M$199,"已完成",'触发事件'!$L$6:$L$199,"&gt;0")</x:f>
        <x:v>2</x:v>
      </x:c>
      <x:c r="H96" s="7" t="n">
        <x:f>IF(F96=0,"n.a.",G96/F96)</x:f>
        <x:v>1</x:v>
      </x:c>
      <x:c r="I96" s="7" t="n">
        <x:f>IF(F96=0,"n.a.",SUMIFS('触发事件'!$L$6:$L$199,'触发事件'!$A$6:$A$199,B96,'触发事件'!$E$6:$E$199,"&lt;"&amp;-D96,'触发事件'!$D$6:$D$199,1,'触发事件'!$M$6:$M$199,"已完成")/F96)</x:f>
        <x:v>0.21877558325581892</x:v>
      </x:c>
      <x:c r="J96" s="7" t="n">
        <x:v>0.21877558325581892</x:v>
      </x:c>
      <x:c r="K96" s="7" t="n">
        <x:v>0.3622700247518438</x:v>
      </x:c>
      <x:c r="L96" s="7" t="n">
        <x:v>0.07528114175979406</x:v>
      </x:c>
      <x:c r="M96" s="7" t="n">
        <x:v>-0.16272555620869622</x:v>
      </x:c>
      <x:c r="N96" s="7" t="n">
        <x:v>-0.14753002078193</x:v>
      </x:c>
      <x:c r="O96" s="1" t="n">
        <x:v>0</x:v>
      </x:c>
      <x:c r="P96" s="9"/>
    </x:row>
    <x:row r="97" ht="25" customHeight="1">
      <x:c r="A97" s="1" t="str">
        <x:v>创业板指</x:v>
      </x:c>
      <x:c r="B97" s="1" t="str">
        <x:v>sz399006</x:v>
      </x:c>
      <x:c r="C97" s="1" t="str">
        <x:v>发布后</x:v>
      </x:c>
      <x:c r="D97" s="8" t="n">
        <x:v>0.25</x:v>
      </x:c>
      <x:c r="E97" s="1" t="n">
        <x:f>COUNTIFS('触发事件'!$A$6:$A$199,B97,'触发事件'!$E$6:$E$199,"&lt;"&amp;-D97,'触发事件'!$D$6:$D$199,1)</x:f>
        <x:v>1</x:v>
      </x:c>
      <x:c r="F97" s="1" t="n">
        <x:f>COUNTIFS('触发事件'!$A$6:$A$199,B97,'触发事件'!$E$6:$E$199,"&lt;"&amp;-D97,'触发事件'!$D$6:$D$199,1,'触发事件'!$M$6:$M$199,"已完成")</x:f>
        <x:v>1</x:v>
      </x:c>
      <x:c r="G97" s="1" t="n">
        <x:f>COUNTIFS('触发事件'!$A$6:$A$199,B97,'触发事件'!$E$6:$E$199,"&lt;"&amp;-D97,'触发事件'!$D$6:$D$199,1,'触发事件'!$M$6:$M$199,"已完成",'触发事件'!$L$6:$L$199,"&gt;0")</x:f>
        <x:v>1</x:v>
      </x:c>
      <x:c r="H97" s="7" t="n">
        <x:f>IF(F97=0,"n.a.",G97/F97)</x:f>
        <x:v>1</x:v>
      </x:c>
      <x:c r="I97" s="7" t="n">
        <x:f>IF(F97=0,"n.a.",SUMIFS('触发事件'!$L$6:$L$199,'触发事件'!$A$6:$A$199,B97,'触发事件'!$E$6:$E$199,"&lt;"&amp;-D97,'触发事件'!$D$6:$D$199,1,'触发事件'!$M$6:$M$199,"已完成")/F97)</x:f>
        <x:v>0.07528114175979406</x:v>
      </x:c>
      <x:c r="J97" s="7" t="n">
        <x:v>0.07528114175979406</x:v>
      </x:c>
      <x:c r="K97" s="7" t="n">
        <x:v>0.07528114175979406</x:v>
      </x:c>
      <x:c r="L97" s="7" t="n">
        <x:v>0.07528114175979406</x:v>
      </x:c>
      <x:c r="M97" s="7" t="n">
        <x:v>-0.16272555620869622</x:v>
      </x:c>
      <x:c r="N97" s="7" t="n">
        <x:v>-0.16272555620869622</x:v>
      </x:c>
      <x:c r="O97" s="1" t="n">
        <x:v>0</x:v>
      </x:c>
      <x:c r="P97" s="9"/>
    </x:row>
    <x:row r="98" ht="25" customHeight="1">
      <x:c r="A98" s="1" t="str">
        <x:v>创业板指</x:v>
      </x:c>
      <x:c r="B98" s="1" t="str">
        <x:v>sz399006</x:v>
      </x:c>
      <x:c r="C98" s="1" t="str">
        <x:v>近十年含回溯</x:v>
      </x:c>
      <x:c r="D98" s="8" t="n">
        <x:v>0.1</x:v>
      </x:c>
      <x:c r="E98" s="1" t="n">
        <x:f>COUNTIFS('触发事件'!$A$6:$A$199,B98,'触发事件'!$E$6:$E$199,"&lt;"&amp;-D98,'触发事件'!$C$6:$C$199,"&gt;=2016-10")</x:f>
        <x:v>6</x:v>
      </x:c>
      <x:c r="F98" s="1" t="n">
        <x:f>COUNTIFS('触发事件'!$A$6:$A$199,B98,'触发事件'!$E$6:$E$199,"&lt;"&amp;-D98,'触发事件'!$C$6:$C$199,"&gt;=2016-10",'触发事件'!$M$6:$M$199,"已完成")</x:f>
        <x:v>5</x:v>
      </x:c>
      <x:c r="G98" s="1" t="n">
        <x:f>COUNTIFS('触发事件'!$A$6:$A$199,B98,'触发事件'!$E$6:$E$199,"&lt;"&amp;-D98,'触发事件'!$C$6:$C$199,"&gt;=2016-10",'触发事件'!$M$6:$M$199,"已完成",'触发事件'!$L$6:$L$199,"&gt;0")</x:f>
        <x:v>3</x:v>
      </x:c>
      <x:c r="H98" s="7" t="n">
        <x:f>IF(F98=0,"n.a.",G98/F98)</x:f>
        <x:v>0.6</x:v>
      </x:c>
      <x:c r="I98" s="7" t="n">
        <x:f>IF(F98=0,"n.a.",SUMIFS('触发事件'!$L$6:$L$199,'触发事件'!$A$6:$A$199,B98,'触发事件'!$E$6:$E$199,"&lt;"&amp;-D98,'触发事件'!$C$6:$C$199,"&gt;=2016-10",'触发事件'!$M$6:$M$199,"已完成")/F98)</x:f>
        <x:v>0.034068599855404516</x:v>
      </x:c>
      <x:c r="J98" s="7" t="n">
        <x:v>0.06396423093013537</x:v>
      </x:c>
      <x:c r="K98" s="7" t="n">
        <x:v>0.20985055777731</x:v>
      </x:c>
      <x:c r="L98" s="7" t="n">
        <x:v>-0.24763558184369105</x:v>
      </x:c>
      <x:c r="M98" s="7" t="n">
        <x:v>-0.276456081206114</x:v>
      </x:c>
      <x:c r="N98" s="7" t="n">
        <x:v>-0.12125447543810206</x:v>
      </x:c>
      <x:c r="O98" s="1" t="n">
        <x:v>1</x:v>
      </x:c>
      <x:c r="P98" s="9" t="n">
        <x:v>1.0824215606408718</x:v>
      </x:c>
    </x:row>
    <x:row r="99" ht="25" customHeight="1">
      <x:c r="A99" s="1" t="str">
        <x:v>创业板指</x:v>
      </x:c>
      <x:c r="B99" s="1" t="str">
        <x:v>sz399006</x:v>
      </x:c>
      <x:c r="C99" s="1" t="str">
        <x:v>近十年含回溯</x:v>
      </x:c>
      <x:c r="D99" s="8" t="n">
        <x:v>0.15</x:v>
      </x:c>
      <x:c r="E99" s="1" t="n">
        <x:f>COUNTIFS('触发事件'!$A$6:$A$199,B99,'触发事件'!$E$6:$E$199,"&lt;"&amp;-D99,'触发事件'!$C$6:$C$199,"&gt;=2016-10")</x:f>
        <x:v>2</x:v>
      </x:c>
      <x:c r="F99" s="1" t="n">
        <x:f>COUNTIFS('触发事件'!$A$6:$A$199,B99,'触发事件'!$E$6:$E$199,"&lt;"&amp;-D99,'触发事件'!$C$6:$C$199,"&gt;=2016-10",'触发事件'!$M$6:$M$199,"已完成")</x:f>
        <x:v>1</x:v>
      </x:c>
      <x:c r="G99" s="1" t="n">
        <x:f>COUNTIFS('触发事件'!$A$6:$A$199,B99,'触发事件'!$E$6:$E$199,"&lt;"&amp;-D99,'触发事件'!$C$6:$C$199,"&gt;=2016-10",'触发事件'!$M$6:$M$199,"已完成",'触发事件'!$L$6:$L$199,"&gt;0")</x:f>
        <x:v>1</x:v>
      </x:c>
      <x:c r="H99" s="7" t="n">
        <x:f>IF(F99=0,"n.a.",G99/F99)</x:f>
        <x:v>1</x:v>
      </x:c>
      <x:c r="I99" s="7" t="n">
        <x:f>IF(F99=0,"n.a.",SUMIFS('触发事件'!$L$6:$L$199,'触发事件'!$A$6:$A$199,B99,'触发事件'!$E$6:$E$199,"&lt;"&amp;-D99,'触发事件'!$C$6:$C$199,"&gt;=2016-10",'触发事件'!$M$6:$M$199,"已完成")/F99)</x:f>
        <x:v>0.20985055777731</x:v>
      </x:c>
      <x:c r="J99" s="7" t="n">
        <x:v>0.20985055777731</x:v>
      </x:c>
      <x:c r="K99" s="7" t="n">
        <x:v>0.20985055777731</x:v>
      </x:c>
      <x:c r="L99" s="7" t="n">
        <x:v>0.20985055777731</x:v>
      </x:c>
      <x:c r="M99" s="7" t="n">
        <x:v>-0.09133098006644524</x:v>
      </x:c>
      <x:c r="N99" s="7" t="n">
        <x:v>-0.09133098006644524</x:v>
      </x:c>
      <x:c r="O99" s="1" t="n">
        <x:v>0</x:v>
      </x:c>
      <x:c r="P99" s="9"/>
    </x:row>
    <x:row r="100" ht="25" customHeight="1">
      <x:c r="A100" s="1" t="str">
        <x:v>创业板指</x:v>
      </x:c>
      <x:c r="B100" s="1" t="str">
        <x:v>sz399006</x:v>
      </x:c>
      <x:c r="C100" s="1" t="str">
        <x:v>近十年含回溯</x:v>
      </x:c>
      <x:c r="D100" s="8" t="n">
        <x:v>0.2</x:v>
      </x:c>
      <x:c r="E100" s="1" t="n">
        <x:f>COUNTIFS('触发事件'!$A$6:$A$199,B100,'触发事件'!$E$6:$E$199,"&lt;"&amp;-D100,'触发事件'!$C$6:$C$199,"&gt;=2016-10")</x:f>
        <x:v>1</x:v>
      </x:c>
      <x:c r="F100" s="1" t="n">
        <x:f>COUNTIFS('触发事件'!$A$6:$A$199,B100,'触发事件'!$E$6:$E$199,"&lt;"&amp;-D100,'触发事件'!$C$6:$C$199,"&gt;=2016-10",'触发事件'!$M$6:$M$199,"已完成")</x:f>
        <x:v>0</x:v>
      </x:c>
      <x:c r="G100" s="1" t="n">
        <x:f>COUNTIFS('触发事件'!$A$6:$A$199,B100,'触发事件'!$E$6:$E$199,"&lt;"&amp;-D100,'触发事件'!$C$6:$C$199,"&gt;=2016-10",'触发事件'!$M$6:$M$199,"已完成",'触发事件'!$L$6:$L$199,"&gt;0")</x:f>
        <x:v>0</x:v>
      </x:c>
      <x:c r="H100" s="7" t="str">
        <x:f>IF(F100=0,"n.a.",G100/F100)</x:f>
        <x:v>n.a.</x:v>
      </x:c>
      <x:c r="I100" s="7" t="str">
        <x:f>IF(F100=0,"n.a.",SUMIFS('触发事件'!$L$6:$L$199,'触发事件'!$A$6:$A$199,B100,'触发事件'!$E$6:$E$199,"&lt;"&amp;-D100,'触发事件'!$C$6:$C$199,"&gt;=2016-10",'触发事件'!$M$6:$M$199,"已完成")/F100)</x:f>
        <x:v>n.a.</x:v>
      </x:c>
      <x:c r="J100" s="7"/>
      <x:c r="K100" s="7"/>
      <x:c r="L100" s="7"/>
      <x:c r="M100" s="7"/>
      <x:c r="N100" s="7"/>
      <x:c r="O100" s="1" t="n">
        <x:v>0</x:v>
      </x:c>
      <x:c r="P100" s="9"/>
    </x:row>
    <x:row r="101" ht="25" customHeight="1">
      <x:c r="A101" s="1" t="str">
        <x:v>创业板指</x:v>
      </x:c>
      <x:c r="B101" s="1" t="str">
        <x:v>sz399006</x:v>
      </x:c>
      <x:c r="C101" s="1" t="str">
        <x:v>近十年含回溯</x:v>
      </x:c>
      <x:c r="D101" s="8" t="n">
        <x:v>0.25</x:v>
      </x:c>
      <x:c r="E101" s="1" t="n">
        <x:f>COUNTIFS('触发事件'!$A$6:$A$199,B101,'触发事件'!$E$6:$E$199,"&lt;"&amp;-D101,'触发事件'!$C$6:$C$199,"&gt;=2016-10")</x:f>
        <x:v>0</x:v>
      </x:c>
      <x:c r="F101" s="1" t="n">
        <x:f>COUNTIFS('触发事件'!$A$6:$A$199,B101,'触发事件'!$E$6:$E$199,"&lt;"&amp;-D101,'触发事件'!$C$6:$C$199,"&gt;=2016-10",'触发事件'!$M$6:$M$199,"已完成")</x:f>
        <x:v>0</x:v>
      </x:c>
      <x:c r="G101" s="1" t="n">
        <x:f>COUNTIFS('触发事件'!$A$6:$A$199,B101,'触发事件'!$E$6:$E$199,"&lt;"&amp;-D101,'触发事件'!$C$6:$C$199,"&gt;=2016-10",'触发事件'!$M$6:$M$199,"已完成",'触发事件'!$L$6:$L$199,"&gt;0")</x:f>
        <x:v>0</x:v>
      </x:c>
      <x:c r="H101" s="7" t="str">
        <x:f>IF(F101=0,"n.a.",G101/F101)</x:f>
        <x:v>n.a.</x:v>
      </x:c>
      <x:c r="I101" s="7" t="str">
        <x:f>IF(F101=0,"n.a.",SUMIFS('触发事件'!$L$6:$L$199,'触发事件'!$A$6:$A$199,B101,'触发事件'!$E$6:$E$199,"&lt;"&amp;-D101,'触发事件'!$C$6:$C$199,"&gt;=2016-10",'触发事件'!$M$6:$M$199,"已完成")/F101)</x:f>
        <x:v>n.a.</x:v>
      </x:c>
      <x:c r="J101" s="7"/>
      <x:c r="K101" s="7"/>
      <x:c r="L101" s="7"/>
      <x:c r="M101" s="7"/>
      <x:c r="N101" s="7"/>
      <x:c r="O101" s="1" t="n">
        <x:v>0</x:v>
      </x:c>
      <x:c r="P101" s="9"/>
    </x:row>
    <x:row r="102" ht="25" customHeight="1">
      <x:c r="A102" s="1" t="str">
        <x:v>中证红利</x:v>
      </x:c>
      <x:c r="B102" s="1" t="str">
        <x:v>sh000922</x:v>
      </x:c>
      <x:c r="C102" s="1" t="str">
        <x:v>全历史含回溯</x:v>
      </x:c>
      <x:c r="D102" s="8" t="n">
        <x:v>0.1</x:v>
      </x:c>
      <x:c r="E102" s="1" t="n">
        <x:f>COUNTIFS('触发事件'!$A$6:$A$199,B102,'触发事件'!$E$6:$E$199,"&lt;"&amp;-D102)</x:f>
        <x:v>12</x:v>
      </x:c>
      <x:c r="F102" s="1" t="n">
        <x:f>COUNTIFS('触发事件'!$A$6:$A$199,B102,'触发事件'!$E$6:$E$199,"&lt;"&amp;-D102,'触发事件'!$M$6:$M$199,"已完成")</x:f>
        <x:v>12</x:v>
      </x:c>
      <x:c r="G102" s="1" t="n">
        <x:f>COUNTIFS('触发事件'!$A$6:$A$199,B102,'触发事件'!$E$6:$E$199,"&lt;"&amp;-D102,'触发事件'!$M$6:$M$199,"已完成",'触发事件'!$L$6:$L$199,"&gt;0")</x:f>
        <x:v>6</x:v>
      </x:c>
      <x:c r="H102" s="7" t="n">
        <x:f>IF(F102=0,"n.a.",G102/F102)</x:f>
        <x:v>0.5</x:v>
      </x:c>
      <x:c r="I102" s="7" t="n">
        <x:f>IF(F102=0,"n.a.",SUMIFS('触发事件'!$L$6:$L$199,'触发事件'!$A$6:$A$199,B102,'触发事件'!$E$6:$E$199,"&lt;"&amp;-D102,'触发事件'!$M$6:$M$199,"已完成")/F102)</x:f>
        <x:v>0.0003830339129484994</x:v>
      </x:c>
      <x:c r="J102" s="7" t="n">
        <x:v>0.01015580290430812</x:v>
      </x:c>
      <x:c r="K102" s="7" t="n">
        <x:v>0.2857549587169024</x:v>
      </x:c>
      <x:c r="L102" s="7" t="n">
        <x:v>-0.26183367633844457</x:v>
      </x:c>
      <x:c r="M102" s="7" t="n">
        <x:v>-0.37407769434210214</x:v>
      </x:c>
      <x:c r="N102" s="7" t="n">
        <x:v>-0.20936288110179582</x:v>
      </x:c>
      <x:c r="O102" s="1" t="n">
        <x:v>5</x:v>
      </x:c>
      <x:c r="P102" s="9" t="n">
        <x:v>1.0048312547745444</x:v>
      </x:c>
    </x:row>
    <x:row r="103" ht="25" customHeight="1">
      <x:c r="A103" s="1" t="str">
        <x:v>中证红利</x:v>
      </x:c>
      <x:c r="B103" s="1" t="str">
        <x:v>sh000922</x:v>
      </x:c>
      <x:c r="C103" s="1" t="str">
        <x:v>全历史含回溯</x:v>
      </x:c>
      <x:c r="D103" s="8" t="n">
        <x:v>0.15</x:v>
      </x:c>
      <x:c r="E103" s="1" t="n">
        <x:f>COUNTIFS('触发事件'!$A$6:$A$199,B103,'触发事件'!$E$6:$E$199,"&lt;"&amp;-D103)</x:f>
        <x:v>9</x:v>
      </x:c>
      <x:c r="F103" s="1" t="n">
        <x:f>COUNTIFS('触发事件'!$A$6:$A$199,B103,'触发事件'!$E$6:$E$199,"&lt;"&amp;-D103,'触发事件'!$M$6:$M$199,"已完成")</x:f>
        <x:v>9</x:v>
      </x:c>
      <x:c r="G103" s="1" t="n">
        <x:f>COUNTIFS('触发事件'!$A$6:$A$199,B103,'触发事件'!$E$6:$E$199,"&lt;"&amp;-D103,'触发事件'!$M$6:$M$199,"已完成",'触发事件'!$L$6:$L$199,"&gt;0")</x:f>
        <x:v>5</x:v>
      </x:c>
      <x:c r="H103" s="7" t="n">
        <x:f>IF(F103=0,"n.a.",G103/F103)</x:f>
        <x:v>0.5555555555555556</x:v>
      </x:c>
      <x:c r="I103" s="7" t="n">
        <x:f>IF(F103=0,"n.a.",SUMIFS('触发事件'!$L$6:$L$199,'触发事件'!$A$6:$A$199,B103,'触发事件'!$E$6:$E$199,"&lt;"&amp;-D103,'触发事件'!$M$6:$M$199,"已完成")/F103)</x:f>
        <x:v>0.005948600135163345</x:v>
      </x:c>
      <x:c r="J103" s="7" t="n">
        <x:v>0.08758649921217776</x:v>
      </x:c>
      <x:c r="K103" s="7" t="n">
        <x:v>0.2857549587169024</x:v>
      </x:c>
      <x:c r="L103" s="7" t="n">
        <x:v>-0.26183367633844457</x:v>
      </x:c>
      <x:c r="M103" s="7" t="n">
        <x:v>-0.37407769434210214</x:v>
      </x:c>
      <x:c r="N103" s="7" t="n">
        <x:v>-0.21508423584070413</x:v>
      </x:c>
      <x:c r="O103" s="1" t="n">
        <x:v>2</x:v>
      </x:c>
      <x:c r="P103" s="9" t="n">
        <x:v>0.8561107004549867</x:v>
      </x:c>
    </x:row>
    <x:row r="104" ht="25" customHeight="1">
      <x:c r="A104" s="1" t="str">
        <x:v>中证红利</x:v>
      </x:c>
      <x:c r="B104" s="1" t="str">
        <x:v>sh000922</x:v>
      </x:c>
      <x:c r="C104" s="1" t="str">
        <x:v>全历史含回溯</x:v>
      </x:c>
      <x:c r="D104" s="8" t="n">
        <x:v>0.2</x:v>
      </x:c>
      <x:c r="E104" s="1" t="n">
        <x:f>COUNTIFS('触发事件'!$A$6:$A$199,B104,'触发事件'!$E$6:$E$199,"&lt;"&amp;-D104)</x:f>
        <x:v>5</x:v>
      </x:c>
      <x:c r="F104" s="1" t="n">
        <x:f>COUNTIFS('触发事件'!$A$6:$A$199,B104,'触发事件'!$E$6:$E$199,"&lt;"&amp;-D104,'触发事件'!$M$6:$M$199,"已完成")</x:f>
        <x:v>5</x:v>
      </x:c>
      <x:c r="G104" s="1" t="n">
        <x:f>COUNTIFS('触发事件'!$A$6:$A$199,B104,'触发事件'!$E$6:$E$199,"&lt;"&amp;-D104,'触发事件'!$M$6:$M$199,"已完成",'触发事件'!$L$6:$L$199,"&gt;0")</x:f>
        <x:v>3</x:v>
      </x:c>
      <x:c r="H104" s="7" t="n">
        <x:f>IF(F104=0,"n.a.",G104/F104)</x:f>
        <x:v>0.6</x:v>
      </x:c>
      <x:c r="I104" s="7" t="n">
        <x:f>IF(F104=0,"n.a.",SUMIFS('触发事件'!$L$6:$L$199,'触发事件'!$A$6:$A$199,B104,'触发事件'!$E$6:$E$199,"&lt;"&amp;-D104,'触发事件'!$M$6:$M$199,"已完成")/F104)</x:f>
        <x:v>0.022049880493531314</x:v>
      </x:c>
      <x:c r="J104" s="7" t="n">
        <x:v>0.09629257522036005</x:v>
      </x:c>
      <x:c r="K104" s="7" t="n">
        <x:v>0.2857549587169024</x:v>
      </x:c>
      <x:c r="L104" s="7" t="n">
        <x:v>-0.26183367633844457</x:v>
      </x:c>
      <x:c r="M104" s="7" t="n">
        <x:v>-0.37407769434210214</x:v>
      </x:c>
      <x:c r="N104" s="7" t="n">
        <x:v>-0.21440934020682664</x:v>
      </x:c>
      <x:c r="O104" s="1" t="n">
        <x:v>0</x:v>
      </x:c>
      <x:c r="P104" s="9" t="n">
        <x:v>0.8165886541170564</x:v>
      </x:c>
    </x:row>
    <x:row r="105" ht="25" customHeight="1">
      <x:c r="A105" s="1" t="str">
        <x:v>中证红利</x:v>
      </x:c>
      <x:c r="B105" s="1" t="str">
        <x:v>sh000922</x:v>
      </x:c>
      <x:c r="C105" s="1" t="str">
        <x:v>全历史含回溯</x:v>
      </x:c>
      <x:c r="D105" s="8" t="n">
        <x:v>0.25</x:v>
      </x:c>
      <x:c r="E105" s="1" t="n">
        <x:f>COUNTIFS('触发事件'!$A$6:$A$199,B105,'触发事件'!$E$6:$E$199,"&lt;"&amp;-D105)</x:f>
        <x:v>2</x:v>
      </x:c>
      <x:c r="F105" s="1" t="n">
        <x:f>COUNTIFS('触发事件'!$A$6:$A$199,B105,'触发事件'!$E$6:$E$199,"&lt;"&amp;-D105,'触发事件'!$M$6:$M$199,"已完成")</x:f>
        <x:v>2</x:v>
      </x:c>
      <x:c r="G105" s="1" t="n">
        <x:f>COUNTIFS('触发事件'!$A$6:$A$199,B105,'触发事件'!$E$6:$E$199,"&lt;"&amp;-D105,'触发事件'!$M$6:$M$199,"已完成",'触发事件'!$L$6:$L$199,"&gt;0")</x:f>
        <x:v>1</x:v>
      </x:c>
      <x:c r="H105" s="7" t="n">
        <x:f>IF(F105=0,"n.a.",G105/F105)</x:f>
        <x:v>0.5</x:v>
      </x:c>
      <x:c r="I105" s="7" t="n">
        <x:f>IF(F105=0,"n.a.",SUMIFS('触发事件'!$L$6:$L$199,'触发事件'!$A$6:$A$199,B105,'触发事件'!$E$6:$E$199,"&lt;"&amp;-D105,'触发事件'!$M$6:$M$199,"已完成")/F105)</x:f>
        <x:v>-0.004982227565580644</x:v>
      </x:c>
      <x:c r="J105" s="7" t="n">
        <x:v>-0.004982227565580644</x:v>
      </x:c>
      <x:c r="K105" s="7" t="n">
        <x:v>0.21845418505218483</x:v>
      </x:c>
      <x:c r="L105" s="7" t="n">
        <x:v>-0.22841864018334612</x:v>
      </x:c>
      <x:c r="M105" s="7" t="n">
        <x:v>-0.37407769434210214</x:v>
      </x:c>
      <x:c r="N105" s="7" t="n">
        <x:v>-0.2675087350197768</x:v>
      </x:c>
      <x:c r="O105" s="1" t="n">
        <x:v>0</x:v>
      </x:c>
      <x:c r="P105" s="9" t="n">
        <x:v>0.9563763486063875</x:v>
      </x:c>
    </x:row>
    <x:row r="106" ht="25" customHeight="1">
      <x:c r="A106" s="1" t="str">
        <x:v>中证红利</x:v>
      </x:c>
      <x:c r="B106" s="1" t="str">
        <x:v>sh000922</x:v>
      </x:c>
      <x:c r="C106" s="1" t="str">
        <x:v>发布后</x:v>
      </x:c>
      <x:c r="D106" s="8" t="n">
        <x:v>0.1</x:v>
      </x:c>
      <x:c r="E106" s="1" t="n">
        <x:f>COUNTIFS('触发事件'!$A$6:$A$199,B106,'触发事件'!$E$6:$E$199,"&lt;"&amp;-D106,'触发事件'!$D$6:$D$199,1)</x:f>
        <x:v>9</x:v>
      </x:c>
      <x:c r="F106" s="1" t="n">
        <x:f>COUNTIFS('触发事件'!$A$6:$A$199,B106,'触发事件'!$E$6:$E$199,"&lt;"&amp;-D106,'触发事件'!$D$6:$D$199,1,'触发事件'!$M$6:$M$199,"已完成")</x:f>
        <x:v>9</x:v>
      </x:c>
      <x:c r="G106" s="1" t="n">
        <x:f>COUNTIFS('触发事件'!$A$6:$A$199,B106,'触发事件'!$E$6:$E$199,"&lt;"&amp;-D106,'触发事件'!$D$6:$D$199,1,'触发事件'!$M$6:$M$199,"已完成",'触发事件'!$L$6:$L$199,"&gt;0")</x:f>
        <x:v>5</x:v>
      </x:c>
      <x:c r="H106" s="7" t="n">
        <x:f>IF(F106=0,"n.a.",G106/F106)</x:f>
        <x:v>0.5555555555555556</x:v>
      </x:c>
      <x:c r="I106" s="7" t="n">
        <x:f>IF(F106=0,"n.a.",SUMIFS('触发事件'!$L$6:$L$199,'触发事件'!$A$6:$A$199,B106,'触发事件'!$E$6:$E$199,"&lt;"&amp;-D106,'触发事件'!$D$6:$D$199,1,'触发事件'!$M$6:$M$199,"已完成")/F106)</x:f>
        <x:v>0.02871929788157453</x:v>
      </x:c>
      <x:c r="J106" s="7" t="n">
        <x:v>0.08758649921217776</x:v>
      </x:c>
      <x:c r="K106" s="7" t="n">
        <x:v>0.2857549587169024</x:v>
      </x:c>
      <x:c r="L106" s="7" t="n">
        <x:v>-0.22841864018334612</x:v>
      </x:c>
      <x:c r="M106" s="7" t="n">
        <x:v>-0.37407769434210214</x:v>
      </x:c>
      <x:c r="N106" s="7" t="n">
        <x:v>-0.18155384980601338</x:v>
      </x:c>
      <x:c r="O106" s="1" t="n">
        <x:v>3</x:v>
      </x:c>
      <x:c r="P106" s="9" t="n">
        <x:v>1.1635658886774514</x:v>
      </x:c>
    </x:row>
    <x:row r="107" ht="25" customHeight="1">
      <x:c r="A107" s="1" t="str">
        <x:v>中证红利</x:v>
      </x:c>
      <x:c r="B107" s="1" t="str">
        <x:v>sh000922</x:v>
      </x:c>
      <x:c r="C107" s="1" t="str">
        <x:v>发布后</x:v>
      </x:c>
      <x:c r="D107" s="8" t="n">
        <x:v>0.15</x:v>
      </x:c>
      <x:c r="E107" s="1" t="n">
        <x:f>COUNTIFS('触发事件'!$A$6:$A$199,B107,'触发事件'!$E$6:$E$199,"&lt;"&amp;-D107,'触发事件'!$D$6:$D$199,1)</x:f>
        <x:v>7</x:v>
      </x:c>
      <x:c r="F107" s="1" t="n">
        <x:f>COUNTIFS('触发事件'!$A$6:$A$199,B107,'触发事件'!$E$6:$E$199,"&lt;"&amp;-D107,'触发事件'!$D$6:$D$199,1,'触发事件'!$M$6:$M$199,"已完成")</x:f>
        <x:v>7</x:v>
      </x:c>
      <x:c r="G107" s="1" t="n">
        <x:f>COUNTIFS('触发事件'!$A$6:$A$199,B107,'触发事件'!$E$6:$E$199,"&lt;"&amp;-D107,'触发事件'!$D$6:$D$199,1,'触发事件'!$M$6:$M$199,"已完成",'触发事件'!$L$6:$L$199,"&gt;0")</x:f>
        <x:v>4</x:v>
      </x:c>
      <x:c r="H107" s="7" t="n">
        <x:f>IF(F107=0,"n.a.",G107/F107)</x:f>
        <x:v>0.5714285714285714</x:v>
      </x:c>
      <x:c r="I107" s="7" t="n">
        <x:f>IF(F107=0,"n.a.",SUMIFS('触发事件'!$L$6:$L$199,'触发事件'!$A$6:$A$199,B107,'触发事件'!$E$6:$E$199,"&lt;"&amp;-D107,'触发事件'!$D$6:$D$199,1,'触发事件'!$M$6:$M$199,"已完成")/F107)</x:f>
        <x:v>0.02665868369412045</x:v>
      </x:c>
      <x:c r="J107" s="7" t="n">
        <x:v>0.08758649921217776</x:v>
      </x:c>
      <x:c r="K107" s="7" t="n">
        <x:v>0.2857549587169024</x:v>
      </x:c>
      <x:c r="L107" s="7" t="n">
        <x:v>-0.22841864018334612</x:v>
      </x:c>
      <x:c r="M107" s="7" t="n">
        <x:v>-0.37407769434210214</x:v>
      </x:c>
      <x:c r="N107" s="7" t="n">
        <x:v>-0.2022180549316432</x:v>
      </x:c>
      <x:c r="O107" s="1" t="n">
        <x:v>2</x:v>
      </x:c>
      <x:c r="P107" s="9" t="n">
        <x:v>1.0290915011674242</x:v>
      </x:c>
    </x:row>
    <x:row r="108" ht="25" customHeight="1">
      <x:c r="A108" s="1" t="str">
        <x:v>中证红利</x:v>
      </x:c>
      <x:c r="B108" s="1" t="str">
        <x:v>sh000922</x:v>
      </x:c>
      <x:c r="C108" s="1" t="str">
        <x:v>发布后</x:v>
      </x:c>
      <x:c r="D108" s="8" t="n">
        <x:v>0.2</x:v>
      </x:c>
      <x:c r="E108" s="1" t="n">
        <x:f>COUNTIFS('触发事件'!$A$6:$A$199,B108,'触发事件'!$E$6:$E$199,"&lt;"&amp;-D108,'触发事件'!$D$6:$D$199,1)</x:f>
        <x:v>4</x:v>
      </x:c>
      <x:c r="F108" s="1" t="n">
        <x:f>COUNTIFS('触发事件'!$A$6:$A$199,B108,'触发事件'!$E$6:$E$199,"&lt;"&amp;-D108,'触发事件'!$D$6:$D$199,1,'触发事件'!$M$6:$M$199,"已完成")</x:f>
        <x:v>4</x:v>
      </x:c>
      <x:c r="G108" s="1" t="n">
        <x:f>COUNTIFS('触发事件'!$A$6:$A$199,B108,'触发事件'!$E$6:$E$199,"&lt;"&amp;-D108,'触发事件'!$D$6:$D$199,1,'触发事件'!$M$6:$M$199,"已完成",'触发事件'!$L$6:$L$199,"&gt;0")</x:f>
        <x:v>3</x:v>
      </x:c>
      <x:c r="H108" s="7" t="n">
        <x:f>IF(F108=0,"n.a.",G108/F108)</x:f>
        <x:v>0.75</x:v>
      </x:c>
      <x:c r="I108" s="7" t="n">
        <x:f>IF(F108=0,"n.a.",SUMIFS('触发事件'!$L$6:$L$199,'触发事件'!$A$6:$A$199,B108,'触发事件'!$E$6:$E$199,"&lt;"&amp;-D108,'触发事件'!$D$6:$D$199,1,'触发事件'!$M$6:$M$199,"已完成")/F108)</x:f>
        <x:v>0.09302076970152529</x:v>
      </x:c>
      <x:c r="J108" s="7" t="n">
        <x:v>0.15737338013627244</x:v>
      </x:c>
      <x:c r="K108" s="7" t="n">
        <x:v>0.2857549587169024</x:v>
      </x:c>
      <x:c r="L108" s="7" t="n">
        <x:v>-0.22841864018334612</x:v>
      </x:c>
      <x:c r="M108" s="7" t="n">
        <x:v>-0.37407769434210214</x:v>
      </x:c>
      <x:c r="N108" s="7" t="n">
        <x:v>-0.18717094619749827</x:v>
      </x:c>
      <x:c r="O108" s="1" t="n">
        <x:v>0</x:v>
      </x:c>
      <x:c r="P108" s="9" t="n">
        <x:v>0.8763174472209434</x:v>
      </x:c>
    </x:row>
    <x:row r="109" ht="25" customHeight="1">
      <x:c r="A109" s="1" t="str">
        <x:v>中证红利</x:v>
      </x:c>
      <x:c r="B109" s="1" t="str">
        <x:v>sh000922</x:v>
      </x:c>
      <x:c r="C109" s="1" t="str">
        <x:v>发布后</x:v>
      </x:c>
      <x:c r="D109" s="8" t="n">
        <x:v>0.25</x:v>
      </x:c>
      <x:c r="E109" s="1" t="n">
        <x:f>COUNTIFS('触发事件'!$A$6:$A$199,B109,'触发事件'!$E$6:$E$199,"&lt;"&amp;-D109,'触发事件'!$D$6:$D$199,1)</x:f>
        <x:v>2</x:v>
      </x:c>
      <x:c r="F109" s="1" t="n">
        <x:f>COUNTIFS('触发事件'!$A$6:$A$199,B109,'触发事件'!$E$6:$E$199,"&lt;"&amp;-D109,'触发事件'!$D$6:$D$199,1,'触发事件'!$M$6:$M$199,"已完成")</x:f>
        <x:v>2</x:v>
      </x:c>
      <x:c r="G109" s="1" t="n">
        <x:f>COUNTIFS('触发事件'!$A$6:$A$199,B109,'触发事件'!$E$6:$E$199,"&lt;"&amp;-D109,'触发事件'!$D$6:$D$199,1,'触发事件'!$M$6:$M$199,"已完成",'触发事件'!$L$6:$L$199,"&gt;0")</x:f>
        <x:v>1</x:v>
      </x:c>
      <x:c r="H109" s="7" t="n">
        <x:f>IF(F109=0,"n.a.",G109/F109)</x:f>
        <x:v>0.5</x:v>
      </x:c>
      <x:c r="I109" s="7" t="n">
        <x:f>IF(F109=0,"n.a.",SUMIFS('触发事件'!$L$6:$L$199,'触发事件'!$A$6:$A$199,B109,'触发事件'!$E$6:$E$199,"&lt;"&amp;-D109,'触发事件'!$D$6:$D$199,1,'触发事件'!$M$6:$M$199,"已完成")/F109)</x:f>
        <x:v>-0.004982227565580644</x:v>
      </x:c>
      <x:c r="J109" s="7" t="n">
        <x:v>-0.004982227565580644</x:v>
      </x:c>
      <x:c r="K109" s="7" t="n">
        <x:v>0.21845418505218483</x:v>
      </x:c>
      <x:c r="L109" s="7" t="n">
        <x:v>-0.22841864018334612</x:v>
      </x:c>
      <x:c r="M109" s="7" t="n">
        <x:v>-0.37407769434210214</x:v>
      </x:c>
      <x:c r="N109" s="7" t="n">
        <x:v>-0.2675087350197768</x:v>
      </x:c>
      <x:c r="O109" s="1" t="n">
        <x:v>0</x:v>
      </x:c>
      <x:c r="P109" s="9" t="n">
        <x:v>0.9563763486063875</x:v>
      </x:c>
    </x:row>
    <x:row r="110" ht="25" customHeight="1">
      <x:c r="A110" s="1" t="str">
        <x:v>中证红利</x:v>
      </x:c>
      <x:c r="B110" s="1" t="str">
        <x:v>sh000922</x:v>
      </x:c>
      <x:c r="C110" s="1" t="str">
        <x:v>近十年含回溯</x:v>
      </x:c>
      <x:c r="D110" s="8" t="n">
        <x:v>0.1</x:v>
      </x:c>
      <x:c r="E110" s="1" t="n">
        <x:f>COUNTIFS('触发事件'!$A$6:$A$199,B110,'触发事件'!$E$6:$E$199,"&lt;"&amp;-D110,'触发事件'!$C$6:$C$199,"&gt;=2016-10")</x:f>
        <x:v>0</x:v>
      </x:c>
      <x:c r="F110" s="1" t="n">
        <x:f>COUNTIFS('触发事件'!$A$6:$A$199,B110,'触发事件'!$E$6:$E$199,"&lt;"&amp;-D110,'触发事件'!$C$6:$C$199,"&gt;=2016-10",'触发事件'!$M$6:$M$199,"已完成")</x:f>
        <x:v>0</x:v>
      </x:c>
      <x:c r="G110" s="1" t="n">
        <x:f>COUNTIFS('触发事件'!$A$6:$A$199,B110,'触发事件'!$E$6:$E$199,"&lt;"&amp;-D110,'触发事件'!$C$6:$C$199,"&gt;=2016-10",'触发事件'!$M$6:$M$199,"已完成",'触发事件'!$L$6:$L$199,"&gt;0")</x:f>
        <x:v>0</x:v>
      </x:c>
      <x:c r="H110" s="7" t="str">
        <x:f>IF(F110=0,"n.a.",G110/F110)</x:f>
        <x:v>n.a.</x:v>
      </x:c>
      <x:c r="I110" s="7" t="str">
        <x:f>IF(F110=0,"n.a.",SUMIFS('触发事件'!$L$6:$L$199,'触发事件'!$A$6:$A$199,B110,'触发事件'!$E$6:$E$199,"&lt;"&amp;-D110,'触发事件'!$C$6:$C$199,"&gt;=2016-10",'触发事件'!$M$6:$M$199,"已完成")/F110)</x:f>
        <x:v>n.a.</x:v>
      </x:c>
      <x:c r="J110" s="7"/>
      <x:c r="K110" s="7"/>
      <x:c r="L110" s="7"/>
      <x:c r="M110" s="7"/>
      <x:c r="N110" s="7"/>
      <x:c r="O110" s="1" t="n">
        <x:v>0</x:v>
      </x:c>
      <x:c r="P110" s="9"/>
    </x:row>
    <x:row r="111" ht="25" customHeight="1">
      <x:c r="A111" s="1" t="str">
        <x:v>中证红利</x:v>
      </x:c>
      <x:c r="B111" s="1" t="str">
        <x:v>sh000922</x:v>
      </x:c>
      <x:c r="C111" s="1" t="str">
        <x:v>近十年含回溯</x:v>
      </x:c>
      <x:c r="D111" s="8" t="n">
        <x:v>0.15</x:v>
      </x:c>
      <x:c r="E111" s="1" t="n">
        <x:f>COUNTIFS('触发事件'!$A$6:$A$199,B111,'触发事件'!$E$6:$E$199,"&lt;"&amp;-D111,'触发事件'!$C$6:$C$199,"&gt;=2016-10")</x:f>
        <x:v>0</x:v>
      </x:c>
      <x:c r="F111" s="1" t="n">
        <x:f>COUNTIFS('触发事件'!$A$6:$A$199,B111,'触发事件'!$E$6:$E$199,"&lt;"&amp;-D111,'触发事件'!$C$6:$C$199,"&gt;=2016-10",'触发事件'!$M$6:$M$199,"已完成")</x:f>
        <x:v>0</x:v>
      </x:c>
      <x:c r="G111" s="1" t="n">
        <x:f>COUNTIFS('触发事件'!$A$6:$A$199,B111,'触发事件'!$E$6:$E$199,"&lt;"&amp;-D111,'触发事件'!$C$6:$C$199,"&gt;=2016-10",'触发事件'!$M$6:$M$199,"已完成",'触发事件'!$L$6:$L$199,"&gt;0")</x:f>
        <x:v>0</x:v>
      </x:c>
      <x:c r="H111" s="7" t="str">
        <x:f>IF(F111=0,"n.a.",G111/F111)</x:f>
        <x:v>n.a.</x:v>
      </x:c>
      <x:c r="I111" s="7" t="str">
        <x:f>IF(F111=0,"n.a.",SUMIFS('触发事件'!$L$6:$L$199,'触发事件'!$A$6:$A$199,B111,'触发事件'!$E$6:$E$199,"&lt;"&amp;-D111,'触发事件'!$C$6:$C$199,"&gt;=2016-10",'触发事件'!$M$6:$M$199,"已完成")/F111)</x:f>
        <x:v>n.a.</x:v>
      </x:c>
      <x:c r="J111" s="7"/>
      <x:c r="K111" s="7"/>
      <x:c r="L111" s="7"/>
      <x:c r="M111" s="7"/>
      <x:c r="N111" s="7"/>
      <x:c r="O111" s="1" t="n">
        <x:v>0</x:v>
      </x:c>
      <x:c r="P111" s="9"/>
    </x:row>
    <x:row r="112" ht="25" customHeight="1">
      <x:c r="A112" s="1" t="str">
        <x:v>中证红利</x:v>
      </x:c>
      <x:c r="B112" s="1" t="str">
        <x:v>sh000922</x:v>
      </x:c>
      <x:c r="C112" s="1" t="str">
        <x:v>近十年含回溯</x:v>
      </x:c>
      <x:c r="D112" s="8" t="n">
        <x:v>0.2</x:v>
      </x:c>
      <x:c r="E112" s="1" t="n">
        <x:f>COUNTIFS('触发事件'!$A$6:$A$199,B112,'触发事件'!$E$6:$E$199,"&lt;"&amp;-D112,'触发事件'!$C$6:$C$199,"&gt;=2016-10")</x:f>
        <x:v>0</x:v>
      </x:c>
      <x:c r="F112" s="1" t="n">
        <x:f>COUNTIFS('触发事件'!$A$6:$A$199,B112,'触发事件'!$E$6:$E$199,"&lt;"&amp;-D112,'触发事件'!$C$6:$C$199,"&gt;=2016-10",'触发事件'!$M$6:$M$199,"已完成")</x:f>
        <x:v>0</x:v>
      </x:c>
      <x:c r="G112" s="1" t="n">
        <x:f>COUNTIFS('触发事件'!$A$6:$A$199,B112,'触发事件'!$E$6:$E$199,"&lt;"&amp;-D112,'触发事件'!$C$6:$C$199,"&gt;=2016-10",'触发事件'!$M$6:$M$199,"已完成",'触发事件'!$L$6:$L$199,"&gt;0")</x:f>
        <x:v>0</x:v>
      </x:c>
      <x:c r="H112" s="7" t="str">
        <x:f>IF(F112=0,"n.a.",G112/F112)</x:f>
        <x:v>n.a.</x:v>
      </x:c>
      <x:c r="I112" s="7" t="str">
        <x:f>IF(F112=0,"n.a.",SUMIFS('触发事件'!$L$6:$L$199,'触发事件'!$A$6:$A$199,B112,'触发事件'!$E$6:$E$199,"&lt;"&amp;-D112,'触发事件'!$C$6:$C$199,"&gt;=2016-10",'触发事件'!$M$6:$M$199,"已完成")/F112)</x:f>
        <x:v>n.a.</x:v>
      </x:c>
      <x:c r="J112" s="7"/>
      <x:c r="K112" s="7"/>
      <x:c r="L112" s="7"/>
      <x:c r="M112" s="7"/>
      <x:c r="N112" s="7"/>
      <x:c r="O112" s="1" t="n">
        <x:v>0</x:v>
      </x:c>
      <x:c r="P112" s="9"/>
    </x:row>
    <x:row r="113" ht="25" customHeight="1">
      <x:c r="A113" s="1" t="str">
        <x:v>中证红利</x:v>
      </x:c>
      <x:c r="B113" s="1" t="str">
        <x:v>sh000922</x:v>
      </x:c>
      <x:c r="C113" s="1" t="str">
        <x:v>近十年含回溯</x:v>
      </x:c>
      <x:c r="D113" s="8" t="n">
        <x:v>0.25</x:v>
      </x:c>
      <x:c r="E113" s="1" t="n">
        <x:f>COUNTIFS('触发事件'!$A$6:$A$199,B113,'触发事件'!$E$6:$E$199,"&lt;"&amp;-D113,'触发事件'!$C$6:$C$199,"&gt;=2016-10")</x:f>
        <x:v>0</x:v>
      </x:c>
      <x:c r="F113" s="1" t="n">
        <x:f>COUNTIFS('触发事件'!$A$6:$A$199,B113,'触发事件'!$E$6:$E$199,"&lt;"&amp;-D113,'触发事件'!$C$6:$C$199,"&gt;=2016-10",'触发事件'!$M$6:$M$199,"已完成")</x:f>
        <x:v>0</x:v>
      </x:c>
      <x:c r="G113" s="1" t="n">
        <x:f>COUNTIFS('触发事件'!$A$6:$A$199,B113,'触发事件'!$E$6:$E$199,"&lt;"&amp;-D113,'触发事件'!$C$6:$C$199,"&gt;=2016-10",'触发事件'!$M$6:$M$199,"已完成",'触发事件'!$L$6:$L$199,"&gt;0")</x:f>
        <x:v>0</x:v>
      </x:c>
      <x:c r="H113" s="7" t="str">
        <x:f>IF(F113=0,"n.a.",G113/F113)</x:f>
        <x:v>n.a.</x:v>
      </x:c>
      <x:c r="I113" s="7" t="str">
        <x:f>IF(F113=0,"n.a.",SUMIFS('触发事件'!$L$6:$L$199,'触发事件'!$A$6:$A$199,B113,'触发事件'!$E$6:$E$199,"&lt;"&amp;-D113,'触发事件'!$C$6:$C$199,"&gt;=2016-10",'触发事件'!$M$6:$M$199,"已完成")/F113)</x:f>
        <x:v>n.a.</x:v>
      </x:c>
      <x:c r="J113" s="7"/>
      <x:c r="K113" s="7"/>
      <x:c r="L113" s="7"/>
      <x:c r="M113" s="7"/>
      <x:c r="N113" s="7"/>
      <x:c r="O113" s="1" t="n">
        <x:v>0</x:v>
      </x:c>
      <x:c r="P113" s="9"/>
    </x:row>
    <x:row r="114" ht="25" customHeight="1">
      <x:c r="A114" s="1" t="str">
        <x:v>科创50</x:v>
      </x:c>
      <x:c r="B114" s="1" t="str">
        <x:v>sh000688</x:v>
      </x:c>
      <x:c r="C114" s="1" t="str">
        <x:v>全历史含回溯</x:v>
      </x:c>
      <x:c r="D114" s="8" t="n">
        <x:v>0.1</x:v>
      </x:c>
      <x:c r="E114" s="1" t="n">
        <x:f>COUNTIFS('触发事件'!$A$6:$A$199,B114,'触发事件'!$E$6:$E$199,"&lt;"&amp;-D114)</x:f>
        <x:v>7</x:v>
      </x:c>
      <x:c r="F114" s="1" t="n">
        <x:f>COUNTIFS('触发事件'!$A$6:$A$199,B114,'触发事件'!$E$6:$E$199,"&lt;"&amp;-D114,'触发事件'!$M$6:$M$199,"已完成")</x:f>
        <x:v>6</x:v>
      </x:c>
      <x:c r="G114" s="1" t="n">
        <x:f>COUNTIFS('触发事件'!$A$6:$A$199,B114,'触发事件'!$E$6:$E$199,"&lt;"&amp;-D114,'触发事件'!$M$6:$M$199,"已完成",'触发事件'!$L$6:$L$199,"&gt;0")</x:f>
        <x:v>5</x:v>
      </x:c>
      <x:c r="H114" s="7" t="n">
        <x:f>IF(F114=0,"n.a.",G114/F114)</x:f>
        <x:v>0.8333333333333334</x:v>
      </x:c>
      <x:c r="I114" s="7" t="n">
        <x:f>IF(F114=0,"n.a.",SUMIFS('触发事件'!$L$6:$L$199,'触发事件'!$A$6:$A$199,B114,'触发事件'!$E$6:$E$199,"&lt;"&amp;-D114,'触发事件'!$M$6:$M$199,"已完成")/F114)</x:f>
        <x:v>0.20343873388942144</x:v>
      </x:c>
      <x:c r="J114" s="7" t="n">
        <x:v>0.16241966410166753</x:v>
      </x:c>
      <x:c r="K114" s="7" t="n">
        <x:v>0.7089660943407918</x:v>
      </x:c>
      <x:c r="L114" s="7" t="n">
        <x:v>-0.24783180236938707</x:v>
      </x:c>
      <x:c r="M114" s="7" t="n">
        <x:v>-0.30531614369513194</x:v>
      </x:c>
      <x:c r="N114" s="7" t="n">
        <x:v>-0.1556231519131596</x:v>
      </x:c>
      <x:c r="O114" s="1" t="n">
        <x:v>2</x:v>
      </x:c>
      <x:c r="P114" s="9" t="n">
        <x:v>1.1850490467056416</x:v>
      </x:c>
    </x:row>
    <x:row r="115" ht="25" customHeight="1">
      <x:c r="A115" s="1" t="str">
        <x:v>科创50</x:v>
      </x:c>
      <x:c r="B115" s="1" t="str">
        <x:v>sh000688</x:v>
      </x:c>
      <x:c r="C115" s="1" t="str">
        <x:v>全历史含回溯</x:v>
      </x:c>
      <x:c r="D115" s="8" t="n">
        <x:v>0.15</x:v>
      </x:c>
      <x:c r="E115" s="1" t="n">
        <x:f>COUNTIFS('触发事件'!$A$6:$A$199,B115,'触发事件'!$E$6:$E$199,"&lt;"&amp;-D115)</x:f>
        <x:v>3</x:v>
      </x:c>
      <x:c r="F115" s="1" t="n">
        <x:f>COUNTIFS('触发事件'!$A$6:$A$199,B115,'触发事件'!$E$6:$E$199,"&lt;"&amp;-D115,'触发事件'!$M$6:$M$199,"已完成")</x:f>
        <x:v>2</x:v>
      </x:c>
      <x:c r="G115" s="1" t="n">
        <x:f>COUNTIFS('触发事件'!$A$6:$A$199,B115,'触发事件'!$E$6:$E$199,"&lt;"&amp;-D115,'触发事件'!$M$6:$M$199,"已完成",'触发事件'!$L$6:$L$199,"&gt;0")</x:f>
        <x:v>2</x:v>
      </x:c>
      <x:c r="H115" s="7" t="n">
        <x:f>IF(F115=0,"n.a.",G115/F115)</x:f>
        <x:v>1</x:v>
      </x:c>
      <x:c r="I115" s="7" t="n">
        <x:f>IF(F115=0,"n.a.",SUMIFS('触发事件'!$L$6:$L$199,'触发事件'!$A$6:$A$199,B115,'触发事件'!$E$6:$E$199,"&lt;"&amp;-D115,'触发事件'!$M$6:$M$199,"已完成")/F115)</x:f>
        <x:v>0.426663973248666</x:v>
      </x:c>
      <x:c r="J115" s="7" t="n">
        <x:v>0.426663973248666</x:v>
      </x:c>
      <x:c r="K115" s="7" t="n">
        <x:v>0.7089660943407918</x:v>
      </x:c>
      <x:c r="L115" s="7" t="n">
        <x:v>0.14436185215654018</x:v>
      </x:c>
      <x:c r="M115" s="7" t="n">
        <x:v>-0.15794498006371172</x:v>
      </x:c>
      <x:c r="N115" s="7" t="n">
        <x:v>-0.13806505121431284</x:v>
      </x:c>
      <x:c r="O115" s="1" t="n">
        <x:v>0</x:v>
      </x:c>
      <x:c r="P115" s="9"/>
    </x:row>
    <x:row r="116" ht="25" customHeight="1">
      <x:c r="A116" s="1" t="str">
        <x:v>科创50</x:v>
      </x:c>
      <x:c r="B116" s="1" t="str">
        <x:v>sh000688</x:v>
      </x:c>
      <x:c r="C116" s="1" t="str">
        <x:v>全历史含回溯</x:v>
      </x:c>
      <x:c r="D116" s="8" t="n">
        <x:v>0.2</x:v>
      </x:c>
      <x:c r="E116" s="1" t="n">
        <x:f>COUNTIFS('触发事件'!$A$6:$A$199,B116,'触发事件'!$E$6:$E$199,"&lt;"&amp;-D116)</x:f>
        <x:v>1</x:v>
      </x:c>
      <x:c r="F116" s="1" t="n">
        <x:f>COUNTIFS('触发事件'!$A$6:$A$199,B116,'触发事件'!$E$6:$E$199,"&lt;"&amp;-D116,'触发事件'!$M$6:$M$199,"已完成")</x:f>
        <x:v>0</x:v>
      </x:c>
      <x:c r="G116" s="1" t="n">
        <x:f>COUNTIFS('触发事件'!$A$6:$A$199,B116,'触发事件'!$E$6:$E$199,"&lt;"&amp;-D116,'触发事件'!$M$6:$M$199,"已完成",'触发事件'!$L$6:$L$199,"&gt;0")</x:f>
        <x:v>0</x:v>
      </x:c>
      <x:c r="H116" s="7" t="str">
        <x:f>IF(F116=0,"n.a.",G116/F116)</x:f>
        <x:v>n.a.</x:v>
      </x:c>
      <x:c r="I116" s="7" t="str">
        <x:f>IF(F116=0,"n.a.",SUMIFS('触发事件'!$L$6:$L$199,'触发事件'!$A$6:$A$199,B116,'触发事件'!$E$6:$E$199,"&lt;"&amp;-D116,'触发事件'!$M$6:$M$199,"已完成")/F116)</x:f>
        <x:v>n.a.</x:v>
      </x:c>
      <x:c r="J116" s="7"/>
      <x:c r="K116" s="7"/>
      <x:c r="L116" s="7"/>
      <x:c r="M116" s="7"/>
      <x:c r="N116" s="7"/>
      <x:c r="O116" s="1" t="n">
        <x:v>0</x:v>
      </x:c>
      <x:c r="P116" s="9"/>
    </x:row>
    <x:row r="117" ht="25" customHeight="1">
      <x:c r="A117" s="1" t="str">
        <x:v>科创50</x:v>
      </x:c>
      <x:c r="B117" s="1" t="str">
        <x:v>sh000688</x:v>
      </x:c>
      <x:c r="C117" s="1" t="str">
        <x:v>全历史含回溯</x:v>
      </x:c>
      <x:c r="D117" s="8" t="n">
        <x:v>0.25</x:v>
      </x:c>
      <x:c r="E117" s="1" t="n">
        <x:f>COUNTIFS('触发事件'!$A$6:$A$199,B117,'触发事件'!$E$6:$E$199,"&lt;"&amp;-D117)</x:f>
        <x:v>1</x:v>
      </x:c>
      <x:c r="F117" s="1" t="n">
        <x:f>COUNTIFS('触发事件'!$A$6:$A$199,B117,'触发事件'!$E$6:$E$199,"&lt;"&amp;-D117,'触发事件'!$M$6:$M$199,"已完成")</x:f>
        <x:v>0</x:v>
      </x:c>
      <x:c r="G117" s="1" t="n">
        <x:f>COUNTIFS('触发事件'!$A$6:$A$199,B117,'触发事件'!$E$6:$E$199,"&lt;"&amp;-D117,'触发事件'!$M$6:$M$199,"已完成",'触发事件'!$L$6:$L$199,"&gt;0")</x:f>
        <x:v>0</x:v>
      </x:c>
      <x:c r="H117" s="7" t="str">
        <x:f>IF(F117=0,"n.a.",G117/F117)</x:f>
        <x:v>n.a.</x:v>
      </x:c>
      <x:c r="I117" s="7" t="str">
        <x:f>IF(F117=0,"n.a.",SUMIFS('触发事件'!$L$6:$L$199,'触发事件'!$A$6:$A$199,B117,'触发事件'!$E$6:$E$199,"&lt;"&amp;-D117,'触发事件'!$M$6:$M$199,"已完成")/F117)</x:f>
        <x:v>n.a.</x:v>
      </x:c>
      <x:c r="J117" s="7"/>
      <x:c r="K117" s="7"/>
      <x:c r="L117" s="7"/>
      <x:c r="M117" s="7"/>
      <x:c r="N117" s="7"/>
      <x:c r="O117" s="1" t="n">
        <x:v>0</x:v>
      </x:c>
      <x:c r="P117" s="9"/>
    </x:row>
    <x:row r="118" ht="25" customHeight="1">
      <x:c r="A118" s="1" t="str">
        <x:v>科创50</x:v>
      </x:c>
      <x:c r="B118" s="1" t="str">
        <x:v>sh000688</x:v>
      </x:c>
      <x:c r="C118" s="1" t="str">
        <x:v>发布后</x:v>
      </x:c>
      <x:c r="D118" s="8" t="n">
        <x:v>0.1</x:v>
      </x:c>
      <x:c r="E118" s="1" t="n">
        <x:f>COUNTIFS('触发事件'!$A$6:$A$199,B118,'触发事件'!$E$6:$E$199,"&lt;"&amp;-D118,'触发事件'!$D$6:$D$199,1)</x:f>
        <x:v>6</x:v>
      </x:c>
      <x:c r="F118" s="1" t="n">
        <x:f>COUNTIFS('触发事件'!$A$6:$A$199,B118,'触发事件'!$E$6:$E$199,"&lt;"&amp;-D118,'触发事件'!$D$6:$D$199,1,'触发事件'!$M$6:$M$199,"已完成")</x:f>
        <x:v>5</x:v>
      </x:c>
      <x:c r="G118" s="1" t="n">
        <x:f>COUNTIFS('触发事件'!$A$6:$A$199,B118,'触发事件'!$E$6:$E$199,"&lt;"&amp;-D118,'触发事件'!$D$6:$D$199,1,'触发事件'!$M$6:$M$199,"已完成",'触发事件'!$L$6:$L$199,"&gt;0")</x:f>
        <x:v>4</x:v>
      </x:c>
      <x:c r="H118" s="7" t="n">
        <x:f>IF(F118=0,"n.a.",G118/F118)</x:f>
        <x:v>0.8</x:v>
      </x:c>
      <x:c r="I118" s="7" t="n">
        <x:f>IF(F118=0,"n.a.",SUMIFS('触发事件'!$L$6:$L$199,'触发事件'!$A$6:$A$199,B118,'触发事件'!$E$6:$E$199,"&lt;"&amp;-D118,'触发事件'!$D$6:$D$199,1,'触发事件'!$M$6:$M$199,"已完成")/F118)</x:f>
        <x:v>0.16100193119235</x:v>
      </x:c>
      <x:c r="J118" s="7" t="n">
        <x:v>0.14436185215654018</x:v>
      </x:c>
      <x:c r="K118" s="7" t="n">
        <x:v>0.7089660943407918</x:v>
      </x:c>
      <x:c r="L118" s="7" t="n">
        <x:v>-0.24783180236938707</x:v>
      </x:c>
      <x:c r="M118" s="7" t="n">
        <x:v>-0.30531614369513194</x:v>
      </x:c>
      <x:c r="N118" s="7" t="n">
        <x:v>-0.1697848853295723</x:v>
      </x:c>
      <x:c r="O118" s="1" t="n">
        <x:v>2</x:v>
      </x:c>
      <x:c r="P118" s="9" t="n">
        <x:v>1.0620524164629843</x:v>
      </x:c>
    </x:row>
    <x:row r="119" ht="25" customHeight="1">
      <x:c r="A119" s="1" t="str">
        <x:v>科创50</x:v>
      </x:c>
      <x:c r="B119" s="1" t="str">
        <x:v>sh000688</x:v>
      </x:c>
      <x:c r="C119" s="1" t="str">
        <x:v>发布后</x:v>
      </x:c>
      <x:c r="D119" s="8" t="n">
        <x:v>0.15</x:v>
      </x:c>
      <x:c r="E119" s="1" t="n">
        <x:f>COUNTIFS('触发事件'!$A$6:$A$199,B119,'触发事件'!$E$6:$E$199,"&lt;"&amp;-D119,'触发事件'!$D$6:$D$199,1)</x:f>
        <x:v>3</x:v>
      </x:c>
      <x:c r="F119" s="1" t="n">
        <x:f>COUNTIFS('触发事件'!$A$6:$A$199,B119,'触发事件'!$E$6:$E$199,"&lt;"&amp;-D119,'触发事件'!$D$6:$D$199,1,'触发事件'!$M$6:$M$199,"已完成")</x:f>
        <x:v>2</x:v>
      </x:c>
      <x:c r="G119" s="1" t="n">
        <x:f>COUNTIFS('触发事件'!$A$6:$A$199,B119,'触发事件'!$E$6:$E$199,"&lt;"&amp;-D119,'触发事件'!$D$6:$D$199,1,'触发事件'!$M$6:$M$199,"已完成",'触发事件'!$L$6:$L$199,"&gt;0")</x:f>
        <x:v>2</x:v>
      </x:c>
      <x:c r="H119" s="7" t="n">
        <x:f>IF(F119=0,"n.a.",G119/F119)</x:f>
        <x:v>1</x:v>
      </x:c>
      <x:c r="I119" s="7" t="n">
        <x:f>IF(F119=0,"n.a.",SUMIFS('触发事件'!$L$6:$L$199,'触发事件'!$A$6:$A$199,B119,'触发事件'!$E$6:$E$199,"&lt;"&amp;-D119,'触发事件'!$D$6:$D$199,1,'触发事件'!$M$6:$M$199,"已完成")/F119)</x:f>
        <x:v>0.426663973248666</x:v>
      </x:c>
      <x:c r="J119" s="7" t="n">
        <x:v>0.426663973248666</x:v>
      </x:c>
      <x:c r="K119" s="7" t="n">
        <x:v>0.7089660943407918</x:v>
      </x:c>
      <x:c r="L119" s="7" t="n">
        <x:v>0.14436185215654018</x:v>
      </x:c>
      <x:c r="M119" s="7" t="n">
        <x:v>-0.15794498006371172</x:v>
      </x:c>
      <x:c r="N119" s="7" t="n">
        <x:v>-0.13806505121431284</x:v>
      </x:c>
      <x:c r="O119" s="1" t="n">
        <x:v>0</x:v>
      </x:c>
      <x:c r="P119" s="9"/>
    </x:row>
    <x:row r="120" ht="25" customHeight="1">
      <x:c r="A120" s="1" t="str">
        <x:v>科创50</x:v>
      </x:c>
      <x:c r="B120" s="1" t="str">
        <x:v>sh000688</x:v>
      </x:c>
      <x:c r="C120" s="1" t="str">
        <x:v>发布后</x:v>
      </x:c>
      <x:c r="D120" s="8" t="n">
        <x:v>0.2</x:v>
      </x:c>
      <x:c r="E120" s="1" t="n">
        <x:f>COUNTIFS('触发事件'!$A$6:$A$199,B120,'触发事件'!$E$6:$E$199,"&lt;"&amp;-D120,'触发事件'!$D$6:$D$199,1)</x:f>
        <x:v>1</x:v>
      </x:c>
      <x:c r="F120" s="1" t="n">
        <x:f>COUNTIFS('触发事件'!$A$6:$A$199,B120,'触发事件'!$E$6:$E$199,"&lt;"&amp;-D120,'触发事件'!$D$6:$D$199,1,'触发事件'!$M$6:$M$199,"已完成")</x:f>
        <x:v>0</x:v>
      </x:c>
      <x:c r="G120" s="1" t="n">
        <x:f>COUNTIFS('触发事件'!$A$6:$A$199,B120,'触发事件'!$E$6:$E$199,"&lt;"&amp;-D120,'触发事件'!$D$6:$D$199,1,'触发事件'!$M$6:$M$199,"已完成",'触发事件'!$L$6:$L$199,"&gt;0")</x:f>
        <x:v>0</x:v>
      </x:c>
      <x:c r="H120" s="7" t="str">
        <x:f>IF(F120=0,"n.a.",G120/F120)</x:f>
        <x:v>n.a.</x:v>
      </x:c>
      <x:c r="I120" s="7" t="str">
        <x:f>IF(F120=0,"n.a.",SUMIFS('触发事件'!$L$6:$L$199,'触发事件'!$A$6:$A$199,B120,'触发事件'!$E$6:$E$199,"&lt;"&amp;-D120,'触发事件'!$D$6:$D$199,1,'触发事件'!$M$6:$M$199,"已完成")/F120)</x:f>
        <x:v>n.a.</x:v>
      </x:c>
      <x:c r="J120" s="7"/>
      <x:c r="K120" s="7"/>
      <x:c r="L120" s="7"/>
      <x:c r="M120" s="7"/>
      <x:c r="N120" s="7"/>
      <x:c r="O120" s="1" t="n">
        <x:v>0</x:v>
      </x:c>
      <x:c r="P120" s="9"/>
    </x:row>
    <x:row r="121" ht="25" customHeight="1">
      <x:c r="A121" s="1" t="str">
        <x:v>科创50</x:v>
      </x:c>
      <x:c r="B121" s="1" t="str">
        <x:v>sh000688</x:v>
      </x:c>
      <x:c r="C121" s="1" t="str">
        <x:v>发布后</x:v>
      </x:c>
      <x:c r="D121" s="8" t="n">
        <x:v>0.25</x:v>
      </x:c>
      <x:c r="E121" s="1" t="n">
        <x:f>COUNTIFS('触发事件'!$A$6:$A$199,B121,'触发事件'!$E$6:$E$199,"&lt;"&amp;-D121,'触发事件'!$D$6:$D$199,1)</x:f>
        <x:v>1</x:v>
      </x:c>
      <x:c r="F121" s="1" t="n">
        <x:f>COUNTIFS('触发事件'!$A$6:$A$199,B121,'触发事件'!$E$6:$E$199,"&lt;"&amp;-D121,'触发事件'!$D$6:$D$199,1,'触发事件'!$M$6:$M$199,"已完成")</x:f>
        <x:v>0</x:v>
      </x:c>
      <x:c r="G121" s="1" t="n">
        <x:f>COUNTIFS('触发事件'!$A$6:$A$199,B121,'触发事件'!$E$6:$E$199,"&lt;"&amp;-D121,'触发事件'!$D$6:$D$199,1,'触发事件'!$M$6:$M$199,"已完成",'触发事件'!$L$6:$L$199,"&gt;0")</x:f>
        <x:v>0</x:v>
      </x:c>
      <x:c r="H121" s="7" t="str">
        <x:f>IF(F121=0,"n.a.",G121/F121)</x:f>
        <x:v>n.a.</x:v>
      </x:c>
      <x:c r="I121" s="7" t="str">
        <x:f>IF(F121=0,"n.a.",SUMIFS('触发事件'!$L$6:$L$199,'触发事件'!$A$6:$A$199,B121,'触发事件'!$E$6:$E$199,"&lt;"&amp;-D121,'触发事件'!$D$6:$D$199,1,'触发事件'!$M$6:$M$199,"已完成")/F121)</x:f>
        <x:v>n.a.</x:v>
      </x:c>
      <x:c r="J121" s="7"/>
      <x:c r="K121" s="7"/>
      <x:c r="L121" s="7"/>
      <x:c r="M121" s="7"/>
      <x:c r="N121" s="7"/>
      <x:c r="O121" s="1" t="n">
        <x:v>0</x:v>
      </x:c>
      <x:c r="P121" s="9"/>
    </x:row>
    <x:row r="122" ht="25" customHeight="1">
      <x:c r="A122" s="1" t="str">
        <x:v>科创50</x:v>
      </x:c>
      <x:c r="B122" s="1" t="str">
        <x:v>sh000688</x:v>
      </x:c>
      <x:c r="C122" s="1" t="str">
        <x:v>近十年含回溯</x:v>
      </x:c>
      <x:c r="D122" s="8" t="n">
        <x:v>0.1</x:v>
      </x:c>
      <x:c r="E122" s="1" t="n">
        <x:f>COUNTIFS('触发事件'!$A$6:$A$199,B122,'触发事件'!$E$6:$E$199,"&lt;"&amp;-D122,'触发事件'!$C$6:$C$199,"&gt;=2016-10")</x:f>
        <x:v>7</x:v>
      </x:c>
      <x:c r="F122" s="1" t="n">
        <x:f>COUNTIFS('触发事件'!$A$6:$A$199,B122,'触发事件'!$E$6:$E$199,"&lt;"&amp;-D122,'触发事件'!$C$6:$C$199,"&gt;=2016-10",'触发事件'!$M$6:$M$199,"已完成")</x:f>
        <x:v>6</x:v>
      </x:c>
      <x:c r="G122" s="1" t="n">
        <x:f>COUNTIFS('触发事件'!$A$6:$A$199,B122,'触发事件'!$E$6:$E$199,"&lt;"&amp;-D122,'触发事件'!$C$6:$C$199,"&gt;=2016-10",'触发事件'!$M$6:$M$199,"已完成",'触发事件'!$L$6:$L$199,"&gt;0")</x:f>
        <x:v>5</x:v>
      </x:c>
      <x:c r="H122" s="7" t="n">
        <x:f>IF(F122=0,"n.a.",G122/F122)</x:f>
        <x:v>0.8333333333333334</x:v>
      </x:c>
      <x:c r="I122" s="7" t="n">
        <x:f>IF(F122=0,"n.a.",SUMIFS('触发事件'!$L$6:$L$199,'触发事件'!$A$6:$A$199,B122,'触发事件'!$E$6:$E$199,"&lt;"&amp;-D122,'触发事件'!$C$6:$C$199,"&gt;=2016-10",'触发事件'!$M$6:$M$199,"已完成")/F122)</x:f>
        <x:v>0.20343873388942144</x:v>
      </x:c>
      <x:c r="J122" s="7" t="n">
        <x:v>0.16241966410166753</x:v>
      </x:c>
      <x:c r="K122" s="7" t="n">
        <x:v>0.7089660943407918</x:v>
      </x:c>
      <x:c r="L122" s="7" t="n">
        <x:v>-0.24783180236938707</x:v>
      </x:c>
      <x:c r="M122" s="7" t="n">
        <x:v>-0.30531614369513194</x:v>
      </x:c>
      <x:c r="N122" s="7" t="n">
        <x:v>-0.1556231519131596</x:v>
      </x:c>
      <x:c r="O122" s="1" t="n">
        <x:v>2</x:v>
      </x:c>
      <x:c r="P122" s="9" t="n">
        <x:v>1.1850490467056416</x:v>
      </x:c>
    </x:row>
    <x:row r="123" ht="25" customHeight="1">
      <x:c r="A123" s="1" t="str">
        <x:v>科创50</x:v>
      </x:c>
      <x:c r="B123" s="1" t="str">
        <x:v>sh000688</x:v>
      </x:c>
      <x:c r="C123" s="1" t="str">
        <x:v>近十年含回溯</x:v>
      </x:c>
      <x:c r="D123" s="8" t="n">
        <x:v>0.15</x:v>
      </x:c>
      <x:c r="E123" s="1" t="n">
        <x:f>COUNTIFS('触发事件'!$A$6:$A$199,B123,'触发事件'!$E$6:$E$199,"&lt;"&amp;-D123,'触发事件'!$C$6:$C$199,"&gt;=2016-10")</x:f>
        <x:v>3</x:v>
      </x:c>
      <x:c r="F123" s="1" t="n">
        <x:f>COUNTIFS('触发事件'!$A$6:$A$199,B123,'触发事件'!$E$6:$E$199,"&lt;"&amp;-D123,'触发事件'!$C$6:$C$199,"&gt;=2016-10",'触发事件'!$M$6:$M$199,"已完成")</x:f>
        <x:v>2</x:v>
      </x:c>
      <x:c r="G123" s="1" t="n">
        <x:f>COUNTIFS('触发事件'!$A$6:$A$199,B123,'触发事件'!$E$6:$E$199,"&lt;"&amp;-D123,'触发事件'!$C$6:$C$199,"&gt;=2016-10",'触发事件'!$M$6:$M$199,"已完成",'触发事件'!$L$6:$L$199,"&gt;0")</x:f>
        <x:v>2</x:v>
      </x:c>
      <x:c r="H123" s="7" t="n">
        <x:f>IF(F123=0,"n.a.",G123/F123)</x:f>
        <x:v>1</x:v>
      </x:c>
      <x:c r="I123" s="7" t="n">
        <x:f>IF(F123=0,"n.a.",SUMIFS('触发事件'!$L$6:$L$199,'触发事件'!$A$6:$A$199,B123,'触发事件'!$E$6:$E$199,"&lt;"&amp;-D123,'触发事件'!$C$6:$C$199,"&gt;=2016-10",'触发事件'!$M$6:$M$199,"已完成")/F123)</x:f>
        <x:v>0.426663973248666</x:v>
      </x:c>
      <x:c r="J123" s="7" t="n">
        <x:v>0.426663973248666</x:v>
      </x:c>
      <x:c r="K123" s="7" t="n">
        <x:v>0.7089660943407918</x:v>
      </x:c>
      <x:c r="L123" s="7" t="n">
        <x:v>0.14436185215654018</x:v>
      </x:c>
      <x:c r="M123" s="7" t="n">
        <x:v>-0.15794498006371172</x:v>
      </x:c>
      <x:c r="N123" s="7" t="n">
        <x:v>-0.13806505121431284</x:v>
      </x:c>
      <x:c r="O123" s="1" t="n">
        <x:v>0</x:v>
      </x:c>
      <x:c r="P123" s="9"/>
    </x:row>
    <x:row r="124" ht="25" customHeight="1">
      <x:c r="A124" s="1" t="str">
        <x:v>科创50</x:v>
      </x:c>
      <x:c r="B124" s="1" t="str">
        <x:v>sh000688</x:v>
      </x:c>
      <x:c r="C124" s="1" t="str">
        <x:v>近十年含回溯</x:v>
      </x:c>
      <x:c r="D124" s="8" t="n">
        <x:v>0.2</x:v>
      </x:c>
      <x:c r="E124" s="1" t="n">
        <x:f>COUNTIFS('触发事件'!$A$6:$A$199,B124,'触发事件'!$E$6:$E$199,"&lt;"&amp;-D124,'触发事件'!$C$6:$C$199,"&gt;=2016-10")</x:f>
        <x:v>1</x:v>
      </x:c>
      <x:c r="F124" s="1" t="n">
        <x:f>COUNTIFS('触发事件'!$A$6:$A$199,B124,'触发事件'!$E$6:$E$199,"&lt;"&amp;-D124,'触发事件'!$C$6:$C$199,"&gt;=2016-10",'触发事件'!$M$6:$M$199,"已完成")</x:f>
        <x:v>0</x:v>
      </x:c>
      <x:c r="G124" s="1" t="n">
        <x:f>COUNTIFS('触发事件'!$A$6:$A$199,B124,'触发事件'!$E$6:$E$199,"&lt;"&amp;-D124,'触发事件'!$C$6:$C$199,"&gt;=2016-10",'触发事件'!$M$6:$M$199,"已完成",'触发事件'!$L$6:$L$199,"&gt;0")</x:f>
        <x:v>0</x:v>
      </x:c>
      <x:c r="H124" s="7" t="str">
        <x:f>IF(F124=0,"n.a.",G124/F124)</x:f>
        <x:v>n.a.</x:v>
      </x:c>
      <x:c r="I124" s="7" t="str">
        <x:f>IF(F124=0,"n.a.",SUMIFS('触发事件'!$L$6:$L$199,'触发事件'!$A$6:$A$199,B124,'触发事件'!$E$6:$E$199,"&lt;"&amp;-D124,'触发事件'!$C$6:$C$199,"&gt;=2016-10",'触发事件'!$M$6:$M$199,"已完成")/F124)</x:f>
        <x:v>n.a.</x:v>
      </x:c>
      <x:c r="J124" s="7"/>
      <x:c r="K124" s="7"/>
      <x:c r="L124" s="7"/>
      <x:c r="M124" s="7"/>
      <x:c r="N124" s="7"/>
      <x:c r="O124" s="1" t="n">
        <x:v>0</x:v>
      </x:c>
      <x:c r="P124" s="9"/>
    </x:row>
    <x:row r="125" ht="25" customHeight="1">
      <x:c r="A125" s="1" t="str">
        <x:v>科创50</x:v>
      </x:c>
      <x:c r="B125" s="1" t="str">
        <x:v>sh000688</x:v>
      </x:c>
      <x:c r="C125" s="1" t="str">
        <x:v>近十年含回溯</x:v>
      </x:c>
      <x:c r="D125" s="8" t="n">
        <x:v>0.25</x:v>
      </x:c>
      <x:c r="E125" s="1" t="n">
        <x:f>COUNTIFS('触发事件'!$A$6:$A$199,B125,'触发事件'!$E$6:$E$199,"&lt;"&amp;-D125,'触发事件'!$C$6:$C$199,"&gt;=2016-10")</x:f>
        <x:v>1</x:v>
      </x:c>
      <x:c r="F125" s="1" t="n">
        <x:f>COUNTIFS('触发事件'!$A$6:$A$199,B125,'触发事件'!$E$6:$E$199,"&lt;"&amp;-D125,'触发事件'!$C$6:$C$199,"&gt;=2016-10",'触发事件'!$M$6:$M$199,"已完成")</x:f>
        <x:v>0</x:v>
      </x:c>
      <x:c r="G125" s="1" t="n">
        <x:f>COUNTIFS('触发事件'!$A$6:$A$199,B125,'触发事件'!$E$6:$E$199,"&lt;"&amp;-D125,'触发事件'!$C$6:$C$199,"&gt;=2016-10",'触发事件'!$M$6:$M$199,"已完成",'触发事件'!$L$6:$L$199,"&gt;0")</x:f>
        <x:v>0</x:v>
      </x:c>
      <x:c r="H125" s="7" t="str">
        <x:f>IF(F125=0,"n.a.",G125/F125)</x:f>
        <x:v>n.a.</x:v>
      </x:c>
      <x:c r="I125" s="7" t="str">
        <x:f>IF(F125=0,"n.a.",SUMIFS('触发事件'!$L$6:$L$199,'触发事件'!$A$6:$A$199,B125,'触发事件'!$E$6:$E$199,"&lt;"&amp;-D125,'触发事件'!$C$6:$C$199,"&gt;=2016-10",'触发事件'!$M$6:$M$199,"已完成")/F125)</x:f>
        <x:v>n.a.</x:v>
      </x:c>
      <x:c r="J125" s="7"/>
      <x:c r="K125" s="7"/>
      <x:c r="L125" s="7"/>
      <x:c r="M125" s="7"/>
      <x:c r="N125" s="7"/>
      <x:c r="O125" s="1" t="n">
        <x:v>0</x:v>
      </x:c>
      <x:c r="P125" s="9"/>
    </x:row>
  </x:sheetData>
  <x:mergeCells>
    <x:mergeCell ref="A1:P1"/>
    <x:mergeCell ref="A2:P2"/>
    <x:mergeCell ref="A3:P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25" customHeight="1">
      <x:c r="A1" s="10" t="str">
        <x:v>全部跌超10%的触发事件（四档包含关系的基础样本）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</x:row>
    <x:row r="2" ht="42" customHeight="1">
      <x:c r="A2" s="11" t="str">
        <x:v>月收益引用底稿；持有收益＝卖出开盘/买入开盘－1。最大回撤按每日持有路径由研究引擎计算，详见event_paths.csv。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</x:row>
    <x:row r="3" ht="25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 ht="34" customHeight="1">
      <x:c r="A5" s="4" t="str">
        <x:v>指数代码</x:v>
      </x:c>
      <x:c r="B5" s="4" t="str">
        <x:v>指数名称</x:v>
      </x:c>
      <x:c r="C5" s="4" t="str">
        <x:v>触发月份</x:v>
      </x:c>
      <x:c r="D5" s="4" t="str">
        <x:v>发布后完整月</x:v>
      </x:c>
      <x:c r="E5" s="4" t="str">
        <x:v>月收益</x:v>
      </x:c>
      <x:c r="F5" s="4" t="str">
        <x:v>触发日期</x:v>
      </x:c>
      <x:c r="G5" s="4" t="str">
        <x:v>买入日期</x:v>
      </x:c>
      <x:c r="H5" s="4" t="str">
        <x:v>目标退出日期</x:v>
      </x:c>
      <x:c r="I5" s="4" t="str">
        <x:v>实际卖出日期</x:v>
      </x:c>
      <x:c r="J5" s="4" t="str">
        <x:v>买入开盘</x:v>
      </x:c>
      <x:c r="K5" s="4" t="str">
        <x:v>卖出开盘</x:v>
      </x:c>
      <x:c r="L5" s="4" t="str">
        <x:v>持有收益</x:v>
      </x:c>
      <x:c r="M5" s="4" t="str">
        <x:v>结局状态</x:v>
      </x:c>
      <x:c r="N5" s="4" t="str">
        <x:v>持有交易日</x:v>
      </x:c>
      <x:c r="O5" s="4" t="str">
        <x:v>持有日历天</x:v>
      </x:c>
      <x:c r="P5" s="4" t="str">
        <x:v>最大回撤</x:v>
      </x:c>
      <x:c r="Q5" s="4" t="str">
        <x:v>日内最差收益</x:v>
      </x:c>
      <x:c r="R5" s="4" t="str">
        <x:v>回撤峰值日期</x:v>
      </x:c>
      <x:c r="S5" s="4" t="str">
        <x:v>回撤谷底日期</x:v>
      </x:c>
    </x:row>
    <x:row r="6" ht="25" customHeight="1">
      <x:c r="A6" s="1" t="str">
        <x:v>sh000001</x:v>
      </x:c>
      <x:c r="B6" s="1" t="str">
        <x:v>上证综指</x:v>
      </x:c>
      <x:c r="C6" s="1" t="str">
        <x:v>1992-07</x:v>
      </x:c>
      <x:c r="D6" s="1" t="n">
        <x:v>1</x:v>
      </x:c>
      <x:c r="E6" s="7" t="n">
        <x:f>'月度收益'!H25</x:f>
        <x:v>-0.1167907722529572</x:v>
      </x:c>
      <x:c r="F6" s="1" t="str">
        <x:v>1992-07-31</x:v>
      </x:c>
      <x:c r="G6" s="1" t="str">
        <x:v>1992-08-03</x:v>
      </x:c>
      <x:c r="H6" s="1" t="str">
        <x:v>1992-11-03</x:v>
      </x:c>
      <x:c r="I6" s="1" t="str">
        <x:v>1992-11-03</x:v>
      </x:c>
      <x:c r="J6" s="5" t="n">
        <x:v>1034.7</x:v>
      </x:c>
      <x:c r="K6" s="5" t="n">
        <x:v>481.34</x:v>
      </x:c>
      <x:c r="L6" s="7" t="n">
        <x:f>K6/J6-1</x:f>
        <x:v>-0.5348023581714507</x:v>
      </x:c>
      <x:c r="M6" s="1" t="str">
        <x:v>已完成</x:v>
      </x:c>
      <x:c r="N6" s="1" t="n">
        <x:v>64</x:v>
      </x:c>
      <x:c r="O6" s="1" t="n">
        <x:v>92</x:v>
      </x:c>
      <x:c r="P6" s="7" t="n">
        <x:v>-0.5652115137645686</x:v>
      </x:c>
      <x:c r="Q6" s="7" t="n">
        <x:v>-0.5670919106987533</x:v>
      </x:c>
      <x:c r="R6" s="1" t="str">
        <x:v>1992-08-04</x:v>
      </x:c>
      <x:c r="S6" s="1" t="str">
        <x:v>1992-10-27</x:v>
      </x:c>
    </x:row>
    <x:row r="7" ht="25" customHeight="1">
      <x:c r="A7" s="1" t="str">
        <x:v>sh000001</x:v>
      </x:c>
      <x:c r="B7" s="1" t="str">
        <x:v>上证综指</x:v>
      </x:c>
      <x:c r="C7" s="1" t="str">
        <x:v>1992-08</x:v>
      </x:c>
      <x:c r="D7" s="1" t="n">
        <x:v>1</x:v>
      </x:c>
      <x:c r="E7" s="7" t="n">
        <x:f>'月度收益'!H26</x:f>
        <x:v>-0.21747602345851513</x:v>
      </x:c>
      <x:c r="F7" s="1" t="str">
        <x:v>1992-08-31</x:v>
      </x:c>
      <x:c r="G7" s="1" t="str">
        <x:v>1992-09-01</x:v>
      </x:c>
      <x:c r="H7" s="1" t="str">
        <x:v>1992-12-01</x:v>
      </x:c>
      <x:c r="I7" s="1" t="str">
        <x:v>1992-12-01</x:v>
      </x:c>
      <x:c r="J7" s="5" t="n">
        <x:v>826.96</x:v>
      </x:c>
      <x:c r="K7" s="5" t="n">
        <x:v>718.99</x:v>
      </x:c>
      <x:c r="L7" s="7" t="n">
        <x:f>K7/J7-1</x:f>
        <x:v>-0.13056254232369158</x:v>
      </x:c>
      <x:c r="M7" s="1" t="str">
        <x:v>已完成</x:v>
      </x:c>
      <x:c r="N7" s="1" t="n">
        <x:v>63</x:v>
      </x:c>
      <x:c r="O7" s="1" t="n">
        <x:v>91</x:v>
      </x:c>
      <x:c r="P7" s="7" t="n">
        <x:v>-0.5241365966914966</x:v>
      </x:c>
      <x:c r="Q7" s="7" t="n">
        <x:v>-0.5322022830608494</x:v>
      </x:c>
      <x:c r="R7" s="1" t="str">
        <x:v>1992-09-01</x:v>
      </x:c>
      <x:c r="S7" s="1" t="str">
        <x:v>1992-11-17</x:v>
      </x:c>
    </x:row>
    <x:row r="8" ht="25" customHeight="1">
      <x:c r="A8" s="1" t="str">
        <x:v>sh000001</x:v>
      </x:c>
      <x:c r="B8" s="1" t="str">
        <x:v>上证综指</x:v>
      </x:c>
      <x:c r="C8" s="1" t="str">
        <x:v>1992-09</x:v>
      </x:c>
      <x:c r="D8" s="1" t="n">
        <x:v>1</x:v>
      </x:c>
      <x:c r="E8" s="7" t="n">
        <x:f>'月度收益'!H27</x:f>
        <x:v>-0.14691413509541207</x:v>
      </x:c>
      <x:c r="F8" s="1" t="str">
        <x:v>1992-09-30</x:v>
      </x:c>
      <x:c r="G8" s="1" t="str">
        <x:v>1992-10-05</x:v>
      </x:c>
      <x:c r="H8" s="1" t="str">
        <x:v>1993-01-05</x:v>
      </x:c>
      <x:c r="I8" s="1" t="str">
        <x:v>1993-01-05</x:v>
      </x:c>
      <x:c r="J8" s="5" t="n">
        <x:v>676.47</x:v>
      </x:c>
      <x:c r="K8" s="5" t="n">
        <x:v>813.34</x:v>
      </x:c>
      <x:c r="L8" s="7" t="n">
        <x:f>K8/J8-1</x:f>
        <x:v>0.20232974115629676</x:v>
      </x:c>
      <x:c r="M8" s="1" t="str">
        <x:v>已完成</x:v>
      </x:c>
      <x:c r="N8" s="1" t="n">
        <x:v>65</x:v>
      </x:c>
      <x:c r="O8" s="1" t="n">
        <x:v>92</x:v>
      </x:c>
      <x:c r="P8" s="7" t="n">
        <x:v>-0.4301519035000073</x:v>
      </x:c>
      <x:c r="Q8" s="7" t="n">
        <x:v>-0.4281342853341612</x:v>
      </x:c>
      <x:c r="R8" s="1" t="str">
        <x:v>1992-10-12</x:v>
      </x:c>
      <x:c r="S8" s="1" t="str">
        <x:v>1992-11-17</x:v>
      </x:c>
    </x:row>
    <x:row r="9" ht="25" customHeight="1">
      <x:c r="A9" s="1" t="str">
        <x:v>sh000001</x:v>
      </x:c>
      <x:c r="B9" s="1" t="str">
        <x:v>上证综指</x:v>
      </x:c>
      <x:c r="C9" s="1" t="str">
        <x:v>1992-10</x:v>
      </x:c>
      <x:c r="D9" s="1" t="n">
        <x:v>1</x:v>
      </x:c>
      <x:c r="E9" s="7" t="n">
        <x:f>'月度收益'!H28</x:f>
        <x:v>-0.2777508827884726</x:v>
      </x:c>
      <x:c r="F9" s="1" t="str">
        <x:v>1992-10-30</x:v>
      </x:c>
      <x:c r="G9" s="1" t="str">
        <x:v>1992-11-02</x:v>
      </x:c>
      <x:c r="H9" s="1" t="str">
        <x:v>1993-02-02</x:v>
      </x:c>
      <x:c r="I9" s="1" t="str">
        <x:v>1993-02-02</x:v>
      </x:c>
      <x:c r="J9" s="5" t="n">
        <x:v>471.18</x:v>
      </x:c>
      <x:c r="K9" s="5" t="n">
        <x:v>1292.4</x:v>
      </x:c>
      <x:c r="L9" s="7" t="n">
        <x:f>K9/J9-1</x:f>
        <x:v>1.742900802241182</x:v>
      </x:c>
      <x:c r="M9" s="1" t="str">
        <x:v>已完成</x:v>
      </x:c>
      <x:c r="N9" s="1" t="n">
        <x:v>63</x:v>
      </x:c>
      <x:c r="O9" s="1" t="n">
        <x:v>92</x:v>
      </x:c>
      <x:c r="P9" s="7" t="n">
        <x:v>-0.22639198218262813</x:v>
      </x:c>
      <x:c r="Q9" s="7" t="n">
        <x:v>-0.17897618744428878</x:v>
      </x:c>
      <x:c r="R9" s="1" t="str">
        <x:v>1992-12-03</x:v>
      </x:c>
      <x:c r="S9" s="1" t="str">
        <x:v>1992-12-10</x:v>
      </x:c>
    </x:row>
    <x:row r="10" ht="25" customHeight="1">
      <x:c r="A10" s="1" t="str">
        <x:v>sh000001</x:v>
      </x:c>
      <x:c r="B10" s="1" t="str">
        <x:v>上证综指</x:v>
      </x:c>
      <x:c r="C10" s="1" t="str">
        <x:v>1993-03</x:v>
      </x:c>
      <x:c r="D10" s="1" t="n">
        <x:v>1</x:v>
      </x:c>
      <x:c r="E10" s="7" t="n">
        <x:f>'月度收益'!H33</x:f>
        <x:v>-0.3089605039257247</x:v>
      </x:c>
      <x:c r="F10" s="1" t="str">
        <x:v>1993-03-31</x:v>
      </x:c>
      <x:c r="G10" s="1" t="str">
        <x:v>1993-04-01</x:v>
      </x:c>
      <x:c r="H10" s="1" t="str">
        <x:v>1993-07-01</x:v>
      </x:c>
      <x:c r="I10" s="1" t="str">
        <x:v>1993-07-01</x:v>
      </x:c>
      <x:c r="J10" s="5" t="n">
        <x:v>921.59</x:v>
      </x:c>
      <x:c r="K10" s="5" t="n">
        <x:v>1000.8</x:v>
      </x:c>
      <x:c r="L10" s="7" t="n">
        <x:f>K10/J10-1</x:f>
        <x:v>0.08594928330385532</x:v>
      </x:c>
      <x:c r="M10" s="1" t="str">
        <x:v>已完成</x:v>
      </x:c>
      <x:c r="N10" s="1" t="n">
        <x:v>65</x:v>
      </x:c>
      <x:c r="O10" s="1" t="n">
        <x:v>91</x:v>
      </x:c>
      <x:c r="P10" s="7" t="n">
        <x:v>-0.3234389799635701</x:v>
      </x:c>
      <x:c r="Q10" s="7" t="n">
        <x:v>-0.06739439447042617</x:v>
      </x:c>
      <x:c r="R10" s="1" t="str">
        <x:v>1993-04-28</x:v>
      </x:c>
      <x:c r="S10" s="1" t="str">
        <x:v>1993-06-01</x:v>
      </x:c>
    </x:row>
    <x:row r="11" ht="25" customHeight="1">
      <x:c r="A11" s="1" t="str">
        <x:v>sh000001</x:v>
      </x:c>
      <x:c r="B11" s="1" t="str">
        <x:v>上证综指</x:v>
      </x:c>
      <x:c r="C11" s="1" t="str">
        <x:v>1993-05</x:v>
      </x:c>
      <x:c r="D11" s="1" t="n">
        <x:v>1</x:v>
      </x:c>
      <x:c r="E11" s="7" t="n">
        <x:f>'月度收益'!H35</x:f>
        <x:v>-0.3115294602511076</x:v>
      </x:c>
      <x:c r="F11" s="1" t="str">
        <x:v>1993-05-31</x:v>
      </x:c>
      <x:c r="G11" s="1" t="str">
        <x:v>1993-06-01</x:v>
      </x:c>
      <x:c r="H11" s="1" t="str">
        <x:v>1993-09-01</x:v>
      </x:c>
      <x:c r="I11" s="1" t="str">
        <x:v>1993-09-01</x:v>
      </x:c>
      <x:c r="J11" s="5" t="n">
        <x:v>935.9</x:v>
      </x:c>
      <x:c r="K11" s="5" t="n">
        <x:v>898.01</x:v>
      </x:c>
      <x:c r="L11" s="7" t="n">
        <x:f>K11/J11-1</x:f>
        <x:v>-0.040485094561384716</x:v>
      </x:c>
      <x:c r="M11" s="1" t="str">
        <x:v>已完成</x:v>
      </x:c>
      <x:c r="N11" s="1" t="n">
        <x:v>66</x:v>
      </x:c>
      <x:c r="O11" s="1" t="n">
        <x:v>92</x:v>
      </x:c>
      <x:c r="P11" s="7" t="n">
        <x:v>-0.27135590085090644</x:v>
      </x:c>
      <x:c r="Q11" s="7" t="n">
        <x:v>-0.16900309862164753</x:v>
      </x:c>
      <x:c r="R11" s="1" t="str">
        <x:v>1993-06-02</x:v>
      </x:c>
      <x:c r="S11" s="1" t="str">
        <x:v>1993-07-26</x:v>
      </x:c>
    </x:row>
    <x:row r="12" ht="25" customHeight="1">
      <x:c r="A12" s="1" t="str">
        <x:v>sh000001</x:v>
      </x:c>
      <x:c r="B12" s="1" t="str">
        <x:v>上证综指</x:v>
      </x:c>
      <x:c r="C12" s="1" t="str">
        <x:v>1993-07</x:v>
      </x:c>
      <x:c r="D12" s="1" t="n">
        <x:v>1</x:v>
      </x:c>
      <x:c r="E12" s="7" t="n">
        <x:f>'月度收益'!H37</x:f>
        <x:v>-0.12509805868626178</x:v>
      </x:c>
      <x:c r="F12" s="1" t="str">
        <x:v>1993-07-30</x:v>
      </x:c>
      <x:c r="G12" s="1" t="str">
        <x:v>1993-08-02</x:v>
      </x:c>
      <x:c r="H12" s="1" t="str">
        <x:v>1993-11-02</x:v>
      </x:c>
      <x:c r="I12" s="1" t="str">
        <x:v>1993-11-02</x:v>
      </x:c>
      <x:c r="J12" s="5" t="n">
        <x:v>885.31</x:v>
      </x:c>
      <x:c r="K12" s="5" t="n">
        <x:v>821.85</x:v>
      </x:c>
      <x:c r="L12" s="7" t="n">
        <x:f>K12/J12-1</x:f>
        <x:v>-0.07168110605324685</x:v>
      </x:c>
      <x:c r="M12" s="1" t="str">
        <x:v>已完成</x:v>
      </x:c>
      <x:c r="N12" s="1" t="n">
        <x:v>65</x:v>
      </x:c>
      <x:c r="O12" s="1" t="n">
        <x:v>92</x:v>
      </x:c>
      <x:c r="P12" s="7" t="n">
        <x:v>-0.2397667672653755</x:v>
      </x:c>
      <x:c r="Q12" s="7" t="n">
        <x:v>-0.12512001445821241</x:v>
      </x:c>
      <x:c r="R12" s="1" t="str">
        <x:v>1993-08-16</x:v>
      </x:c>
      <x:c r="S12" s="1" t="str">
        <x:v>1993-10-27</x:v>
      </x:c>
    </x:row>
    <x:row r="13" ht="25" customHeight="1">
      <x:c r="A13" s="1" t="str">
        <x:v>sh000001</x:v>
      </x:c>
      <x:c r="B13" s="1" t="str">
        <x:v>上证综指</x:v>
      </x:c>
      <x:c r="C13" s="1" t="str">
        <x:v>1993-12</x:v>
      </x:c>
      <x:c r="D13" s="1" t="n">
        <x:v>1</x:v>
      </x:c>
      <x:c r="E13" s="7" t="n">
        <x:f>'月度收益'!H42</x:f>
        <x:v>-0.153442376615597</x:v>
      </x:c>
      <x:c r="F13" s="1" t="str">
        <x:v>1993-12-31</x:v>
      </x:c>
      <x:c r="G13" s="1" t="str">
        <x:v>1994-01-03</x:v>
      </x:c>
      <x:c r="H13" s="1" t="str">
        <x:v>1994-04-03</x:v>
      </x:c>
      <x:c r="I13" s="1" t="str">
        <x:v>1994-04-04</x:v>
      </x:c>
      <x:c r="J13" s="5" t="n">
        <x:v>837.7</x:v>
      </x:c>
      <x:c r="K13" s="5" t="n">
        <x:v>698.19</x:v>
      </x:c>
      <x:c r="L13" s="7" t="n">
        <x:f>K13/J13-1</x:f>
        <x:v>-0.1665393338904142</x:v>
      </x:c>
      <x:c r="M13" s="1" t="str">
        <x:v>已完成</x:v>
      </x:c>
      <x:c r="N13" s="1" t="n">
        <x:v>60</x:v>
      </x:c>
      <x:c r="O13" s="1" t="n">
        <x:v>91</x:v>
      </x:c>
      <x:c r="P13" s="7" t="n">
        <x:v>-0.2244918360546484</x:v>
      </x:c>
      <x:c r="Q13" s="7" t="n">
        <x:v>-0.17409573833114478</x:v>
      </x:c>
      <x:c r="R13" s="1" t="str">
        <x:v>1994-01-10</x:v>
      </x:c>
      <x:c r="S13" s="1" t="str">
        <x:v>1994-04-04</x:v>
      </x:c>
    </x:row>
    <x:row r="14" ht="25" customHeight="1">
      <x:c r="A14" s="1" t="str">
        <x:v>sh000001</x:v>
      </x:c>
      <x:c r="B14" s="1" t="str">
        <x:v>上证综指</x:v>
      </x:c>
      <x:c r="C14" s="1" t="str">
        <x:v>1994-04</x:v>
      </x:c>
      <x:c r="D14" s="1" t="n">
        <x:v>1</x:v>
      </x:c>
      <x:c r="E14" s="7" t="n">
        <x:f>'月度收益'!H46</x:f>
        <x:v>-0.15884507282173588</x:v>
      </x:c>
      <x:c r="F14" s="1" t="str">
        <x:v>1994-04-29</x:v>
      </x:c>
      <x:c r="G14" s="1" t="str">
        <x:v>1994-05-03</x:v>
      </x:c>
      <x:c r="H14" s="1" t="str">
        <x:v>1994-08-03</x:v>
      </x:c>
      <x:c r="I14" s="1" t="str">
        <x:v>1994-08-03</x:v>
      </x:c>
      <x:c r="J14" s="5" t="n">
        <x:v>593.94</x:v>
      </x:c>
      <x:c r="K14" s="5" t="n">
        <x:v>438.52</x:v>
      </x:c>
      <x:c r="L14" s="7" t="n">
        <x:f>K14/J14-1</x:f>
        <x:v>-0.26167626359564944</x:v>
      </x:c>
      <x:c r="M14" s="1" t="str">
        <x:v>已完成</x:v>
      </x:c>
      <x:c r="N14" s="1" t="n">
        <x:v>66</x:v>
      </x:c>
      <x:c r="O14" s="1" t="n">
        <x:v>92</x:v>
      </x:c>
      <x:c r="P14" s="7" t="n">
        <x:v>-0.4610542625649634</x:v>
      </x:c>
      <x:c r="Q14" s="7" t="n">
        <x:v>-0.45130821295080314</x:v>
      </x:c>
      <x:c r="R14" s="1" t="str">
        <x:v>1994-05-04</x:v>
      </x:c>
      <x:c r="S14" s="1" t="str">
        <x:v>1994-07-29</x:v>
      </x:c>
    </x:row>
    <x:row r="15" ht="25" customHeight="1">
      <x:c r="A15" s="1" t="str">
        <x:v>sh000001</x:v>
      </x:c>
      <x:c r="B15" s="1" t="str">
        <x:v>上证综指</x:v>
      </x:c>
      <x:c r="C15" s="1" t="str">
        <x:v>1994-06</x:v>
      </x:c>
      <x:c r="D15" s="1" t="n">
        <x:v>1</x:v>
      </x:c>
      <x:c r="E15" s="7" t="n">
        <x:f>'月度收益'!H48</x:f>
        <x:v>-0.15634775105166643</x:v>
      </x:c>
      <x:c r="F15" s="1" t="str">
        <x:v>1994-06-30</x:v>
      </x:c>
      <x:c r="G15" s="1" t="str">
        <x:v>1994-07-01</x:v>
      </x:c>
      <x:c r="H15" s="1" t="str">
        <x:v>1994-10-01</x:v>
      </x:c>
      <x:c r="I15" s="1" t="str">
        <x:v>1994-10-05</x:v>
      </x:c>
      <x:c r="J15" s="5" t="n">
        <x:v>469.27</x:v>
      </x:c>
      <x:c r="K15" s="5" t="n">
        <x:v>770.9</x:v>
      </x:c>
      <x:c r="L15" s="7" t="n">
        <x:f>K15/J15-1</x:f>
        <x:v>0.6427642934771027</x:v>
      </x:c>
      <x:c r="M15" s="1" t="str">
        <x:v>已完成</x:v>
      </x:c>
      <x:c r="N15" s="1" t="n">
        <x:v>66</x:v>
      </x:c>
      <x:c r="O15" s="1" t="n">
        <x:v>96</x:v>
      </x:c>
      <x:c r="P15" s="7" t="n">
        <x:v>-0.28842670530824466</x:v>
      </x:c>
      <x:c r="Q15" s="7" t="n">
        <x:v>-0.3055383894133441</x:v>
      </x:c>
      <x:c r="R15" s="1" t="str">
        <x:v>1994-07-01</x:v>
      </x:c>
      <x:c r="S15" s="1" t="str">
        <x:v>1994-07-29</x:v>
      </x:c>
    </x:row>
    <x:row r="16" ht="25" customHeight="1">
      <x:c r="A16" s="1" t="str">
        <x:v>sh000001</x:v>
      </x:c>
      <x:c r="B16" s="1" t="str">
        <x:v>上证综指</x:v>
      </x:c>
      <x:c r="C16" s="1" t="str">
        <x:v>1994-07</x:v>
      </x:c>
      <x:c r="D16" s="1" t="n">
        <x:v>1</x:v>
      </x:c>
      <x:c r="E16" s="7" t="n">
        <x:f>'月度收益'!H49</x:f>
        <x:v>-0.2884570308338128</x:v>
      </x:c>
      <x:c r="F16" s="1" t="str">
        <x:v>1994-07-29</x:v>
      </x:c>
      <x:c r="G16" s="1" t="str">
        <x:v>1994-08-01</x:v>
      </x:c>
      <x:c r="H16" s="1" t="str">
        <x:v>1994-11-01</x:v>
      </x:c>
      <x:c r="I16" s="1" t="str">
        <x:v>1994-11-01</x:v>
      </x:c>
      <x:c r="J16" s="5" t="n">
        <x:v>394.87</x:v>
      </x:c>
      <x:c r="K16" s="5" t="n">
        <x:v>667.66</x:v>
      </x:c>
      <x:c r="L16" s="7" t="n">
        <x:f>K16/J16-1</x:f>
        <x:v>0.6908349583407196</x:v>
      </x:c>
      <x:c r="M16" s="1" t="str">
        <x:v>已完成</x:v>
      </x:c>
      <x:c r="N16" s="1" t="n">
        <x:v>64</x:v>
      </x:c>
      <x:c r="O16" s="1" t="n">
        <x:v>92</x:v>
      </x:c>
      <x:c r="P16" s="7" t="n">
        <x:v>-0.40362081144106743</x:v>
      </x:c>
      <x:c r="Q16" s="7" t="n">
        <x:v>-0.042798895839136875</x:v>
      </x:c>
      <x:c r="R16" s="1" t="str">
        <x:v>1994-09-13</x:v>
      </x:c>
      <x:c r="S16" s="1" t="str">
        <x:v>1994-10-17</x:v>
      </x:c>
    </x:row>
    <x:row r="17" ht="25" customHeight="1">
      <x:c r="A17" s="1" t="str">
        <x:v>sh000001</x:v>
      </x:c>
      <x:c r="B17" s="1" t="str">
        <x:v>上证综指</x:v>
      </x:c>
      <x:c r="C17" s="1" t="str">
        <x:v>1994-10</x:v>
      </x:c>
      <x:c r="D17" s="1" t="n">
        <x:v>1</x:v>
      </x:c>
      <x:c r="E17" s="7" t="n">
        <x:f>'月度收益'!H52</x:f>
        <x:v>-0.17211653921506664</x:v>
      </x:c>
      <x:c r="F17" s="1" t="str">
        <x:v>1994-10-31</x:v>
      </x:c>
      <x:c r="G17" s="1" t="str">
        <x:v>1994-11-01</x:v>
      </x:c>
      <x:c r="H17" s="1" t="str">
        <x:v>1995-02-01</x:v>
      </x:c>
      <x:c r="I17" s="1" t="str">
        <x:v>1995-02-06</x:v>
      </x:c>
      <x:c r="J17" s="5" t="n">
        <x:v>667.66</x:v>
      </x:c>
      <x:c r="K17" s="5" t="n">
        <x:v>559.78</x:v>
      </x:c>
      <x:c r="L17" s="7" t="n">
        <x:f>K17/J17-1</x:f>
        <x:v>-0.16157924692208614</x:v>
      </x:c>
      <x:c r="M17" s="1" t="str">
        <x:v>已完成</x:v>
      </x:c>
      <x:c r="N17" s="1" t="n">
        <x:v>63</x:v>
      </x:c>
      <x:c r="O17" s="1" t="n">
        <x:v>97</x:v>
      </x:c>
      <x:c r="P17" s="7" t="n">
        <x:v>-0.2533713303971965</x:v>
      </x:c>
      <x:c r="Q17" s="7" t="n">
        <x:v>-0.18015157415450977</x:v>
      </x:c>
      <x:c r="R17" s="1" t="str">
        <x:v>1994-11-14</x:v>
      </x:c>
      <x:c r="S17" s="1" t="str">
        <x:v>1995-01-24</x:v>
      </x:c>
    </x:row>
    <x:row r="18" ht="25" customHeight="1">
      <x:c r="A18" s="1" t="str">
        <x:v>sh000001</x:v>
      </x:c>
      <x:c r="B18" s="1" t="str">
        <x:v>上证综指</x:v>
      </x:c>
      <x:c r="C18" s="1" t="str">
        <x:v>1995-01</x:v>
      </x:c>
      <x:c r="D18" s="1" t="n">
        <x:v>1</x:v>
      </x:c>
      <x:c r="E18" s="7" t="n">
        <x:f>'月度收益'!H55</x:f>
        <x:v>-0.13163134579468094</x:v>
      </x:c>
      <x:c r="F18" s="1" t="str">
        <x:v>1995-01-27</x:v>
      </x:c>
      <x:c r="G18" s="1" t="str">
        <x:v>1995-02-06</x:v>
      </x:c>
      <x:c r="H18" s="1" t="str">
        <x:v>1995-05-06</x:v>
      </x:c>
      <x:c r="I18" s="1" t="str">
        <x:v>1995-05-08</x:v>
      </x:c>
      <x:c r="J18" s="5" t="n">
        <x:v>559.78</x:v>
      </x:c>
      <x:c r="K18" s="5" t="n">
        <x:v>573.12</x:v>
      </x:c>
      <x:c r="L18" s="7" t="n">
        <x:f>K18/J18-1</x:f>
        <x:v>0.02383079066776239</x:v>
      </x:c>
      <x:c r="M18" s="1" t="str">
        <x:v>已完成</x:v>
      </x:c>
      <x:c r="N18" s="1" t="n">
        <x:v>64</x:v>
      </x:c>
      <x:c r="O18" s="1" t="n">
        <x:v>91</x:v>
      </x:c>
      <x:c r="P18" s="7" t="n">
        <x:v>-0.1521700409665736</x:v>
      </x:c>
      <x:c r="Q18" s="7" t="n">
        <x:v>-0.0631498088534782</x:v>
      </x:c>
      <x:c r="R18" s="1" t="str">
        <x:v>1995-04-07</x:v>
      </x:c>
      <x:c r="S18" s="1" t="str">
        <x:v>1995-05-04</x:v>
      </x:c>
    </x:row>
    <x:row r="19" ht="25" customHeight="1">
      <x:c r="A19" s="1" t="str">
        <x:v>sh000001</x:v>
      </x:c>
      <x:c r="B19" s="1" t="str">
        <x:v>上证综指</x:v>
      </x:c>
      <x:c r="C19" s="1" t="str">
        <x:v>1995-04</x:v>
      </x:c>
      <x:c r="D19" s="1" t="n">
        <x:v>1</x:v>
      </x:c>
      <x:c r="E19" s="7" t="n">
        <x:f>'月度收益'!H58</x:f>
        <x:v>-0.103552216657392</x:v>
      </x:c>
      <x:c r="F19" s="1" t="str">
        <x:v>1995-04-28</x:v>
      </x:c>
      <x:c r="G19" s="1" t="str">
        <x:v>1995-05-02</x:v>
      </x:c>
      <x:c r="H19" s="1" t="str">
        <x:v>1995-08-02</x:v>
      </x:c>
      <x:c r="I19" s="1" t="str">
        <x:v>1995-08-02</x:v>
      </x:c>
      <x:c r="J19" s="5" t="n">
        <x:v>576.69</x:v>
      </x:c>
      <x:c r="K19" s="5" t="n">
        <x:v>721.15</x:v>
      </x:c>
      <x:c r="L19" s="7" t="n">
        <x:f>K19/J19-1</x:f>
        <x:v>0.25049853474136863</x:v>
      </x:c>
      <x:c r="M19" s="1" t="str">
        <x:v>已完成</x:v>
      </x:c>
      <x:c r="N19" s="1" t="n">
        <x:v>66</x:v>
      </x:c>
      <x:c r="O19" s="1" t="n">
        <x:v>92</x:v>
      </x:c>
      <x:c r="P19" s="7" t="n">
        <x:v>-0.31673018207751114</x:v>
      </x:c>
      <x:c r="Q19" s="7" t="n">
        <x:v>-0.02051362083615116</x:v>
      </x:c>
      <x:c r="R19" s="1" t="str">
        <x:v>1995-05-22</x:v>
      </x:c>
      <x:c r="S19" s="1" t="str">
        <x:v>1995-07-03</x:v>
      </x:c>
    </x:row>
    <x:row r="20" ht="25" customHeight="1">
      <x:c r="A20" s="1" t="str">
        <x:v>sh000001</x:v>
      </x:c>
      <x:c r="B20" s="1" t="str">
        <x:v>上证综指</x:v>
      </x:c>
      <x:c r="C20" s="1" t="str">
        <x:v>1995-11</x:v>
      </x:c>
      <x:c r="D20" s="1" t="n">
        <x:v>1</x:v>
      </x:c>
      <x:c r="E20" s="7" t="n">
        <x:f>'月度收益'!H65</x:f>
        <x:v>-0.10620085875202145</x:v>
      </x:c>
      <x:c r="F20" s="1" t="str">
        <x:v>1995-11-30</x:v>
      </x:c>
      <x:c r="G20" s="1" t="str">
        <x:v>1995-12-01</x:v>
      </x:c>
      <x:c r="H20" s="1" t="str">
        <x:v>1996-03-01</x:v>
      </x:c>
      <x:c r="I20" s="1" t="str">
        <x:v>1996-03-04</x:v>
      </x:c>
      <x:c r="J20" s="5" t="n">
        <x:v>631.55</x:v>
      </x:c>
      <x:c r="K20" s="5" t="n">
        <x:v>583.38</x:v>
      </x:c>
      <x:c r="L20" s="7" t="n">
        <x:f>K20/J20-1</x:f>
        <x:v>-0.07627266249703102</x:v>
      </x:c>
      <x:c r="M20" s="1" t="str">
        <x:v>已完成</x:v>
      </x:c>
      <x:c r="N20" s="1" t="n">
        <x:v>55</x:v>
      </x:c>
      <x:c r="O20" s="1" t="n">
        <x:v>94</x:v>
      </x:c>
      <x:c r="P20" s="7" t="n">
        <x:v>-0.1895106870468598</x:v>
      </x:c>
      <x:c r="Q20" s="7" t="n">
        <x:v>-0.1879819491726703</x:v>
      </x:c>
      <x:c r="R20" s="1" t="str">
        <x:v>1995-12-05</x:v>
      </x:c>
      <x:c r="S20" s="1" t="str">
        <x:v>1996-01-22</x:v>
      </x:c>
    </x:row>
    <x:row r="21" ht="25" customHeight="1">
      <x:c r="A21" s="1" t="str">
        <x:v>sh000001</x:v>
      </x:c>
      <x:c r="B21" s="1" t="str">
        <x:v>上证综指</x:v>
      </x:c>
      <x:c r="C21" s="1" t="str">
        <x:v>1995-12</x:v>
      </x:c>
      <x:c r="D21" s="1" t="n">
        <x:v>1</x:v>
      </x:c>
      <x:c r="E21" s="7" t="n">
        <x:f>'月度收益'!H66</x:f>
        <x:v>-0.13390211186324363</x:v>
      </x:c>
      <x:c r="F21" s="1" t="str">
        <x:v>1995-12-29</x:v>
      </x:c>
      <x:c r="G21" s="1" t="str">
        <x:v>1996-01-02</x:v>
      </x:c>
      <x:c r="H21" s="1" t="str">
        <x:v>1996-04-02</x:v>
      </x:c>
      <x:c r="I21" s="1" t="str">
        <x:v>1996-04-02</x:v>
      </x:c>
      <x:c r="J21" s="5" t="n">
        <x:v>550.26</x:v>
      </x:c>
      <x:c r="K21" s="5" t="n">
        <x:v>564.94</x:v>
      </x:c>
      <x:c r="L21" s="7" t="n">
        <x:f>K21/J21-1</x:f>
        <x:v>0.026678297532075845</x:v>
      </x:c>
      <x:c r="M21" s="1" t="str">
        <x:v>已完成</x:v>
      </x:c>
      <x:c r="N21" s="1" t="n">
        <x:v>55</x:v>
      </x:c>
      <x:c r="O21" s="1" t="n">
        <x:v>91</x:v>
      </x:c>
      <x:c r="P21" s="7" t="n">
        <x:v>-0.07963719724907814</x:v>
      </x:c>
      <x:c r="Q21" s="7" t="n">
        <x:v>-0.06802238941591243</x:v>
      </x:c>
      <x:c r="R21" s="1" t="str">
        <x:v>1996-03-04</x:v>
      </x:c>
      <x:c r="S21" s="1" t="str">
        <x:v>1996-03-28</x:v>
      </x:c>
    </x:row>
    <x:row r="22" ht="25" customHeight="1">
      <x:c r="A22" s="1" t="str">
        <x:v>sh000001</x:v>
      </x:c>
      <x:c r="B22" s="1" t="str">
        <x:v>上证综指</x:v>
      </x:c>
      <x:c r="C22" s="1" t="str">
        <x:v>1996-12</x:v>
      </x:c>
      <x:c r="D22" s="1" t="n">
        <x:v>1</x:v>
      </x:c>
      <x:c r="E22" s="7" t="n">
        <x:f>'月度收益'!H78</x:f>
        <x:v>-0.11223195701631261</x:v>
      </x:c>
      <x:c r="F22" s="1" t="str">
        <x:v>1996-12-31</x:v>
      </x:c>
      <x:c r="G22" s="1" t="str">
        <x:v>1997-01-02</x:v>
      </x:c>
      <x:c r="H22" s="1" t="str">
        <x:v>1997-04-02</x:v>
      </x:c>
      <x:c r="I22" s="1" t="str">
        <x:v>1997-04-02</x:v>
      </x:c>
      <x:c r="J22" s="5" t="n">
        <x:v>914.06</x:v>
      </x:c>
      <x:c r="K22" s="5" t="n">
        <x:v>1246.41</x:v>
      </x:c>
      <x:c r="L22" s="7" t="n">
        <x:f>K22/J22-1</x:f>
        <x:v>0.3635975756514891</x:v>
      </x:c>
      <x:c r="M22" s="1" t="str">
        <x:v>已完成</x:v>
      </x:c>
      <x:c r="N22" s="1" t="n">
        <x:v>54</x:v>
      </x:c>
      <x:c r="O22" s="1" t="n">
        <x:v>90</x:v>
      </x:c>
      <x:c r="P22" s="7" t="n">
        <x:v>-0.0891184853420195</x:v>
      </x:c>
      <x:c r="Q22" s="7" t="n">
        <x:v>-0.04800560138284138</x:v>
      </x:c>
      <x:c r="R22" s="1" t="str">
        <x:v>1997-02-17</x:v>
      </x:c>
      <x:c r="S22" s="1" t="str">
        <x:v>1997-02-18</x:v>
      </x:c>
    </x:row>
    <x:row r="23" ht="25" customHeight="1">
      <x:c r="A23" s="1" t="str">
        <x:v>sh000001</x:v>
      </x:c>
      <x:c r="B23" s="1" t="str">
        <x:v>上证综指</x:v>
      </x:c>
      <x:c r="C23" s="1" t="str">
        <x:v>1997-09</x:v>
      </x:c>
      <x:c r="D23" s="1" t="n">
        <x:v>1</x:v>
      </x:c>
      <x:c r="E23" s="7" t="n">
        <x:f>'月度收益'!H87</x:f>
        <x:v>-0.10128904394542437</x:v>
      </x:c>
      <x:c r="F23" s="1" t="str">
        <x:v>1997-09-30</x:v>
      </x:c>
      <x:c r="G23" s="1" t="str">
        <x:v>1997-10-06</x:v>
      </x:c>
      <x:c r="H23" s="1" t="str">
        <x:v>1998-01-06</x:v>
      </x:c>
      <x:c r="I23" s="1" t="str">
        <x:v>1998-01-06</x:v>
      </x:c>
      <x:c r="J23" s="5" t="n">
        <x:v>1100.7</x:v>
      </x:c>
      <x:c r="K23" s="5" t="n">
        <x:v>1223.73</x:v>
      </x:c>
      <x:c r="L23" s="7" t="n">
        <x:f>K23/J23-1</x:f>
        <x:v>0.11177432542927224</x:v>
      </x:c>
      <x:c r="M23" s="1" t="str">
        <x:v>已完成</x:v>
      </x:c>
      <x:c r="N23" s="1" t="n">
        <x:v>64</x:v>
      </x:c>
      <x:c r="O23" s="1" t="n">
        <x:v>92</x:v>
      </x:c>
      <x:c r="P23" s="7" t="n">
        <x:v>-0.09168736800368982</x:v>
      </x:c>
      <x:c r="Q23" s="7" t="n">
        <x:v>-0.012428454619787477</x:v>
      </x:c>
      <x:c r="R23" s="1" t="str">
        <x:v>1997-10-27</x:v>
      </x:c>
      <x:c r="S23" s="1" t="str">
        <x:v>1997-11-27</x:v>
      </x:c>
    </x:row>
    <x:row r="24" ht="25" customHeight="1">
      <x:c r="A24" s="1" t="str">
        <x:v>sh000001</x:v>
      </x:c>
      <x:c r="B24" s="1" t="str">
        <x:v>上证综指</x:v>
      </x:c>
      <x:c r="C24" s="1" t="str">
        <x:v>1998-08</x:v>
      </x:c>
      <x:c r="D24" s="1" t="n">
        <x:v>1</x:v>
      </x:c>
      <x:c r="E24" s="7" t="n">
        <x:f>'月度收益'!H98</x:f>
        <x:v>-0.12658323968046659</x:v>
      </x:c>
      <x:c r="F24" s="1" t="str">
        <x:v>1998-08-31</x:v>
      </x:c>
      <x:c r="G24" s="1" t="str">
        <x:v>1998-09-01</x:v>
      </x:c>
      <x:c r="H24" s="1" t="str">
        <x:v>1998-12-01</x:v>
      </x:c>
      <x:c r="I24" s="1" t="str">
        <x:v>1998-12-01</x:v>
      </x:c>
      <x:c r="J24" s="5" t="n">
        <x:v>1142.5</x:v>
      </x:c>
      <x:c r="K24" s="5" t="n">
        <x:v>1249.01</x:v>
      </x:c>
      <x:c r="L24" s="7" t="n">
        <x:f>K24/J24-1</x:f>
        <x:v>0.09322538293216631</x:v>
      </x:c>
      <x:c r="M24" s="1" t="str">
        <x:v>已完成</x:v>
      </x:c>
      <x:c r="N24" s="1" t="n">
        <x:v>63</x:v>
      </x:c>
      <x:c r="O24" s="1" t="n">
        <x:v>91</x:v>
      </x:c>
      <x:c r="P24" s="7" t="n">
        <x:v>-0.04239142587889544</x:v>
      </x:c>
      <x:c r="Q24" s="7" t="n">
        <x:v>-0.01650765864332593</x:v>
      </x:c>
      <x:c r="R24" s="1" t="str">
        <x:v>1998-09-16</x:v>
      </x:c>
      <x:c r="S24" s="1" t="str">
        <x:v>1998-09-24</x:v>
      </x:c>
    </x:row>
    <x:row r="25" ht="25" customHeight="1">
      <x:c r="A25" s="1" t="str">
        <x:v>sh000001</x:v>
      </x:c>
      <x:c r="B25" s="1" t="str">
        <x:v>上证综指</x:v>
      </x:c>
      <x:c r="C25" s="1" t="str">
        <x:v>2001-07</x:v>
      </x:c>
      <x:c r="D25" s="1" t="n">
        <x:v>1</x:v>
      </x:c>
      <x:c r="E25" s="7" t="n">
        <x:f>'月度收益'!H133</x:f>
        <x:v>-0.1342227111445743</x:v>
      </x:c>
      <x:c r="F25" s="1" t="str">
        <x:v>2001-07-31</x:v>
      </x:c>
      <x:c r="G25" s="1" t="str">
        <x:v>2001-08-01</x:v>
      </x:c>
      <x:c r="H25" s="1" t="str">
        <x:v>2001-11-01</x:v>
      </x:c>
      <x:c r="I25" s="1" t="str">
        <x:v>2001-11-01</x:v>
      </x:c>
      <x:c r="J25" s="5" t="n">
        <x:v>1925.24</x:v>
      </x:c>
      <x:c r="K25" s="5" t="n">
        <x:v>1692.35</x:v>
      </x:c>
      <x:c r="L25" s="7" t="n">
        <x:f>K25/J25-1</x:f>
        <x:v>-0.12096673661465585</x:v>
      </x:c>
      <x:c r="M25" s="1" t="str">
        <x:v>已完成</x:v>
      </x:c>
      <x:c r="N25" s="1" t="n">
        <x:v>61</x:v>
      </x:c>
      <x:c r="O25" s="1" t="n">
        <x:v>92</x:v>
      </x:c>
      <x:c r="P25" s="7" t="n">
        <x:v>-0.23466352614334673</x:v>
      </x:c>
      <x:c r="Q25" s="7" t="n">
        <x:v>-0.21315784006149885</x:v>
      </x:c>
      <x:c r="R25" s="1" t="str">
        <x:v>2001-08-01</x:v>
      </x:c>
      <x:c r="S25" s="1" t="str">
        <x:v>2001-10-22</x:v>
      </x:c>
    </x:row>
    <x:row r="26" ht="25" customHeight="1">
      <x:c r="A26" s="1" t="str">
        <x:v>sh000001</x:v>
      </x:c>
      <x:c r="B26" s="1" t="str">
        <x:v>上证综指</x:v>
      </x:c>
      <x:c r="C26" s="1" t="str">
        <x:v>2004-06</x:v>
      </x:c>
      <x:c r="D26" s="1" t="n">
        <x:v>1</x:v>
      </x:c>
      <x:c r="E26" s="7" t="n">
        <x:f>'月度收益'!H168</x:f>
        <x:v>-0.10074490169739891</x:v>
      </x:c>
      <x:c r="F26" s="1" t="str">
        <x:v>2004-06-30</x:v>
      </x:c>
      <x:c r="G26" s="1" t="str">
        <x:v>2004-07-01</x:v>
      </x:c>
      <x:c r="H26" s="1" t="str">
        <x:v>2004-10-01</x:v>
      </x:c>
      <x:c r="I26" s="1" t="str">
        <x:v>2004-10-08</x:v>
      </x:c>
      <x:c r="J26" s="5" t="n">
        <x:v>1398.2</x:v>
      </x:c>
      <x:c r="K26" s="5" t="n">
        <x:v>1395.67</x:v>
      </x:c>
      <x:c r="L26" s="7" t="n">
        <x:f>K26/J26-1</x:f>
        <x:v>-0.0018094693176942123</x:v>
      </x:c>
      <x:c r="M26" s="1" t="str">
        <x:v>已完成</x:v>
      </x:c>
      <x:c r="N26" s="1" t="n">
        <x:v>66</x:v>
      </x:c>
      <x:c r="O26" s="1" t="n">
        <x:v>99</x:v>
      </x:c>
      <x:c r="P26" s="7" t="n">
        <x:v>-0.13531018016658203</x:v>
      </x:c>
      <x:c r="Q26" s="7" t="n">
        <x:v>-0.09924903447289368</x:v>
      </x:c>
      <x:c r="R26" s="1" t="str">
        <x:v>2004-07-19</x:v>
      </x:c>
      <x:c r="S26" s="1" t="str">
        <x:v>2004-09-13</x:v>
      </x:c>
    </x:row>
    <x:row r="27" ht="25" customHeight="1">
      <x:c r="A27" s="1" t="str">
        <x:v>sh000001</x:v>
      </x:c>
      <x:c r="B27" s="1" t="str">
        <x:v>上证综指</x:v>
      </x:c>
      <x:c r="C27" s="1" t="str">
        <x:v>2007-11</x:v>
      </x:c>
      <x:c r="D27" s="1" t="n">
        <x:v>1</x:v>
      </x:c>
      <x:c r="E27" s="7" t="n">
        <x:f>'月度收益'!H209</x:f>
        <x:v>-0.1818693249277471</x:v>
      </x:c>
      <x:c r="F27" s="1" t="str">
        <x:v>2007-11-30</x:v>
      </x:c>
      <x:c r="G27" s="1" t="str">
        <x:v>2007-12-03</x:v>
      </x:c>
      <x:c r="H27" s="1" t="str">
        <x:v>2008-03-03</x:v>
      </x:c>
      <x:c r="I27" s="1" t="str">
        <x:v>2008-03-03</x:v>
      </x:c>
      <x:c r="J27" s="5" t="n">
        <x:v>4838.56</x:v>
      </x:c>
      <x:c r="K27" s="5" t="n">
        <x:v>4323.7</x:v>
      </x:c>
      <x:c r="L27" s="7" t="n">
        <x:f>K27/J27-1</x:f>
        <x:v>-0.10640769154459184</x:v>
      </x:c>
      <x:c r="M27" s="1" t="str">
        <x:v>已完成</x:v>
      </x:c>
      <x:c r="N27" s="1" t="n">
        <x:v>58</x:v>
      </x:c>
      <x:c r="O27" s="1" t="n">
        <x:v>91</x:v>
      </x:c>
      <x:c r="P27" s="7" t="n">
        <x:v>-0.23743065534113028</x:v>
      </x:c>
      <x:c r="Q27" s="7" t="n">
        <x:v>-0.14782290598855852</x:v>
      </x:c>
      <x:c r="R27" s="1" t="str">
        <x:v>2008-01-14</x:v>
      </x:c>
      <x:c r="S27" s="1" t="str">
        <x:v>2008-02-25</x:v>
      </x:c>
    </x:row>
    <x:row r="28" ht="25" customHeight="1">
      <x:c r="A28" s="1" t="str">
        <x:v>sh000001</x:v>
      </x:c>
      <x:c r="B28" s="1" t="str">
        <x:v>上证综指</x:v>
      </x:c>
      <x:c r="C28" s="1" t="str">
        <x:v>2008-01</x:v>
      </x:c>
      <x:c r="D28" s="1" t="n">
        <x:v>1</x:v>
      </x:c>
      <x:c r="E28" s="7" t="n">
        <x:f>'月度收益'!H211</x:f>
        <x:v>-0.1669029717422209</x:v>
      </x:c>
      <x:c r="F28" s="1" t="str">
        <x:v>2008-01-31</x:v>
      </x:c>
      <x:c r="G28" s="1" t="str">
        <x:v>2008-02-01</x:v>
      </x:c>
      <x:c r="H28" s="1" t="str">
        <x:v>2008-05-01</x:v>
      </x:c>
      <x:c r="I28" s="1" t="str">
        <x:v>2008-05-05</x:v>
      </x:c>
      <x:c r="J28" s="5" t="n">
        <x:v>4388.25</x:v>
      </x:c>
      <x:c r="K28" s="5" t="n">
        <x:v>3739.8</x:v>
      </x:c>
      <x:c r="L28" s="7" t="n">
        <x:f>K28/J28-1</x:f>
        <x:v>-0.14776961203213124</x:v>
      </x:c>
      <x:c r="M28" s="1" t="str">
        <x:v>已完成</x:v>
      </x:c>
      <x:c r="N28" s="1" t="n">
        <x:v>58</x:v>
      </x:c>
      <x:c r="O28" s="1" t="n">
        <x:v>94</x:v>
      </x:c>
      <x:c r="P28" s="7" t="n">
        <x:v>-0.3376375431544657</x:v>
      </x:c>
      <x:c r="Q28" s="7" t="n">
        <x:v>-0.3184549649632542</x:v>
      </x:c>
      <x:c r="R28" s="1" t="str">
        <x:v>2008-02-04</x:v>
      </x:c>
      <x:c r="S28" s="1" t="str">
        <x:v>2008-04-18</x:v>
      </x:c>
    </x:row>
    <x:row r="29" ht="25" customHeight="1">
      <x:c r="A29" s="1" t="str">
        <x:v>sh000001</x:v>
      </x:c>
      <x:c r="B29" s="1" t="str">
        <x:v>上证综指</x:v>
      </x:c>
      <x:c r="C29" s="1" t="str">
        <x:v>2008-03</x:v>
      </x:c>
      <x:c r="D29" s="1" t="n">
        <x:v>1</x:v>
      </x:c>
      <x:c r="E29" s="7" t="n">
        <x:f>'月度收益'!H213</x:f>
        <x:v>-0.20140782883450536</x:v>
      </x:c>
      <x:c r="F29" s="1" t="str">
        <x:v>2008-03-31</x:v>
      </x:c>
      <x:c r="G29" s="1" t="str">
        <x:v>2008-04-01</x:v>
      </x:c>
      <x:c r="H29" s="1" t="str">
        <x:v>2008-07-01</x:v>
      </x:c>
      <x:c r="I29" s="1" t="str">
        <x:v>2008-07-01</x:v>
      </x:c>
      <x:c r="J29" s="5" t="n">
        <x:v>3461.09</x:v>
      </x:c>
      <x:c r="K29" s="5" t="n">
        <x:v>2743.16</x:v>
      </x:c>
      <x:c r="L29" s="7" t="n">
        <x:f>K29/J29-1</x:f>
        <x:v>-0.2074288735629528</x:v>
      </x:c>
      <x:c r="M29" s="1" t="str">
        <x:v>已完成</x:v>
      </x:c>
      <x:c r="N29" s="1" t="n">
        <x:v>61</x:v>
      </x:c>
      <x:c r="O29" s="1" t="n">
        <x:v>91</x:v>
      </x:c>
      <x:c r="P29" s="7" t="n">
        <x:v>-0.2725092461865297</x:v>
      </x:c>
      <x:c r="Q29" s="7" t="n">
        <x:v>-0.22180584729088237</x:v>
      </x:c>
      <x:c r="R29" s="1" t="str">
        <x:v>2008-05-05</x:v>
      </x:c>
      <x:c r="S29" s="1" t="str">
        <x:v>2008-06-30</x:v>
      </x:c>
    </x:row>
    <x:row r="30" ht="25" customHeight="1">
      <x:c r="A30" s="1" t="str">
        <x:v>sh000001</x:v>
      </x:c>
      <x:c r="B30" s="1" t="str">
        <x:v>上证综指</x:v>
      </x:c>
      <x:c r="C30" s="1" t="str">
        <x:v>2008-06</x:v>
      </x:c>
      <x:c r="D30" s="1" t="n">
        <x:v>1</x:v>
      </x:c>
      <x:c r="E30" s="7" t="n">
        <x:f>'月度收益'!H216</x:f>
        <x:v>-0.2030815384391338</x:v>
      </x:c>
      <x:c r="F30" s="1" t="str">
        <x:v>2008-06-30</x:v>
      </x:c>
      <x:c r="G30" s="1" t="str">
        <x:v>2008-07-01</x:v>
      </x:c>
      <x:c r="H30" s="1" t="str">
        <x:v>2008-10-01</x:v>
      </x:c>
      <x:c r="I30" s="1" t="str">
        <x:v>2008-10-06</x:v>
      </x:c>
      <x:c r="J30" s="5" t="n">
        <x:v>2743.16</x:v>
      </x:c>
      <x:c r="K30" s="5" t="n">
        <x:v>2267.39</x:v>
      </x:c>
      <x:c r="L30" s="7" t="n">
        <x:f>K30/J30-1</x:f>
        <x:v>-0.17343866198107294</x:v>
      </x:c>
      <x:c r="M30" s="1" t="str">
        <x:v>已完成</x:v>
      </x:c>
      <x:c r="N30" s="1" t="n">
        <x:v>63</x:v>
      </x:c>
      <x:c r="O30" s="1" t="n">
        <x:v>97</x:v>
      </x:c>
      <x:c r="P30" s="7" t="n">
        <x:v>-0.35086199517214234</x:v>
      </x:c>
      <x:c r="Q30" s="7" t="n">
        <x:v>-0.34297306755712387</x:v>
      </x:c>
      <x:c r="R30" s="1" t="str">
        <x:v>2008-07-09</x:v>
      </x:c>
      <x:c r="S30" s="1" t="str">
        <x:v>2008-09-18</x:v>
      </x:c>
    </x:row>
    <x:row r="31" ht="25" customHeight="1">
      <x:c r="A31" s="1" t="str">
        <x:v>sh000001</x:v>
      </x:c>
      <x:c r="B31" s="1" t="str">
        <x:v>上证综指</x:v>
      </x:c>
      <x:c r="C31" s="1" t="str">
        <x:v>2008-08</x:v>
      </x:c>
      <x:c r="D31" s="1" t="n">
        <x:v>1</x:v>
      </x:c>
      <x:c r="E31" s="7" t="n">
        <x:f>'月度收益'!H218</x:f>
        <x:v>-0.13630697620797483</x:v>
      </x:c>
      <x:c r="F31" s="1" t="str">
        <x:v>2008-08-29</x:v>
      </x:c>
      <x:c r="G31" s="1" t="str">
        <x:v>2008-09-01</x:v>
      </x:c>
      <x:c r="H31" s="1" t="str">
        <x:v>2008-12-01</x:v>
      </x:c>
      <x:c r="I31" s="1" t="str">
        <x:v>2008-12-01</x:v>
      </x:c>
      <x:c r="J31" s="5" t="n">
        <x:v>2380.47</x:v>
      </x:c>
      <x:c r="K31" s="5" t="n">
        <x:v>1865.74</x:v>
      </x:c>
      <x:c r="L31" s="7" t="n">
        <x:f>K31/J31-1</x:f>
        <x:v>-0.2162304082807176</x:v>
      </x:c>
      <x:c r="M31" s="1" t="str">
        <x:v>已完成</x:v>
      </x:c>
      <x:c r="N31" s="1" t="n">
        <x:v>59</x:v>
      </x:c>
      <x:c r="O31" s="1" t="n">
        <x:v>91</x:v>
      </x:c>
      <x:c r="P31" s="7" t="n">
        <x:v>-0.28304074405474544</x:v>
      </x:c>
      <x:c r="Q31" s="7" t="n">
        <x:v>-0.300587699067831</x:v>
      </x:c>
      <x:c r="R31" s="1" t="str">
        <x:v>2008-09-01</x:v>
      </x:c>
      <x:c r="S31" s="1" t="str">
        <x:v>2008-11-04</x:v>
      </x:c>
    </x:row>
    <x:row r="32" ht="25" customHeight="1">
      <x:c r="A32" s="1" t="str">
        <x:v>sh000001</x:v>
      </x:c>
      <x:c r="B32" s="1" t="str">
        <x:v>上证综指</x:v>
      </x:c>
      <x:c r="C32" s="1" t="str">
        <x:v>2008-10</x:v>
      </x:c>
      <x:c r="D32" s="1" t="n">
        <x:v>1</x:v>
      </x:c>
      <x:c r="E32" s="7" t="n">
        <x:f>'月度收益'!H220</x:f>
        <x:v>-0.2463139446677537</x:v>
      </x:c>
      <x:c r="F32" s="1" t="str">
        <x:v>2008-10-31</x:v>
      </x:c>
      <x:c r="G32" s="1" t="str">
        <x:v>2008-11-03</x:v>
      </x:c>
      <x:c r="H32" s="1" t="str">
        <x:v>2009-02-03</x:v>
      </x:c>
      <x:c r="I32" s="1" t="str">
        <x:v>2009-02-03</x:v>
      </x:c>
      <x:c r="J32" s="5" t="n">
        <x:v>1713.76</x:v>
      </x:c>
      <x:c r="K32" s="5" t="n">
        <x:v>2011.77</x:v>
      </x:c>
      <x:c r="L32" s="7" t="n">
        <x:f>K32/J32-1</x:f>
        <x:v>0.17389249369806747</x:v>
      </x:c>
      <x:c r="M32" s="1" t="str">
        <x:v>已完成</x:v>
      </x:c>
      <x:c r="N32" s="1" t="n">
        <x:v>59</x:v>
      </x:c>
      <x:c r="O32" s="1" t="n">
        <x:v>92</x:v>
      </x:c>
      <x:c r="P32" s="7" t="n">
        <x:v>-0.1291198936277066</x:v>
      </x:c>
      <x:c r="Q32" s="7" t="n">
        <x:v>-0.020306227243021113</x:v>
      </x:c>
      <x:c r="R32" s="1" t="str">
        <x:v>2008-12-08</x:v>
      </x:c>
      <x:c r="S32" s="1" t="str">
        <x:v>2008-12-31</x:v>
      </x:c>
    </x:row>
    <x:row r="33" ht="25" customHeight="1">
      <x:c r="A33" s="1" t="str">
        <x:v>sh000001</x:v>
      </x:c>
      <x:c r="B33" s="1" t="str">
        <x:v>上证综指</x:v>
      </x:c>
      <x:c r="C33" s="1" t="str">
        <x:v>2009-08</x:v>
      </x:c>
      <x:c r="D33" s="1" t="n">
        <x:v>1</x:v>
      </x:c>
      <x:c r="E33" s="7" t="n">
        <x:f>'月度收益'!H230</x:f>
        <x:v>-0.2181409471111293</x:v>
      </x:c>
      <x:c r="F33" s="1" t="str">
        <x:v>2009-08-31</x:v>
      </x:c>
      <x:c r="G33" s="1" t="str">
        <x:v>2009-09-01</x:v>
      </x:c>
      <x:c r="H33" s="1" t="str">
        <x:v>2009-12-01</x:v>
      </x:c>
      <x:c r="I33" s="1" t="str">
        <x:v>2009-12-01</x:v>
      </x:c>
      <x:c r="J33" s="5" t="n">
        <x:v>2649.17</x:v>
      </x:c>
      <x:c r="K33" s="5" t="n">
        <x:v>3191.06</x:v>
      </x:c>
      <x:c r="L33" s="7" t="n">
        <x:f>K33/J33-1</x:f>
        <x:v>0.204550859325751</x:v>
      </x:c>
      <x:c r="M33" s="1" t="str">
        <x:v>已完成</x:v>
      </x:c>
      <x:c r="N33" s="1" t="n">
        <x:v>59</x:v>
      </x:c>
      <x:c r="O33" s="1" t="n">
        <x:v>91</x:v>
      </x:c>
      <x:c r="P33" s="7" t="n">
        <x:v>-0.09990000849601022</x:v>
      </x:c>
      <x:c r="Q33" s="7" t="n">
        <x:v>-0.0035520559269506258</x:v>
      </x:c>
      <x:c r="R33" s="1" t="str">
        <x:v>2009-09-17</x:v>
      </x:c>
      <x:c r="S33" s="1" t="str">
        <x:v>2009-09-29</x:v>
      </x:c>
    </x:row>
    <x:row r="34" ht="25" customHeight="1">
      <x:c r="A34" s="1" t="str">
        <x:v>sh000001</x:v>
      </x:c>
      <x:c r="B34" s="1" t="str">
        <x:v>上证综指</x:v>
      </x:c>
      <x:c r="C34" s="1" t="str">
        <x:v>2013-06</x:v>
      </x:c>
      <x:c r="D34" s="1" t="n">
        <x:v>1</x:v>
      </x:c>
      <x:c r="E34" s="7" t="n">
        <x:f>'月度收益'!H276</x:f>
        <x:v>-0.139698339563592</x:v>
      </x:c>
      <x:c r="F34" s="1" t="str">
        <x:v>2013-06-28</x:v>
      </x:c>
      <x:c r="G34" s="1" t="str">
        <x:v>2013-07-01</x:v>
      </x:c>
      <x:c r="H34" s="1" t="str">
        <x:v>2013-10-01</x:v>
      </x:c>
      <x:c r="I34" s="1" t="str">
        <x:v>2013-10-08</x:v>
      </x:c>
      <x:c r="J34" s="5" t="n">
        <x:v>1965.99</x:v>
      </x:c>
      <x:c r="K34" s="5" t="n">
        <x:v>2171.9</x:v>
      </x:c>
      <x:c r="L34" s="7" t="n">
        <x:f>K34/J34-1</x:f>
        <x:v>0.10473603629723449</x:v>
      </x:c>
      <x:c r="M34" s="1" t="str">
        <x:v>已完成</x:v>
      </x:c>
      <x:c r="N34" s="1" t="n">
        <x:v>64</x:v>
      </x:c>
      <x:c r="O34" s="1" t="n">
        <x:v>99</x:v>
      </x:c>
      <x:c r="P34" s="7" t="n">
        <x:v>-0.046637948084650604</x:v>
      </x:c>
      <x:c r="Q34" s="7" t="n">
        <x:v>-0.00997970488151012</x:v>
      </x:c>
      <x:c r="R34" s="1" t="str">
        <x:v>2013-07-11</x:v>
      </x:c>
      <x:c r="S34" s="1" t="str">
        <x:v>2013-07-29</x:v>
      </x:c>
    </x:row>
    <x:row r="35" ht="25" customHeight="1">
      <x:c r="A35" s="1" t="str">
        <x:v>sh000001</x:v>
      </x:c>
      <x:c r="B35" s="1" t="str">
        <x:v>上证综指</x:v>
      </x:c>
      <x:c r="C35" s="1" t="str">
        <x:v>2015-07</x:v>
      </x:c>
      <x:c r="D35" s="1" t="n">
        <x:v>1</x:v>
      </x:c>
      <x:c r="E35" s="7" t="n">
        <x:f>'月度收益'!H301</x:f>
        <x:v>-0.14343194878916687</x:v>
      </x:c>
      <x:c r="F35" s="1" t="str">
        <x:v>2015-07-31</x:v>
      </x:c>
      <x:c r="G35" s="1" t="str">
        <x:v>2015-08-03</x:v>
      </x:c>
      <x:c r="H35" s="1" t="str">
        <x:v>2015-11-03</x:v>
      </x:c>
      <x:c r="I35" s="1" t="str">
        <x:v>2015-11-03</x:v>
      </x:c>
      <x:c r="J35" s="5" t="n">
        <x:v>3614.99</x:v>
      </x:c>
      <x:c r="K35" s="5" t="n">
        <x:v>3330.32</x:v>
      </x:c>
      <x:c r="L35" s="7" t="n">
        <x:f>K35/J35-1</x:f>
        <x:v>-0.07874710580112243</x:v>
      </x:c>
      <x:c r="M35" s="1" t="str">
        <x:v>已完成</x:v>
      </x:c>
      <x:c r="N35" s="1" t="n">
        <x:v>59</x:v>
      </x:c>
      <x:c r="O35" s="1" t="n">
        <x:v>92</x:v>
      </x:c>
      <x:c r="P35" s="7" t="n">
        <x:v>-0.2670175552812326</x:v>
      </x:c>
      <x:c r="Q35" s="7" t="n">
        <x:v>-0.21141967197696254</x:v>
      </x:c>
      <x:c r="R35" s="1" t="str">
        <x:v>2015-08-17</x:v>
      </x:c>
      <x:c r="S35" s="1" t="str">
        <x:v>2015-08-26</x:v>
      </x:c>
    </x:row>
    <x:row r="36" ht="25" customHeight="1">
      <x:c r="A36" s="1" t="str">
        <x:v>sh000001</x:v>
      </x:c>
      <x:c r="B36" s="1" t="str">
        <x:v>上证综指</x:v>
      </x:c>
      <x:c r="C36" s="1" t="str">
        <x:v>2015-08</x:v>
      </x:c>
      <x:c r="D36" s="1" t="n">
        <x:v>1</x:v>
      </x:c>
      <x:c r="E36" s="7" t="n">
        <x:f>'月度收益'!H302</x:f>
        <x:v>-0.12493824599520165</x:v>
      </x:c>
      <x:c r="F36" s="1" t="str">
        <x:v>2015-08-31</x:v>
      </x:c>
      <x:c r="G36" s="1" t="str">
        <x:v>2015-09-01</x:v>
      </x:c>
      <x:c r="H36" s="1" t="str">
        <x:v>2015-12-01</x:v>
      </x:c>
      <x:c r="I36" s="1" t="str">
        <x:v>2015-12-01</x:v>
      </x:c>
      <x:c r="J36" s="5" t="n">
        <x:v>3157.83</x:v>
      </x:c>
      <x:c r="K36" s="5" t="n">
        <x:v>3442.44</x:v>
      </x:c>
      <x:c r="L36" s="7" t="n">
        <x:f>K36/J36-1</x:f>
        <x:v>0.09012834763112654</x:v>
      </x:c>
      <x:c r="M36" s="1" t="str">
        <x:v>已完成</x:v>
      </x:c>
      <x:c r="N36" s="1" t="n">
        <x:v>58</x:v>
      </x:c>
      <x:c r="O36" s="1" t="n">
        <x:v>91</x:v>
      </x:c>
      <x:c r="P36" s="7" t="n">
        <x:v>-0.0733621330274522</x:v>
      </x:c>
      <x:c r="Q36" s="7" t="n">
        <x:v>-0.05519296478911151</x:v>
      </x:c>
      <x:c r="R36" s="1" t="str">
        <x:v>2015-09-09</x:v>
      </x:c>
      <x:c r="S36" s="1" t="str">
        <x:v>2015-09-15</x:v>
      </x:c>
    </x:row>
    <x:row r="37" ht="25" customHeight="1">
      <x:c r="A37" s="1" t="str">
        <x:v>sh000001</x:v>
      </x:c>
      <x:c r="B37" s="1" t="str">
        <x:v>上证综指</x:v>
      </x:c>
      <x:c r="C37" s="1" t="str">
        <x:v>2016-01</x:v>
      </x:c>
      <x:c r="D37" s="1" t="n">
        <x:v>1</x:v>
      </x:c>
      <x:c r="E37" s="7" t="n">
        <x:f>'月度收益'!H307</x:f>
        <x:v>-0.22648749145282243</x:v>
      </x:c>
      <x:c r="F37" s="1" t="str">
        <x:v>2016-01-29</x:v>
      </x:c>
      <x:c r="G37" s="1" t="str">
        <x:v>2016-02-01</x:v>
      </x:c>
      <x:c r="H37" s="1" t="str">
        <x:v>2016-05-01</x:v>
      </x:c>
      <x:c r="I37" s="1" t="str">
        <x:v>2016-05-03</x:v>
      </x:c>
      <x:c r="J37" s="5" t="n">
        <x:v>2730.98</x:v>
      </x:c>
      <x:c r="K37" s="5" t="n">
        <x:v>2940.39</x:v>
      </x:c>
      <x:c r="L37" s="7" t="n">
        <x:f>K37/J37-1</x:f>
        <x:v>0.07667943375638053</x:v>
      </x:c>
      <x:c r="M37" s="1" t="str">
        <x:v>已完成</x:v>
      </x:c>
      <x:c r="N37" s="1" t="n">
        <x:v>59</x:v>
      </x:c>
      <x:c r="O37" s="1" t="n">
        <x:v>92</x:v>
      </x:c>
      <x:c r="P37" s="7" t="n">
        <x:v>-0.08225613711632351</x:v>
      </x:c>
      <x:c r="Q37" s="7" t="n">
        <x:v>-0.03369486411471334</x:v>
      </x:c>
      <x:c r="R37" s="1" t="str">
        <x:v>2016-02-24</x:v>
      </x:c>
      <x:c r="S37" s="1" t="str">
        <x:v>2016-02-29</x:v>
      </x:c>
    </x:row>
    <x:row r="38" ht="25" customHeight="1">
      <x:c r="A38" s="1" t="str">
        <x:v>sh000300</x:v>
      </x:c>
      <x:c r="B38" s="1" t="str">
        <x:v>沪深300</x:v>
      </x:c>
      <x:c r="C38" s="1" t="str">
        <x:v>2007-11</x:v>
      </x:c>
      <x:c r="D38" s="1" t="n">
        <x:v>1</x:v>
      </x:c>
      <x:c r="E38" s="7" t="n">
        <x:f>'月度收益'!H471</x:f>
        <x:v>-0.1672010744408935</x:v>
      </x:c>
      <x:c r="F38" s="1" t="str">
        <x:v>2007-11-30</x:v>
      </x:c>
      <x:c r="G38" s="1" t="str">
        <x:v>2007-12-03</x:v>
      </x:c>
      <x:c r="H38" s="1" t="str">
        <x:v>2008-03-03</x:v>
      </x:c>
      <x:c r="I38" s="1" t="str">
        <x:v>2008-03-03</x:v>
      </x:c>
      <x:c r="J38" s="5" t="n">
        <x:v>4714.92</x:v>
      </x:c>
      <x:c r="K38" s="5" t="n">
        <x:v>4648.74</x:v>
      </x:c>
      <x:c r="L38" s="7" t="n">
        <x:f>K38/J38-1</x:f>
        <x:v>-0.014036293298719915</x:v>
      </x:c>
      <x:c r="M38" s="1" t="str">
        <x:v>已完成</x:v>
      </x:c>
      <x:c r="N38" s="1" t="n">
        <x:v>58</x:v>
      </x:c>
      <x:c r="O38" s="1" t="n">
        <x:v>91</x:v>
      </x:c>
      <x:c r="P38" s="7" t="n">
        <x:v>-0.2121913687942273</x:v>
      </x:c>
      <x:c r="Q38" s="7" t="n">
        <x:v>-0.06793964690811294</x:v>
      </x:c>
      <x:c r="R38" s="1" t="str">
        <x:v>2008-01-14</x:v>
      </x:c>
      <x:c r="S38" s="1" t="str">
        <x:v>2008-02-26</x:v>
      </x:c>
    </x:row>
    <x:row r="39" ht="25" customHeight="1">
      <x:c r="A39" s="1" t="str">
        <x:v>sh000300</x:v>
      </x:c>
      <x:c r="B39" s="1" t="str">
        <x:v>沪深300</x:v>
      </x:c>
      <x:c r="C39" s="1" t="str">
        <x:v>2008-01</x:v>
      </x:c>
      <x:c r="D39" s="1" t="n">
        <x:v>1</x:v>
      </x:c>
      <x:c r="E39" s="7" t="n">
        <x:f>'月度收益'!H473</x:f>
        <x:v>-0.1344777718665937</x:v>
      </x:c>
      <x:c r="F39" s="1" t="str">
        <x:v>2008-01-31</x:v>
      </x:c>
      <x:c r="G39" s="1" t="str">
        <x:v>2008-02-01</x:v>
      </x:c>
      <x:c r="H39" s="1" t="str">
        <x:v>2008-05-01</x:v>
      </x:c>
      <x:c r="I39" s="1" t="str">
        <x:v>2008-05-05</x:v>
      </x:c>
      <x:c r="J39" s="5" t="n">
        <x:v>4623.62</x:v>
      </x:c>
      <x:c r="K39" s="5" t="n">
        <x:v>4015.21</x:v>
      </x:c>
      <x:c r="L39" s="7" t="n">
        <x:f>K39/J39-1</x:f>
        <x:v>-0.1315873709344626</x:v>
      </x:c>
      <x:c r="M39" s="1" t="str">
        <x:v>已完成</x:v>
      </x:c>
      <x:c r="N39" s="1" t="n">
        <x:v>58</x:v>
      </x:c>
      <x:c r="O39" s="1" t="n">
        <x:v>94</x:v>
      </x:c>
      <x:c r="P39" s="7" t="n">
        <x:v>-0.34919085793955085</x:v>
      </x:c>
      <x:c r="Q39" s="7" t="n">
        <x:v>-0.3246871498955364</x:v>
      </x:c>
      <x:c r="R39" s="1" t="str">
        <x:v>2008-02-19</x:v>
      </x:c>
      <x:c r="S39" s="1" t="str">
        <x:v>2008-04-21</x:v>
      </x:c>
    </x:row>
    <x:row r="40" ht="25" customHeight="1">
      <x:c r="A40" s="1" t="str">
        <x:v>sh000300</x:v>
      </x:c>
      <x:c r="B40" s="1" t="str">
        <x:v>沪深300</x:v>
      </x:c>
      <x:c r="C40" s="1" t="str">
        <x:v>2008-03</x:v>
      </x:c>
      <x:c r="D40" s="1" t="n">
        <x:v>1</x:v>
      </x:c>
      <x:c r="E40" s="7" t="n">
        <x:f>'月度收益'!H475</x:f>
        <x:v>-0.189113390593747</x:v>
      </x:c>
      <x:c r="F40" s="1" t="str">
        <x:v>2008-03-31</x:v>
      </x:c>
      <x:c r="G40" s="1" t="str">
        <x:v>2008-04-01</x:v>
      </x:c>
      <x:c r="H40" s="1" t="str">
        <x:v>2008-07-01</x:v>
      </x:c>
      <x:c r="I40" s="1" t="str">
        <x:v>2008-07-01</x:v>
      </x:c>
      <x:c r="J40" s="5" t="n">
        <x:v>3776.27</x:v>
      </x:c>
      <x:c r="K40" s="5" t="n">
        <x:v>2799.2</x:v>
      </x:c>
      <x:c r="L40" s="7" t="n">
        <x:f>K40/J40-1</x:f>
        <x:v>-0.25873944394865833</x:v>
      </x:c>
      <x:c r="M40" s="1" t="str">
        <x:v>已完成</x:v>
      </x:c>
      <x:c r="N40" s="1" t="n">
        <x:v>61</x:v>
      </x:c>
      <x:c r="O40" s="1" t="n">
        <x:v>91</x:v>
      </x:c>
      <x:c r="P40" s="7" t="n">
        <x:v>-0.3162646889131068</x:v>
      </x:c>
      <x:c r="Q40" s="7" t="n">
        <x:v>-0.2871616701136307</x:v>
      </x:c>
      <x:c r="R40" s="1" t="str">
        <x:v>2008-05-05</x:v>
      </x:c>
      <x:c r="S40" s="1" t="str">
        <x:v>2008-06-19</x:v>
      </x:c>
    </x:row>
    <x:row r="41" ht="25" customHeight="1">
      <x:c r="A41" s="1" t="str">
        <x:v>sh000300</x:v>
      </x:c>
      <x:c r="B41" s="1" t="str">
        <x:v>沪深300</x:v>
      </x:c>
      <x:c r="C41" s="1" t="str">
        <x:v>2008-06</x:v>
      </x:c>
      <x:c r="D41" s="1" t="n">
        <x:v>1</x:v>
      </x:c>
      <x:c r="E41" s="7" t="n">
        <x:f>'月度收益'!H478</x:f>
        <x:v>-0.22692747547302516</x:v>
      </x:c>
      <x:c r="F41" s="1" t="str">
        <x:v>2008-06-30</x:v>
      </x:c>
      <x:c r="G41" s="1" t="str">
        <x:v>2008-07-01</x:v>
      </x:c>
      <x:c r="H41" s="1" t="str">
        <x:v>2008-10-01</x:v>
      </x:c>
      <x:c r="I41" s="1" t="str">
        <x:v>2008-10-06</x:v>
      </x:c>
      <x:c r="J41" s="5" t="n">
        <x:v>2799.2</x:v>
      </x:c>
      <x:c r="K41" s="5" t="n">
        <x:v>2206.56</x:v>
      </x:c>
      <x:c r="L41" s="7" t="n">
        <x:f>K41/J41-1</x:f>
        <x:v>-0.21171763360960272</x:v>
      </x:c>
      <x:c r="M41" s="1" t="str">
        <x:v>已完成</x:v>
      </x:c>
      <x:c r="N41" s="1" t="n">
        <x:v>63</x:v>
      </x:c>
      <x:c r="O41" s="1" t="n">
        <x:v>97</x:v>
      </x:c>
      <x:c r="P41" s="7" t="n">
        <x:v>-0.3711747088848574</x:v>
      </x:c>
      <x:c r="Q41" s="7" t="n">
        <x:v>-0.3552550728779651</x:v>
      </x:c>
      <x:c r="R41" s="1" t="str">
        <x:v>2008-07-09</x:v>
      </x:c>
      <x:c r="S41" s="1" t="str">
        <x:v>2008-09-18</x:v>
      </x:c>
    </x:row>
    <x:row r="42" ht="25" customHeight="1">
      <x:c r="A42" s="1" t="str">
        <x:v>sh000300</x:v>
      </x:c>
      <x:c r="B42" s="1" t="str">
        <x:v>沪深300</x:v>
      </x:c>
      <x:c r="C42" s="1" t="str">
        <x:v>2008-08</x:v>
      </x:c>
      <x:c r="D42" s="1" t="n">
        <x:v>1</x:v>
      </x:c>
      <x:c r="E42" s="7" t="n">
        <x:f>'月度收益'!H480</x:f>
        <x:v>-0.14742924772120458</x:v>
      </x:c>
      <x:c r="F42" s="1" t="str">
        <x:v>2008-08-29</x:v>
      </x:c>
      <x:c r="G42" s="1" t="str">
        <x:v>2008-09-01</x:v>
      </x:c>
      <x:c r="H42" s="1" t="str">
        <x:v>2008-12-01</x:v>
      </x:c>
      <x:c r="I42" s="1" t="str">
        <x:v>2008-12-01</x:v>
      </x:c>
      <x:c r="J42" s="5" t="n">
        <x:v>2372.64</x:v>
      </x:c>
      <x:c r="K42" s="5" t="n">
        <x:v>1823.77</x:v>
      </x:c>
      <x:c r="L42" s="7" t="n">
        <x:f>K42/J42-1</x:f>
        <x:v>-0.2313330298738957</x:v>
      </x:c>
      <x:c r="M42" s="1" t="str">
        <x:v>已完成</x:v>
      </x:c>
      <x:c r="N42" s="1" t="n">
        <x:v>59</x:v>
      </x:c>
      <x:c r="O42" s="1" t="n">
        <x:v>91</x:v>
      </x:c>
      <x:c r="P42" s="7" t="n">
        <x:v>-0.31394564704295636</x:v>
      </x:c>
      <x:c r="Q42" s="7" t="n">
        <x:v>-0.3228091914491874</x:v>
      </x:c>
      <x:c r="R42" s="1" t="str">
        <x:v>2008-09-01</x:v>
      </x:c>
      <x:c r="S42" s="1" t="str">
        <x:v>2008-11-04</x:v>
      </x:c>
    </x:row>
    <x:row r="43" ht="25" customHeight="1">
      <x:c r="A43" s="1" t="str">
        <x:v>sh000300</x:v>
      </x:c>
      <x:c r="B43" s="1" t="str">
        <x:v>沪深300</x:v>
      </x:c>
      <x:c r="C43" s="1" t="str">
        <x:v>2008-10</x:v>
      </x:c>
      <x:c r="D43" s="1" t="n">
        <x:v>1</x:v>
      </x:c>
      <x:c r="E43" s="7" t="n">
        <x:f>'月度收益'!H482</x:f>
        <x:v>-0.25850619077756876</x:v>
      </x:c>
      <x:c r="F43" s="1" t="str">
        <x:v>2008-10-31</x:v>
      </x:c>
      <x:c r="G43" s="1" t="str">
        <x:v>2008-11-03</x:v>
      </x:c>
      <x:c r="H43" s="1" t="str">
        <x:v>2009-02-03</x:v>
      </x:c>
      <x:c r="I43" s="1" t="str">
        <x:v>2009-02-03</x:v>
      </x:c>
      <x:c r="J43" s="5" t="n">
        <x:v>1648.56</x:v>
      </x:c>
      <x:c r="K43" s="5" t="n">
        <x:v>2056.8</x:v>
      </x:c>
      <x:c r="L43" s="7" t="n">
        <x:f>K43/J43-1</x:f>
        <x:v>0.24763429902460343</x:v>
      </x:c>
      <x:c r="M43" s="1" t="str">
        <x:v>已完成</x:v>
      </x:c>
      <x:c r="N43" s="1" t="n">
        <x:v>59</x:v>
      </x:c>
      <x:c r="O43" s="1" t="n">
        <x:v>92</x:v>
      </x:c>
      <x:c r="P43" s="7" t="n">
        <x:v>-0.13292851043937426</x:v>
      </x:c>
      <x:c r="Q43" s="7" t="n">
        <x:v>-0.025373659436113916</x:v>
      </x:c>
      <x:c r="R43" s="1" t="str">
        <x:v>2008-12-10</x:v>
      </x:c>
      <x:c r="S43" s="1" t="str">
        <x:v>2008-12-31</x:v>
      </x:c>
    </x:row>
    <x:row r="44" ht="25" customHeight="1">
      <x:c r="A44" s="1" t="str">
        <x:v>sh000300</x:v>
      </x:c>
      <x:c r="B44" s="1" t="str">
        <x:v>沪深300</x:v>
      </x:c>
      <x:c r="C44" s="1" t="str">
        <x:v>2009-08</x:v>
      </x:c>
      <x:c r="D44" s="1" t="n">
        <x:v>1</x:v>
      </x:c>
      <x:c r="E44" s="7" t="n">
        <x:f>'月度收益'!H492</x:f>
        <x:v>-0.24215315078910304</x:v>
      </x:c>
      <x:c r="F44" s="1" t="str">
        <x:v>2009-08-31</x:v>
      </x:c>
      <x:c r="G44" s="1" t="str">
        <x:v>2009-09-01</x:v>
      </x:c>
      <x:c r="H44" s="1" t="str">
        <x:v>2009-12-01</x:v>
      </x:c>
      <x:c r="I44" s="1" t="str">
        <x:v>2009-12-01</x:v>
      </x:c>
      <x:c r="J44" s="5" t="n">
        <x:v>2804.58</x:v>
      </x:c>
      <x:c r="K44" s="5" t="n">
        <x:v>3507.56</x:v>
      </x:c>
      <x:c r="L44" s="7" t="n">
        <x:f>K44/J44-1</x:f>
        <x:v>0.250654286916401</x:v>
      </x:c>
      <x:c r="M44" s="1" t="str">
        <x:v>已完成</x:v>
      </x:c>
      <x:c r="N44" s="1" t="n">
        <x:v>59</x:v>
      </x:c>
      <x:c r="O44" s="1" t="n">
        <x:v>91</x:v>
      </x:c>
      <x:c r="P44" s="7" t="n">
        <x:v>-0.10475889280443362</x:v>
      </x:c>
      <x:c r="Q44" s="7" t="n">
        <x:v>-0.0032411270136705195</x:v>
      </x:c>
      <x:c r="R44" s="1" t="str">
        <x:v>2009-09-17</x:v>
      </x:c>
      <x:c r="S44" s="1" t="str">
        <x:v>2009-09-29</x:v>
      </x:c>
    </x:row>
    <x:row r="45" ht="25" customHeight="1">
      <x:c r="A45" s="1" t="str">
        <x:v>sh000300</x:v>
      </x:c>
      <x:c r="B45" s="1" t="str">
        <x:v>沪深300</x:v>
      </x:c>
      <x:c r="C45" s="1" t="str">
        <x:v>2010-01</x:v>
      </x:c>
      <x:c r="D45" s="1" t="n">
        <x:v>1</x:v>
      </x:c>
      <x:c r="E45" s="7" t="n">
        <x:f>'月度收益'!H497</x:f>
        <x:v>-0.10390191516019331</x:v>
      </x:c>
      <x:c r="F45" s="1" t="str">
        <x:v>2010-01-29</x:v>
      </x:c>
      <x:c r="G45" s="1" t="str">
        <x:v>2010-02-01</x:v>
      </x:c>
      <x:c r="H45" s="1" t="str">
        <x:v>2010-05-01</x:v>
      </x:c>
      <x:c r="I45" s="1" t="str">
        <x:v>2010-05-04</x:v>
      </x:c>
      <x:c r="J45" s="5" t="n">
        <x:v>3198.23</x:v>
      </x:c>
      <x:c r="K45" s="5" t="n">
        <x:v>3005.49</x:v>
      </x:c>
      <x:c r="L45" s="7" t="n">
        <x:f>K45/J45-1</x:f>
        <x:v>-0.06026458384794098</x:v>
      </x:c>
      <x:c r="M45" s="1" t="str">
        <x:v>已完成</x:v>
      </x:c>
      <x:c r="N45" s="1" t="n">
        <x:v>59</x:v>
      </x:c>
      <x:c r="O45" s="1" t="n">
        <x:v>92</x:v>
      </x:c>
      <x:c r="P45" s="7" t="n">
        <x:v>-0.11793916093151569</x:v>
      </x:c>
      <x:c r="Q45" s="7" t="n">
        <x:v>-0.057581849960759546</x:v>
      </x:c>
      <x:c r="R45" s="1" t="str">
        <x:v>2010-04-02</x:v>
      </x:c>
      <x:c r="S45" s="1" t="str">
        <x:v>2010-05-04</x:v>
      </x:c>
    </x:row>
    <x:row r="46" ht="25" customHeight="1">
      <x:c r="A46" s="1" t="str">
        <x:v>sh000300</x:v>
      </x:c>
      <x:c r="B46" s="1" t="str">
        <x:v>沪深300</x:v>
      </x:c>
      <x:c r="C46" s="1" t="str">
        <x:v>2013-06</x:v>
      </x:c>
      <x:c r="D46" s="1" t="n">
        <x:v>1</x:v>
      </x:c>
      <x:c r="E46" s="7" t="n">
        <x:f>'月度收益'!H538</x:f>
        <x:v>-0.1556880484033717</x:v>
      </x:c>
      <x:c r="F46" s="1" t="str">
        <x:v>2013-06-28</x:v>
      </x:c>
      <x:c r="G46" s="1" t="str">
        <x:v>2013-07-01</x:v>
      </x:c>
      <x:c r="H46" s="1" t="str">
        <x:v>2013-10-01</x:v>
      </x:c>
      <x:c r="I46" s="1" t="str">
        <x:v>2013-10-08</x:v>
      </x:c>
      <x:c r="J46" s="5" t="n">
        <x:v>2187.09</x:v>
      </x:c>
      <x:c r="K46" s="5" t="n">
        <x:v>2406.42</x:v>
      </x:c>
      <x:c r="L46" s="7" t="n">
        <x:f>K46/J46-1</x:f>
        <x:v>0.10028393893255427</x:v>
      </x:c>
      <x:c r="M46" s="1" t="str">
        <x:v>已完成</x:v>
      </x:c>
      <x:c r="N46" s="1" t="n">
        <x:v>64</x:v>
      </x:c>
      <x:c r="O46" s="1" t="n">
        <x:v>99</x:v>
      </x:c>
      <x:c r="P46" s="7" t="n">
        <x:v>-0.06477871998418361</x:v>
      </x:c>
      <x:c r="Q46" s="7" t="n">
        <x:v>-0.01705462509544653</x:v>
      </x:c>
      <x:c r="R46" s="1" t="str">
        <x:v>2013-07-11</x:v>
      </x:c>
      <x:c r="S46" s="1" t="str">
        <x:v>2013-07-29</x:v>
      </x:c>
    </x:row>
    <x:row r="47" ht="25" customHeight="1">
      <x:c r="A47" s="1" t="str">
        <x:v>sh000300</x:v>
      </x:c>
      <x:c r="B47" s="1" t="str">
        <x:v>沪深300</x:v>
      </x:c>
      <x:c r="C47" s="1" t="str">
        <x:v>2015-07</x:v>
      </x:c>
      <x:c r="D47" s="1" t="n">
        <x:v>1</x:v>
      </x:c>
      <x:c r="E47" s="7" t="n">
        <x:f>'月度收益'!H563</x:f>
        <x:v>-0.1467247932036665</x:v>
      </x:c>
      <x:c r="F47" s="1" t="str">
        <x:v>2015-07-31</x:v>
      </x:c>
      <x:c r="G47" s="1" t="str">
        <x:v>2015-08-03</x:v>
      </x:c>
      <x:c r="H47" s="1" t="str">
        <x:v>2015-11-03</x:v>
      </x:c>
      <x:c r="I47" s="1" t="str">
        <x:v>2015-11-03</x:v>
      </x:c>
      <x:c r="J47" s="5" t="n">
        <x:v>3766.07</x:v>
      </x:c>
      <x:c r="K47" s="5" t="n">
        <x:v>3484.72</x:v>
      </x:c>
      <x:c r="L47" s="7" t="n">
        <x:f>K47/J47-1</x:f>
        <x:v>-0.07470652430783298</x:v>
      </x:c>
      <x:c r="M47" s="1" t="str">
        <x:v>已完成</x:v>
      </x:c>
      <x:c r="N47" s="1" t="n">
        <x:v>59</x:v>
      </x:c>
      <x:c r="O47" s="1" t="n">
        <x:v>92</x:v>
      </x:c>
      <x:c r="P47" s="7" t="n">
        <x:v>-0.25920095192392445</x:v>
      </x:c>
      <x:c r="Q47" s="7" t="n">
        <x:v>-0.21615636459226728</x:v>
      </x:c>
      <x:c r="R47" s="1" t="str">
        <x:v>2015-08-10</x:v>
      </x:c>
      <x:c r="S47" s="1" t="str">
        <x:v>2015-08-26</x:v>
      </x:c>
    </x:row>
    <x:row r="48" ht="25" customHeight="1">
      <x:c r="A48" s="1" t="str">
        <x:v>sh000300</x:v>
      </x:c>
      <x:c r="B48" s="1" t="str">
        <x:v>沪深300</x:v>
      </x:c>
      <x:c r="C48" s="1" t="str">
        <x:v>2015-08</x:v>
      </x:c>
      <x:c r="D48" s="1" t="n">
        <x:v>1</x:v>
      </x:c>
      <x:c r="E48" s="7" t="n">
        <x:f>'月度收益'!H564</x:f>
        <x:v>-0.11794482144260743</x:v>
      </x:c>
      <x:c r="F48" s="1" t="str">
        <x:v>2015-08-31</x:v>
      </x:c>
      <x:c r="G48" s="1" t="str">
        <x:v>2015-09-01</x:v>
      </x:c>
      <x:c r="H48" s="1" t="str">
        <x:v>2015-12-01</x:v>
      </x:c>
      <x:c r="I48" s="1" t="str">
        <x:v>2015-12-01</x:v>
      </x:c>
      <x:c r="J48" s="5" t="n">
        <x:v>3296.53</x:v>
      </x:c>
      <x:c r="K48" s="5" t="n">
        <x:v>3562.32</x:v>
      </x:c>
      <x:c r="L48" s="7" t="n">
        <x:f>K48/J48-1</x:f>
        <x:v>0.08062720497007447</x:v>
      </x:c>
      <x:c r="M48" s="1" t="str">
        <x:v>已完成</x:v>
      </x:c>
      <x:c r="N48" s="1" t="n">
        <x:v>58</x:v>
      </x:c>
      <x:c r="O48" s="1" t="n">
        <x:v>91</x:v>
      </x:c>
      <x:c r="P48" s="7" t="n">
        <x:v>-0.07378494147668835</x:v>
      </x:c>
      <x:c r="Q48" s="7" t="n">
        <x:v>-0.050101166984677925</x:v>
      </x:c>
      <x:c r="R48" s="1" t="str">
        <x:v>2015-11-09</x:v>
      </x:c>
      <x:c r="S48" s="1" t="str">
        <x:v>2015-11-27</x:v>
      </x:c>
    </x:row>
    <x:row r="49" ht="25" customHeight="1">
      <x:c r="A49" s="1" t="str">
        <x:v>sh000300</x:v>
      </x:c>
      <x:c r="B49" s="1" t="str">
        <x:v>沪深300</x:v>
      </x:c>
      <x:c r="C49" s="1" t="str">
        <x:v>2016-01</x:v>
      </x:c>
      <x:c r="D49" s="1" t="n">
        <x:v>1</x:v>
      </x:c>
      <x:c r="E49" s="7" t="n">
        <x:f>'月度收益'!H569</x:f>
        <x:v>-0.21037523452157592</x:v>
      </x:c>
      <x:c r="F49" s="1" t="str">
        <x:v>2016-01-29</x:v>
      </x:c>
      <x:c r="G49" s="1" t="str">
        <x:v>2016-02-01</x:v>
      </x:c>
      <x:c r="H49" s="1" t="str">
        <x:v>2016-05-01</x:v>
      </x:c>
      <x:c r="I49" s="1" t="str">
        <x:v>2016-05-03</x:v>
      </x:c>
      <x:c r="J49" s="5" t="n">
        <x:v>2939.04</x:v>
      </x:c>
      <x:c r="K49" s="5" t="n">
        <x:v>3159.82</x:v>
      </x:c>
      <x:c r="L49" s="7" t="n">
        <x:f>K49/J49-1</x:f>
        <x:v>0.075119766998748</x:v>
      </x:c>
      <x:c r="M49" s="1" t="str">
        <x:v>已完成</x:v>
      </x:c>
      <x:c r="N49" s="1" t="n">
        <x:v>59</x:v>
      </x:c>
      <x:c r="O49" s="1" t="n">
        <x:v>92</x:v>
      </x:c>
      <x:c r="P49" s="7" t="n">
        <x:v>-0.07739982750162722</x:v>
      </x:c>
      <x:c r="Q49" s="7" t="n">
        <x:v>-0.04009132233654522</x:v>
      </x:c>
      <x:c r="R49" s="1" t="str">
        <x:v>2016-02-22</x:v>
      </x:c>
      <x:c r="S49" s="1" t="str">
        <x:v>2016-02-29</x:v>
      </x:c>
    </x:row>
    <x:row r="50" ht="25" customHeight="1">
      <x:c r="A50" s="1" t="str">
        <x:v>sh000905</x:v>
      </x:c>
      <x:c r="B50" s="1" t="str">
        <x:v>中证500</x:v>
      </x:c>
      <x:c r="C50" s="1" t="str">
        <x:v>2005-03</x:v>
      </x:c>
      <x:c r="D50" s="1" t="n">
        <x:v>0</x:v>
      </x:c>
      <x:c r="E50" s="7" t="n">
        <x:f>'月度收益'!H701</x:f>
        <x:v>-0.12223147377185672</x:v>
      </x:c>
      <x:c r="F50" s="1" t="str">
        <x:v>2005-03-31</x:v>
      </x:c>
      <x:c r="G50" s="1" t="str">
        <x:v>2005-04-01</x:v>
      </x:c>
      <x:c r="H50" s="1" t="str">
        <x:v>2005-07-01</x:v>
      </x:c>
      <x:c r="I50" s="1" t="str">
        <x:v>2005-07-01</x:v>
      </x:c>
      <x:c r="J50" s="5" t="n">
        <x:v>895.23</x:v>
      </x:c>
      <x:c r="K50" s="5" t="n">
        <x:v>789.18</x:v>
      </x:c>
      <x:c r="L50" s="7" t="n">
        <x:f>K50/J50-1</x:f>
        <x:v>-0.11846117757447816</x:v>
      </x:c>
      <x:c r="M50" s="1" t="str">
        <x:v>已完成</x:v>
      </x:c>
      <x:c r="N50" s="1" t="n">
        <x:v>60</x:v>
      </x:c>
      <x:c r="O50" s="1" t="n">
        <x:v>91</x:v>
      </x:c>
      <x:c r="P50" s="7" t="n">
        <x:v>-0.19391094787577745</x:v>
      </x:c>
      <x:c r="Q50" s="7" t="n">
        <x:v>-0.1607519855232733</x:v>
      </x:c>
      <x:c r="R50" s="1" t="str">
        <x:v>2005-04-13</x:v>
      </x:c>
      <x:c r="S50" s="1" t="str">
        <x:v>2005-06-03</x:v>
      </x:c>
    </x:row>
    <x:row r="51" ht="25" customHeight="1">
      <x:c r="A51" s="1" t="str">
        <x:v>sh000905</x:v>
      </x:c>
      <x:c r="B51" s="1" t="str">
        <x:v>中证500</x:v>
      </x:c>
      <x:c r="C51" s="1" t="str">
        <x:v>2007-06</x:v>
      </x:c>
      <x:c r="D51" s="1" t="n">
        <x:v>1</x:v>
      </x:c>
      <x:c r="E51" s="7" t="n">
        <x:f>'月度收益'!H728</x:f>
        <x:v>-0.159870002671178</x:v>
      </x:c>
      <x:c r="F51" s="1" t="str">
        <x:v>2007-06-29</x:v>
      </x:c>
      <x:c r="G51" s="1" t="str">
        <x:v>2007-07-02</x:v>
      </x:c>
      <x:c r="H51" s="1" t="str">
        <x:v>2007-10-02</x:v>
      </x:c>
      <x:c r="I51" s="1" t="str">
        <x:v>2007-10-08</x:v>
      </x:c>
      <x:c r="J51" s="5" t="n">
        <x:v>3571.72</x:v>
      </x:c>
      <x:c r="K51" s="5" t="n">
        <x:v>5169.24</x:v>
      </x:c>
      <x:c r="L51" s="7" t="n">
        <x:f>K51/J51-1</x:f>
        <x:v>0.44726910284120813</x:v>
      </x:c>
      <x:c r="M51" s="1" t="str">
        <x:v>已完成</x:v>
      </x:c>
      <x:c r="N51" s="1" t="n">
        <x:v>65</x:v>
      </x:c>
      <x:c r="O51" s="1" t="n">
        <x:v>98</x:v>
      </x:c>
      <x:c r="P51" s="7" t="n">
        <x:v>-0.08759929927038834</x:v>
      </x:c>
      <x:c r="Q51" s="7" t="n">
        <x:v>-0.07351360129013462</x:v>
      </x:c>
      <x:c r="R51" s="1" t="str">
        <x:v>2007-07-03</x:v>
      </x:c>
      <x:c r="S51" s="1" t="str">
        <x:v>2007-07-05</x:v>
      </x:c>
    </x:row>
    <x:row r="52" ht="25" customHeight="1">
      <x:c r="A52" s="1" t="str">
        <x:v>sh000905</x:v>
      </x:c>
      <x:c r="B52" s="1" t="str">
        <x:v>中证500</x:v>
      </x:c>
      <x:c r="C52" s="1" t="str">
        <x:v>2007-10</x:v>
      </x:c>
      <x:c r="D52" s="1" t="n">
        <x:v>1</x:v>
      </x:c>
      <x:c r="E52" s="7" t="n">
        <x:f>'月度收益'!H732</x:f>
        <x:v>-0.10493838088774787</x:v>
      </x:c>
      <x:c r="F52" s="1" t="str">
        <x:v>2007-10-31</x:v>
      </x:c>
      <x:c r="G52" s="1" t="str">
        <x:v>2007-11-01</x:v>
      </x:c>
      <x:c r="H52" s="1" t="str">
        <x:v>2008-02-01</x:v>
      </x:c>
      <x:c r="I52" s="1" t="str">
        <x:v>2008-02-01</x:v>
      </x:c>
      <x:c r="J52" s="5" t="n">
        <x:v>4557.64</x:v>
      </x:c>
      <x:c r="K52" s="5" t="n">
        <x:v>4653.54</x:v>
      </x:c>
      <x:c r="L52" s="7" t="n">
        <x:f>K52/J52-1</x:f>
        <x:v>0.021041591700967865</x:v>
      </x:c>
      <x:c r="M52" s="1" t="str">
        <x:v>已完成</x:v>
      </x:c>
      <x:c r="N52" s="1" t="n">
        <x:v>64</x:v>
      </x:c>
      <x:c r="O52" s="1" t="n">
        <x:v>92</x:v>
      </x:c>
      <x:c r="P52" s="7" t="n">
        <x:v>-0.1519111222888635</x:v>
      </x:c>
      <x:c r="Q52" s="7" t="n">
        <x:v>-0.1231953379380557</x:v>
      </x:c>
      <x:c r="R52" s="1" t="str">
        <x:v>2008-01-15</x:v>
      </x:c>
      <x:c r="S52" s="1" t="str">
        <x:v>2008-02-01</x:v>
      </x:c>
    </x:row>
    <x:row r="53" ht="25" customHeight="1">
      <x:c r="A53" s="1" t="str">
        <x:v>sh000905</x:v>
      </x:c>
      <x:c r="B53" s="1" t="str">
        <x:v>中证500</x:v>
      </x:c>
      <x:c r="C53" s="1" t="str">
        <x:v>2008-03</x:v>
      </x:c>
      <x:c r="D53" s="1" t="n">
        <x:v>1</x:v>
      </x:c>
      <x:c r="E53" s="7" t="n">
        <x:f>'月度收益'!H737</x:f>
        <x:v>-0.20039465203000617</x:v>
      </x:c>
      <x:c r="F53" s="1" t="str">
        <x:v>2008-03-31</x:v>
      </x:c>
      <x:c r="G53" s="1" t="str">
        <x:v>2008-04-01</x:v>
      </x:c>
      <x:c r="H53" s="1" t="str">
        <x:v>2008-07-01</x:v>
      </x:c>
      <x:c r="I53" s="1" t="str">
        <x:v>2008-07-01</x:v>
      </x:c>
      <x:c r="J53" s="5" t="n">
        <x:v>4024.44</x:v>
      </x:c>
      <x:c r="K53" s="5" t="n">
        <x:v>2819.53</x:v>
      </x:c>
      <x:c r="L53" s="7" t="n">
        <x:f>K53/J53-1</x:f>
        <x:v>-0.2993981771376887</x:v>
      </x:c>
      <x:c r="M53" s="1" t="str">
        <x:v>已完成</x:v>
      </x:c>
      <x:c r="N53" s="1" t="n">
        <x:v>61</x:v>
      </x:c>
      <x:c r="O53" s="1" t="n">
        <x:v>91</x:v>
      </x:c>
      <x:c r="P53" s="7" t="n">
        <x:v>-0.35161173470489304</x:v>
      </x:c>
      <x:c r="Q53" s="7" t="n">
        <x:v>-0.3547325839122959</x:v>
      </x:c>
      <x:c r="R53" s="1" t="str">
        <x:v>2008-05-14</x:v>
      </x:c>
      <x:c r="S53" s="1" t="str">
        <x:v>2008-06-19</x:v>
      </x:c>
    </x:row>
    <x:row r="54" ht="25" customHeight="1">
      <x:c r="A54" s="1" t="str">
        <x:v>sh000905</x:v>
      </x:c>
      <x:c r="B54" s="1" t="str">
        <x:v>中证500</x:v>
      </x:c>
      <x:c r="C54" s="1" t="str">
        <x:v>2008-06</x:v>
      </x:c>
      <x:c r="D54" s="1" t="n">
        <x:v>1</x:v>
      </x:c>
      <x:c r="E54" s="7" t="n">
        <x:f>'月度收益'!H740</x:f>
        <x:v>-0.25079946640110984</x:v>
      </x:c>
      <x:c r="F54" s="1" t="str">
        <x:v>2008-06-30</x:v>
      </x:c>
      <x:c r="G54" s="1" t="str">
        <x:v>2008-07-01</x:v>
      </x:c>
      <x:c r="H54" s="1" t="str">
        <x:v>2008-10-01</x:v>
      </x:c>
      <x:c r="I54" s="1" t="str">
        <x:v>2008-10-06</x:v>
      </x:c>
      <x:c r="J54" s="5" t="n">
        <x:v>2819.53</x:v>
      </x:c>
      <x:c r="K54" s="5" t="n">
        <x:v>2092.35</x:v>
      </x:c>
      <x:c r="L54" s="7" t="n">
        <x:f>K54/J54-1</x:f>
        <x:v>-0.25790823293243914</x:v>
      </x:c>
      <x:c r="M54" s="1" t="str">
        <x:v>已完成</x:v>
      </x:c>
      <x:c r="N54" s="1" t="n">
        <x:v>63</x:v>
      </x:c>
      <x:c r="O54" s="1" t="n">
        <x:v>97</x:v>
      </x:c>
      <x:c r="P54" s="7" t="n">
        <x:v>-0.41127349937231683</x:v>
      </x:c>
      <x:c r="Q54" s="7" t="n">
        <x:v>-0.3626313605459066</x:v>
      </x:c>
      <x:c r="R54" s="1" t="str">
        <x:v>2008-07-09</x:v>
      </x:c>
      <x:c r="S54" s="1" t="str">
        <x:v>2008-09-18</x:v>
      </x:c>
    </x:row>
    <x:row r="55" ht="25" customHeight="1">
      <x:c r="A55" s="1" t="str">
        <x:v>sh000905</x:v>
      </x:c>
      <x:c r="B55" s="1" t="str">
        <x:v>中证500</x:v>
      </x:c>
      <x:c r="C55" s="1" t="str">
        <x:v>2008-08</x:v>
      </x:c>
      <x:c r="D55" s="1" t="n">
        <x:v>1</x:v>
      </x:c>
      <x:c r="E55" s="7" t="n">
        <x:f>'月度收益'!H742</x:f>
        <x:v>-0.23533583895108745</x:v>
      </x:c>
      <x:c r="F55" s="1" t="str">
        <x:v>2008-08-29</x:v>
      </x:c>
      <x:c r="G55" s="1" t="str">
        <x:v>2008-09-01</x:v>
      </x:c>
      <x:c r="H55" s="1" t="str">
        <x:v>2008-12-01</x:v>
      </x:c>
      <x:c r="I55" s="1" t="str">
        <x:v>2008-12-01</x:v>
      </x:c>
      <x:c r="J55" s="5" t="n">
        <x:v>2290.41</x:v>
      </x:c>
      <x:c r="K55" s="5" t="n">
        <x:v>1836.42</x:v>
      </x:c>
      <x:c r="L55" s="7" t="n">
        <x:f>K55/J55-1</x:f>
        <x:v>-0.1982134203046615</x:v>
      </x:c>
      <x:c r="M55" s="1" t="str">
        <x:v>已完成</x:v>
      </x:c>
      <x:c r="N55" s="1" t="n">
        <x:v>59</x:v>
      </x:c>
      <x:c r="O55" s="1" t="n">
        <x:v>91</x:v>
      </x:c>
      <x:c r="P55" s="7" t="n">
        <x:v>-0.3392012783737409</x:v>
      </x:c>
      <x:c r="Q55" s="7" t="n">
        <x:v>-0.3500508642557445</x:v>
      </x:c>
      <x:c r="R55" s="1" t="str">
        <x:v>2008-09-01</x:v>
      </x:c>
      <x:c r="S55" s="1" t="str">
        <x:v>2008-11-04</x:v>
      </x:c>
    </x:row>
    <x:row r="56" ht="25" customHeight="1">
      <x:c r="A56" s="1" t="str">
        <x:v>sh000905</x:v>
      </x:c>
      <x:c r="B56" s="1" t="str">
        <x:v>中证500</x:v>
      </x:c>
      <x:c r="C56" s="1" t="str">
        <x:v>2008-10</x:v>
      </x:c>
      <x:c r="D56" s="1" t="n">
        <x:v>1</x:v>
      </x:c>
      <x:c r="E56" s="7" t="n">
        <x:f>'月度收益'!H744</x:f>
        <x:v>-0.2687172284644195</x:v>
      </x:c>
      <x:c r="F56" s="1" t="str">
        <x:v>2008-10-31</x:v>
      </x:c>
      <x:c r="G56" s="1" t="str">
        <x:v>2008-11-03</x:v>
      </x:c>
      <x:c r="H56" s="1" t="str">
        <x:v>2009-02-03</x:v>
      </x:c>
      <x:c r="I56" s="1" t="str">
        <x:v>2009-02-03</x:v>
      </x:c>
      <x:c r="J56" s="5" t="n">
        <x:v>1553.88</x:v>
      </x:c>
      <x:c r="K56" s="5" t="n">
        <x:v>2307.89</x:v>
      </x:c>
      <x:c r="L56" s="7" t="n">
        <x:f>K56/J56-1</x:f>
        <x:v>0.48524339073802336</x:v>
      </x:c>
      <x:c r="M56" s="1" t="str">
        <x:v>已完成</x:v>
      </x:c>
      <x:c r="N56" s="1" t="n">
        <x:v>59</x:v>
      </x:c>
      <x:c r="O56" s="1" t="n">
        <x:v>92</x:v>
      </x:c>
      <x:c r="P56" s="7" t="n">
        <x:v>-0.11673057830162026</x:v>
      </x:c>
      <x:c r="Q56" s="7" t="n">
        <x:v>-0.04197878858084281</x:v>
      </x:c>
      <x:c r="R56" s="1" t="str">
        <x:v>2008-12-10</x:v>
      </x:c>
      <x:c r="S56" s="1" t="str">
        <x:v>2008-12-31</x:v>
      </x:c>
    </x:row>
    <x:row r="57" ht="25" customHeight="1">
      <x:c r="A57" s="1" t="str">
        <x:v>sh000905</x:v>
      </x:c>
      <x:c r="B57" s="1" t="str">
        <x:v>中证500</x:v>
      </x:c>
      <x:c r="C57" s="1" t="str">
        <x:v>2009-08</x:v>
      </x:c>
      <x:c r="D57" s="1" t="n">
        <x:v>1</x:v>
      </x:c>
      <x:c r="E57" s="7" t="n">
        <x:f>'月度收益'!H754</x:f>
        <x:v>-0.16560182050511885</x:v>
      </x:c>
      <x:c r="F57" s="1" t="str">
        <x:v>2009-08-31</x:v>
      </x:c>
      <x:c r="G57" s="1" t="str">
        <x:v>2009-09-01</x:v>
      </x:c>
      <x:c r="H57" s="1" t="str">
        <x:v>2009-12-01</x:v>
      </x:c>
      <x:c r="I57" s="1" t="str">
        <x:v>2009-12-01</x:v>
      </x:c>
      <x:c r="J57" s="5" t="n">
        <x:v>3242.93</x:v>
      </x:c>
      <x:c r="K57" s="5" t="n">
        <x:v>4405.73</x:v>
      </x:c>
      <x:c r="L57" s="7" t="n">
        <x:f>K57/J57-1</x:f>
        <x:v>0.35856463136731276</x:v>
      </x:c>
      <x:c r="M57" s="1" t="str">
        <x:v>已完成</x:v>
      </x:c>
      <x:c r="N57" s="1" t="n">
        <x:v>59</x:v>
      </x:c>
      <x:c r="O57" s="1" t="n">
        <x:v>91</x:v>
      </x:c>
      <x:c r="P57" s="7" t="n">
        <x:v>-0.12836452837796963</x:v>
      </x:c>
      <x:c r="Q57" s="7" t="n">
        <x:v>-0.014517735504620766</x:v>
      </x:c>
      <x:c r="R57" s="1" t="str">
        <x:v>2009-09-17</x:v>
      </x:c>
      <x:c r="S57" s="1" t="str">
        <x:v>2009-09-29</x:v>
      </x:c>
    </x:row>
    <x:row r="58" ht="25" customHeight="1">
      <x:c r="A58" s="1" t="str">
        <x:v>sh000905</x:v>
      </x:c>
      <x:c r="B58" s="1" t="str">
        <x:v>中证500</x:v>
      </x:c>
      <x:c r="C58" s="1" t="str">
        <x:v>2010-06</x:v>
      </x:c>
      <x:c r="D58" s="1" t="n">
        <x:v>1</x:v>
      </x:c>
      <x:c r="E58" s="7" t="n">
        <x:f>'月度收益'!H764</x:f>
        <x:v>-0.10717870752078273</x:v>
      </x:c>
      <x:c r="F58" s="1" t="str">
        <x:v>2010-06-30</x:v>
      </x:c>
      <x:c r="G58" s="1" t="str">
        <x:v>2010-07-01</x:v>
      </x:c>
      <x:c r="H58" s="1" t="str">
        <x:v>2010-10-01</x:v>
      </x:c>
      <x:c r="I58" s="1" t="str">
        <x:v>2010-10-08</x:v>
      </x:c>
      <x:c r="J58" s="5" t="n">
        <x:v>3657.96</x:v>
      </x:c>
      <x:c r="K58" s="5" t="n">
        <x:v>4696.38</x:v>
      </x:c>
      <x:c r="L58" s="7" t="n">
        <x:f>K58/J58-1</x:f>
        <x:v>0.2838795394154119</x:v>
      </x:c>
      <x:c r="M58" s="1" t="str">
        <x:v>已完成</x:v>
      </x:c>
      <x:c r="N58" s="1" t="n">
        <x:v>63</x:v>
      </x:c>
      <x:c r="O58" s="1" t="n">
        <x:v>99</x:v>
      </x:c>
      <x:c r="P58" s="7" t="n">
        <x:v>-0.05383504459547761</x:v>
      </x:c>
      <x:c r="Q58" s="7" t="n">
        <x:v>-0.062220472613150446</x:v>
      </x:c>
      <x:c r="R58" s="1" t="str">
        <x:v>2010-09-14</x:v>
      </x:c>
      <x:c r="S58" s="1" t="str">
        <x:v>2010-09-21</x:v>
      </x:c>
    </x:row>
    <x:row r="59" ht="25" customHeight="1">
      <x:c r="A59" s="1" t="str">
        <x:v>sh000905</x:v>
      </x:c>
      <x:c r="B59" s="1" t="str">
        <x:v>中证500</x:v>
      </x:c>
      <x:c r="C59" s="1" t="str">
        <x:v>2011-09</x:v>
      </x:c>
      <x:c r="D59" s="1" t="n">
        <x:v>1</x:v>
      </x:c>
      <x:c r="E59" s="7" t="n">
        <x:f>'月度收益'!H779</x:f>
        <x:v>-0.1294898590239565</x:v>
      </x:c>
      <x:c r="F59" s="1" t="str">
        <x:v>2011-09-30</x:v>
      </x:c>
      <x:c r="G59" s="1" t="str">
        <x:v>2011-10-10</x:v>
      </x:c>
      <x:c r="H59" s="1" t="str">
        <x:v>2012-01-10</x:v>
      </x:c>
      <x:c r="I59" s="1" t="str">
        <x:v>2012-01-10</x:v>
      </x:c>
      <x:c r="J59" s="5" t="n">
        <x:v>3866.86</x:v>
      </x:c>
      <x:c r="K59" s="5" t="n">
        <x:v>3211.57</x:v>
      </x:c>
      <x:c r="L59" s="7" t="n">
        <x:f>K59/J59-1</x:f>
        <x:v>-0.16946307857020937</x:v>
      </x:c>
      <x:c r="M59" s="1" t="str">
        <x:v>已完成</x:v>
      </x:c>
      <x:c r="N59" s="1" t="n">
        <x:v>64</x:v>
      </x:c>
      <x:c r="O59" s="1" t="n">
        <x:v>92</x:v>
      </x:c>
      <x:c r="P59" s="7" t="n">
        <x:v>-0.26672740759468316</x:v>
      </x:c>
      <x:c r="Q59" s="7" t="n">
        <x:v>-0.2234060710757566</x:v>
      </x:c>
      <x:c r="R59" s="1" t="str">
        <x:v>2011-11-15</x:v>
      </x:c>
      <x:c r="S59" s="1" t="str">
        <x:v>2012-01-05</x:v>
      </x:c>
    </x:row>
    <x:row r="60" ht="25" customHeight="1">
      <x:c r="A60" s="1" t="str">
        <x:v>sh000905</x:v>
      </x:c>
      <x:c r="B60" s="1" t="str">
        <x:v>中证500</x:v>
      </x:c>
      <x:c r="C60" s="1" t="str">
        <x:v>2011-12</x:v>
      </x:c>
      <x:c r="D60" s="1" t="n">
        <x:v>1</x:v>
      </x:c>
      <x:c r="E60" s="7" t="n">
        <x:f>'月度收益'!H782</x:f>
        <x:v>-0.1448085572024691</x:v>
      </x:c>
      <x:c r="F60" s="1" t="str">
        <x:v>2011-12-30</x:v>
      </x:c>
      <x:c r="G60" s="1" t="str">
        <x:v>2012-01-04</x:v>
      </x:c>
      <x:c r="H60" s="1" t="str">
        <x:v>2012-04-04</x:v>
      </x:c>
      <x:c r="I60" s="1" t="str">
        <x:v>2012-04-05</x:v>
      </x:c>
      <x:c r="J60" s="5" t="n">
        <x:v>3290.82</x:v>
      </x:c>
      <x:c r="K60" s="5" t="n">
        <x:v>3420.03</x:v>
      </x:c>
      <x:c r="L60" s="7" t="n">
        <x:f>K60/J60-1</x:f>
        <x:v>0.0392637701241636</x:v>
      </x:c>
      <x:c r="M60" s="1" t="str">
        <x:v>已完成</x:v>
      </x:c>
      <x:c r="N60" s="1" t="n">
        <x:v>58</x:v>
      </x:c>
      <x:c r="O60" s="1" t="n">
        <x:v>92</x:v>
      </x:c>
      <x:c r="P60" s="7" t="n">
        <x:v>-0.12613617182345027</x:v>
      </x:c>
      <x:c r="Q60" s="7" t="n">
        <x:v>-0.08746756127652078</x:v>
      </x:c>
      <x:c r="R60" s="1" t="str">
        <x:v>2012-03-13</x:v>
      </x:c>
      <x:c r="S60" s="1" t="str">
        <x:v>2012-03-30</x:v>
      </x:c>
    </x:row>
    <x:row r="61" ht="25" customHeight="1">
      <x:c r="A61" s="1" t="str">
        <x:v>sh000905</x:v>
      </x:c>
      <x:c r="B61" s="1" t="str">
        <x:v>中证500</x:v>
      </x:c>
      <x:c r="C61" s="1" t="str">
        <x:v>2012-11</x:v>
      </x:c>
      <x:c r="D61" s="1" t="n">
        <x:v>1</x:v>
      </x:c>
      <x:c r="E61" s="7" t="n">
        <x:f>'月度收益'!H793</x:f>
        <x:v>-0.11094346769357033</x:v>
      </x:c>
      <x:c r="F61" s="1" t="str">
        <x:v>2012-11-30</x:v>
      </x:c>
      <x:c r="G61" s="1" t="str">
        <x:v>2012-12-03</x:v>
      </x:c>
      <x:c r="H61" s="1" t="str">
        <x:v>2013-03-03</x:v>
      </x:c>
      <x:c r="I61" s="1" t="str">
        <x:v>2013-03-04</x:v>
      </x:c>
      <x:c r="J61" s="5" t="n">
        <x:v>2816.3</x:v>
      </x:c>
      <x:c r="K61" s="5" t="n">
        <x:v>3614.56</x:v>
      </x:c>
      <x:c r="L61" s="7" t="n">
        <x:f>K61/J61-1</x:f>
        <x:v>0.2834428150410111</x:v>
      </x:c>
      <x:c r="M61" s="1" t="str">
        <x:v>已完成</x:v>
      </x:c>
      <x:c r="N61" s="1" t="n">
        <x:v>57</x:v>
      </x:c>
      <x:c r="O61" s="1" t="n">
        <x:v>91</x:v>
      </x:c>
      <x:c r="P61" s="7" t="n">
        <x:v>-0.03639519695685056</x:v>
      </x:c>
      <x:c r="Q61" s="7" t="n">
        <x:v>-0.03974363526612945</x:v>
      </x:c>
      <x:c r="R61" s="1" t="str">
        <x:v>2013-01-21</x:v>
      </x:c>
      <x:c r="S61" s="1" t="str">
        <x:v>2013-01-25</x:v>
      </x:c>
    </x:row>
    <x:row r="62" ht="25" customHeight="1">
      <x:c r="A62" s="1" t="str">
        <x:v>sh000905</x:v>
      </x:c>
      <x:c r="B62" s="1" t="str">
        <x:v>中证500</x:v>
      </x:c>
      <x:c r="C62" s="1" t="str">
        <x:v>2013-06</x:v>
      </x:c>
      <x:c r="D62" s="1" t="n">
        <x:v>1</x:v>
      </x:c>
      <x:c r="E62" s="7" t="n">
        <x:f>'月度收益'!H800</x:f>
        <x:v>-0.15756452377109353</x:v>
      </x:c>
      <x:c r="F62" s="1" t="str">
        <x:v>2013-06-28</x:v>
      </x:c>
      <x:c r="G62" s="1" t="str">
        <x:v>2013-07-01</x:v>
      </x:c>
      <x:c r="H62" s="1" t="str">
        <x:v>2013-10-01</x:v>
      </x:c>
      <x:c r="I62" s="1" t="str">
        <x:v>2013-10-08</x:v>
      </x:c>
      <x:c r="J62" s="5" t="n">
        <x:v>3226.62</x:v>
      </x:c>
      <x:c r="K62" s="5" t="n">
        <x:v>3875.52</x:v>
      </x:c>
      <x:c r="L62" s="7" t="n">
        <x:f>K62/J62-1</x:f>
        <x:v>0.20110828049165996</x:v>
      </x:c>
      <x:c r="M62" s="1" t="str">
        <x:v>已完成</x:v>
      </x:c>
      <x:c r="N62" s="1" t="n">
        <x:v>64</x:v>
      </x:c>
      <x:c r="O62" s="1" t="n">
        <x:v>99</x:v>
      </x:c>
      <x:c r="P62" s="7" t="n">
        <x:v>-0.04424434226321261</x:v>
      </x:c>
      <x:c r="Q62" s="7" t="n">
        <x:v>-0.004946352529891951</x:v>
      </x:c>
      <x:c r="R62" s="1" t="str">
        <x:v>2013-07-04</x:v>
      </x:c>
      <x:c r="S62" s="1" t="str">
        <x:v>2013-07-08</x:v>
      </x:c>
    </x:row>
    <x:row r="63" ht="25" customHeight="1">
      <x:c r="A63" s="1" t="str">
        <x:v>sh000905</x:v>
      </x:c>
      <x:c r="B63" s="1" t="str">
        <x:v>中证500</x:v>
      </x:c>
      <x:c r="C63" s="1" t="str">
        <x:v>2015-06</x:v>
      </x:c>
      <x:c r="D63" s="1" t="n">
        <x:v>1</x:v>
      </x:c>
      <x:c r="E63" s="7" t="n">
        <x:f>'月度收益'!H824</x:f>
        <x:v>-0.10643583479233654</x:v>
      </x:c>
      <x:c r="F63" s="1" t="str">
        <x:v>2015-06-30</x:v>
      </x:c>
      <x:c r="G63" s="1" t="str">
        <x:v>2015-07-01</x:v>
      </x:c>
      <x:c r="H63" s="1" t="str">
        <x:v>2015-10-01</x:v>
      </x:c>
      <x:c r="I63" s="1" t="str">
        <x:v>2015-10-08</x:v>
      </x:c>
      <x:c r="J63" s="5" t="n">
        <x:v>8808.51</x:v>
      </x:c>
      <x:c r="K63" s="5" t="n">
        <x:v>6322.54</x:v>
      </x:c>
      <x:c r="L63" s="7" t="n">
        <x:f>K63/J63-1</x:f>
        <x:v>-0.28222366779398556</x:v>
      </x:c>
      <x:c r="M63" s="1" t="str">
        <x:v>已完成</x:v>
      </x:c>
      <x:c r="N63" s="1" t="n">
        <x:v>64</x:v>
      </x:c>
      <x:c r="O63" s="1" t="n">
        <x:v>99</x:v>
      </x:c>
      <x:c r="P63" s="7" t="n">
        <x:v>-0.3528648165741922</x:v>
      </x:c>
      <x:c r="Q63" s="7" t="n">
        <x:v>-0.3540371754133219</x:v>
      </x:c>
      <x:c r="R63" s="1" t="str">
        <x:v>2015-08-17</x:v>
      </x:c>
      <x:c r="S63" s="1" t="str">
        <x:v>2015-09-15</x:v>
      </x:c>
    </x:row>
    <x:row r="64" ht="25" customHeight="1">
      <x:c r="A64" s="1" t="str">
        <x:v>sh000905</x:v>
      </x:c>
      <x:c r="B64" s="1" t="str">
        <x:v>中证500</x:v>
      </x:c>
      <x:c r="C64" s="1" t="str">
        <x:v>2015-07</x:v>
      </x:c>
      <x:c r="D64" s="1" t="n">
        <x:v>1</x:v>
      </x:c>
      <x:c r="E64" s="7" t="n">
        <x:f>'月度收益'!H825</x:f>
        <x:v>-0.13237787474090557</x:v>
      </x:c>
      <x:c r="F64" s="1" t="str">
        <x:v>2015-07-31</x:v>
      </x:c>
      <x:c r="G64" s="1" t="str">
        <x:v>2015-08-03</x:v>
      </x:c>
      <x:c r="H64" s="1" t="str">
        <x:v>2015-11-03</x:v>
      </x:c>
      <x:c r="I64" s="1" t="str">
        <x:v>2015-11-03</x:v>
      </x:c>
      <x:c r="J64" s="5" t="n">
        <x:v>7605.89</x:v>
      </x:c>
      <x:c r="K64" s="5" t="n">
        <x:v>6956.89</x:v>
      </x:c>
      <x:c r="L64" s="7" t="n">
        <x:f>K64/J64-1</x:f>
        <x:v>-0.08532860717154733</x:v>
      </x:c>
      <x:c r="M64" s="1" t="str">
        <x:v>已完成</x:v>
      </x:c>
      <x:c r="N64" s="1" t="n">
        <x:v>59</x:v>
      </x:c>
      <x:c r="O64" s="1" t="n">
        <x:v>92</x:v>
      </x:c>
      <x:c r="P64" s="7" t="n">
        <x:v>-0.3528648165741922</x:v>
      </x:c>
      <x:c r="Q64" s="7" t="n">
        <x:v>-0.2518995147181986</x:v>
      </x:c>
      <x:c r="R64" s="1" t="str">
        <x:v>2015-08-17</x:v>
      </x:c>
      <x:c r="S64" s="1" t="str">
        <x:v>2015-09-15</x:v>
      </x:c>
    </x:row>
    <x:row r="65" ht="25" customHeight="1">
      <x:c r="A65" s="1" t="str">
        <x:v>sh000905</x:v>
      </x:c>
      <x:c r="B65" s="1" t="str">
        <x:v>中证500</x:v>
      </x:c>
      <x:c r="C65" s="1" t="str">
        <x:v>2015-08</x:v>
      </x:c>
      <x:c r="D65" s="1" t="n">
        <x:v>1</x:v>
      </x:c>
      <x:c r="E65" s="7" t="n">
        <x:f>'月度收益'!H826</x:f>
        <x:v>-0.14827761140718465</x:v>
      </x:c>
      <x:c r="F65" s="1" t="str">
        <x:v>2015-08-31</x:v>
      </x:c>
      <x:c r="G65" s="1" t="str">
        <x:v>2015-09-01</x:v>
      </x:c>
      <x:c r="H65" s="1" t="str">
        <x:v>2015-12-01</x:v>
      </x:c>
      <x:c r="I65" s="1" t="str">
        <x:v>2015-12-01</x:v>
      </x:c>
      <x:c r="J65" s="5" t="n">
        <x:v>6507.88</x:v>
      </x:c>
      <x:c r="K65" s="5" t="n">
        <x:v>7403.94</x:v>
      </x:c>
      <x:c r="L65" s="7" t="n">
        <x:f>K65/J65-1</x:f>
        <x:v>0.13768846383153943</x:v>
      </x:c>
      <x:c r="M65" s="1" t="str">
        <x:v>已完成</x:v>
      </x:c>
      <x:c r="N65" s="1" t="n">
        <x:v>58</x:v>
      </x:c>
      <x:c r="O65" s="1" t="n">
        <x:v>91</x:v>
      </x:c>
      <x:c r="P65" s="7" t="n">
        <x:v>-0.1286793944750505</x:v>
      </x:c>
      <x:c r="Q65" s="7" t="n">
        <x:v>-0.12567994492830226</x:v>
      </x:c>
      <x:c r="R65" s="1" t="str">
        <x:v>2015-09-09</x:v>
      </x:c>
      <x:c r="S65" s="1" t="str">
        <x:v>2015-09-15</x:v>
      </x:c>
    </x:row>
    <x:row r="66" ht="25" customHeight="1">
      <x:c r="A66" s="1" t="str">
        <x:v>sh000905</x:v>
      </x:c>
      <x:c r="B66" s="1" t="str">
        <x:v>中证500</x:v>
      </x:c>
      <x:c r="C66" s="1" t="str">
        <x:v>2016-01</x:v>
      </x:c>
      <x:c r="D66" s="1" t="n">
        <x:v>1</x:v>
      </x:c>
      <x:c r="E66" s="7" t="n">
        <x:f>'月度收益'!H831</x:f>
        <x:v>-0.2820487575629882</x:v>
      </x:c>
      <x:c r="F66" s="1" t="str">
        <x:v>2016-01-29</x:v>
      </x:c>
      <x:c r="G66" s="1" t="str">
        <x:v>2016-02-01</x:v>
      </x:c>
      <x:c r="H66" s="1" t="str">
        <x:v>2016-05-01</x:v>
      </x:c>
      <x:c r="I66" s="1" t="str">
        <x:v>2016-05-03</x:v>
      </x:c>
      <x:c r="J66" s="5" t="n">
        <x:v>5458.6</x:v>
      </x:c>
      <x:c r="K66" s="5" t="n">
        <x:v>5991.83</x:v>
      </x:c>
      <x:c r="L66" s="7" t="n">
        <x:f>K66/J66-1</x:f>
        <x:v>0.09768621990986692</x:v>
      </x:c>
      <x:c r="M66" s="1" t="str">
        <x:v>已完成</x:v>
      </x:c>
      <x:c r="N66" s="1" t="n">
        <x:v>59</x:v>
      </x:c>
      <x:c r="O66" s="1" t="n">
        <x:v>92</x:v>
      </x:c>
      <x:c r="P66" s="7" t="n">
        <x:v>-0.12446490286432421</x:v>
      </x:c>
      <x:c r="Q66" s="7" t="n">
        <x:v>-0.031557542226944624</x:v>
      </x:c>
      <x:c r="R66" s="1" t="str">
        <x:v>2016-02-24</x:v>
      </x:c>
      <x:c r="S66" s="1" t="str">
        <x:v>2016-02-29</x:v>
      </x:c>
    </x:row>
    <x:row r="67" ht="25" customHeight="1">
      <x:c r="A67" s="1" t="str">
        <x:v>sh000905</x:v>
      </x:c>
      <x:c r="B67" s="1" t="str">
        <x:v>中证500</x:v>
      </x:c>
      <x:c r="C67" s="1" t="str">
        <x:v>2018-10</x:v>
      </x:c>
      <x:c r="D67" s="1" t="n">
        <x:v>1</x:v>
      </x:c>
      <x:c r="E67" s="7" t="n">
        <x:f>'月度收益'!H864</x:f>
        <x:v>-0.11002076767491598</x:v>
      </x:c>
      <x:c r="F67" s="1" t="str">
        <x:v>2018-10-31</x:v>
      </x:c>
      <x:c r="G67" s="1" t="str">
        <x:v>2018-11-01</x:v>
      </x:c>
      <x:c r="H67" s="1" t="str">
        <x:v>2019-02-01</x:v>
      </x:c>
      <x:c r="I67" s="1" t="str">
        <x:v>2019-02-01</x:v>
      </x:c>
      <x:c r="J67" s="5" t="n">
        <x:v>4299.46</x:v>
      </x:c>
      <x:c r="K67" s="5" t="n">
        <x:v>4189.11</x:v>
      </x:c>
      <x:c r="L67" s="7" t="n">
        <x:f>K67/J67-1</x:f>
        <x:v>-0.025666013871509574</x:v>
      </x:c>
      <x:c r="M67" s="1" t="str">
        <x:v>已完成</x:v>
      </x:c>
      <x:c r="N67" s="1" t="n">
        <x:v>64</x:v>
      </x:c>
      <x:c r="O67" s="1" t="n">
        <x:v>92</x:v>
      </x:c>
      <x:c r="P67" s="7" t="n">
        <x:v>-0.11945216389694124</x:v>
      </x:c>
      <x:c r="Q67" s="7" t="n">
        <x:v>-0.05297642029464167</x:v>
      </x:c>
      <x:c r="R67" s="1" t="str">
        <x:v>2018-11-19</x:v>
      </x:c>
      <x:c r="S67" s="1" t="str">
        <x:v>2019-01-03</x:v>
      </x:c>
    </x:row>
    <x:row r="68" ht="25" customHeight="1">
      <x:c r="A68" s="1" t="str">
        <x:v>sh000905</x:v>
      </x:c>
      <x:c r="B68" s="1" t="str">
        <x:v>中证500</x:v>
      </x:c>
      <x:c r="C68" s="1" t="str">
        <x:v>2022-01</x:v>
      </x:c>
      <x:c r="D68" s="1" t="n">
        <x:v>1</x:v>
      </x:c>
      <x:c r="E68" s="7" t="n">
        <x:f>'月度收益'!H903</x:f>
        <x:v>-0.10583335598010701</x:v>
      </x:c>
      <x:c r="F68" s="1" t="str">
        <x:v>2022-01-28</x:v>
      </x:c>
      <x:c r="G68" s="1" t="str">
        <x:v>2022-02-07</x:v>
      </x:c>
      <x:c r="H68" s="1" t="str">
        <x:v>2022-05-07</x:v>
      </x:c>
      <x:c r="I68" s="1" t="str">
        <x:v>2022-05-09</x:v>
      </x:c>
      <x:c r="J68" s="5" t="n">
        <x:v>6664.57</x:v>
      </x:c>
      <x:c r="K68" s="5" t="n">
        <x:v>5552.48</x:v>
      </x:c>
      <x:c r="L68" s="7" t="n">
        <x:f>K68/J68-1</x:f>
        <x:v>-0.16686597935050573</x:v>
      </x:c>
      <x:c r="M68" s="1" t="str">
        <x:v>已完成</x:v>
      </x:c>
      <x:c r="N68" s="1" t="n">
        <x:v>60</x:v>
      </x:c>
      <x:c r="O68" s="1" t="n">
        <x:v>91</x:v>
      </x:c>
      <x:c r="P68" s="7" t="n">
        <x:v>-0.24006231651329524</x:v>
      </x:c>
      <x:c r="Q68" s="7" t="n">
        <x:v>-0.22598457214794054</x:v>
      </x:c>
      <x:c r="R68" s="1" t="str">
        <x:v>2022-02-23</x:v>
      </x:c>
      <x:c r="S68" s="1" t="str">
        <x:v>2022-04-26</x:v>
      </x:c>
    </x:row>
    <x:row r="69" ht="25" customHeight="1">
      <x:c r="A69" s="1" t="str">
        <x:v>sh000905</x:v>
      </x:c>
      <x:c r="B69" s="1" t="str">
        <x:v>中证500</x:v>
      </x:c>
      <x:c r="C69" s="1" t="str">
        <x:v>2022-04</x:v>
      </x:c>
      <x:c r="D69" s="1" t="n">
        <x:v>1</x:v>
      </x:c>
      <x:c r="E69" s="7" t="n">
        <x:f>'月度收益'!H906</x:f>
        <x:v>-0.11020781159090343</x:v>
      </x:c>
      <x:c r="F69" s="1" t="str">
        <x:v>2022-04-29</x:v>
      </x:c>
      <x:c r="G69" s="1" t="str">
        <x:v>2022-05-05</x:v>
      </x:c>
      <x:c r="H69" s="1" t="str">
        <x:v>2022-08-05</x:v>
      </x:c>
      <x:c r="I69" s="1" t="str">
        <x:v>2022-08-05</x:v>
      </x:c>
      <x:c r="J69" s="5" t="n">
        <x:v>5612.5</x:v>
      </x:c>
      <x:c r="K69" s="5" t="n">
        <x:v>6175.48</x:v>
      </x:c>
      <x:c r="L69" s="7" t="n">
        <x:f>K69/J69-1</x:f>
        <x:v>0.10030824053452103</x:v>
      </x:c>
      <x:c r="M69" s="1" t="str">
        <x:v>已完成</x:v>
      </x:c>
      <x:c r="N69" s="1" t="n">
        <x:v>65</x:v>
      </x:c>
      <x:c r="O69" s="1" t="n">
        <x:v>92</x:v>
      </x:c>
      <x:c r="P69" s="7" t="n">
        <x:v>-0.061139361012274684</x:v>
      </x:c>
      <x:c r="Q69" s="7" t="n">
        <x:v>-0.016575501113585744</x:v>
      </x:c>
      <x:c r="R69" s="1" t="str">
        <x:v>2022-07-04</x:v>
      </x:c>
      <x:c r="S69" s="1" t="str">
        <x:v>2022-08-03</x:v>
      </x:c>
    </x:row>
    <x:row r="70" ht="25" customHeight="1">
      <x:c r="A70" s="1" t="str">
        <x:v>sh000905</x:v>
      </x:c>
      <x:c r="B70" s="1" t="str">
        <x:v>中证500</x:v>
      </x:c>
      <x:c r="C70" s="1" t="str">
        <x:v>2024-01</x:v>
      </x:c>
      <x:c r="D70" s="1" t="n">
        <x:v>1</x:v>
      </x:c>
      <x:c r="E70" s="7" t="n">
        <x:f>'月度收益'!H927</x:f>
        <x:v>-0.13487179581634967</x:v>
      </x:c>
      <x:c r="F70" s="1" t="str">
        <x:v>2024-01-31</x:v>
      </x:c>
      <x:c r="G70" s="1" t="str">
        <x:v>2024-02-01</x:v>
      </x:c>
      <x:c r="H70" s="1" t="str">
        <x:v>2024-05-01</x:v>
      </x:c>
      <x:c r="I70" s="1" t="str">
        <x:v>2024-05-06</x:v>
      </x:c>
      <x:c r="J70" s="5" t="n">
        <x:v>4667.91</x:v>
      </x:c>
      <x:c r="K70" s="5" t="n">
        <x:v>5498.44</x:v>
      </x:c>
      <x:c r="L70" s="7" t="n">
        <x:f>K70/J70-1</x:f>
        <x:v>0.17792331043229193</x:v>
      </x:c>
      <x:c r="M70" s="1" t="str">
        <x:v>已完成</x:v>
      </x:c>
      <x:c r="N70" s="1" t="n">
        <x:v>56</x:v>
      </x:c>
      <x:c r="O70" s="1" t="n">
        <x:v>95</x:v>
      </x:c>
      <x:c r="P70" s="7" t="n">
        <x:v>-0.06724669663287175</x:v>
      </x:c>
      <x:c r="Q70" s="7" t="n">
        <x:v>-0.08283578732237773</x:v>
      </x:c>
      <x:c r="R70" s="1" t="str">
        <x:v>2024-03-18</x:v>
      </x:c>
      <x:c r="S70" s="1" t="str">
        <x:v>2024-03-27</x:v>
      </x:c>
    </x:row>
    <x:row r="71" ht="25" customHeight="1">
      <x:c r="A71" s="1" t="str">
        <x:v>sh000905</x:v>
      </x:c>
      <x:c r="B71" s="1" t="str">
        <x:v>中证500</x:v>
      </x:c>
      <x:c r="C71" s="1" t="str">
        <x:v>2026-03</x:v>
      </x:c>
      <x:c r="D71" s="1" t="n">
        <x:v>1</x:v>
      </x:c>
      <x:c r="E71" s="7" t="n">
        <x:f>'月度收益'!H953</x:f>
        <x:v>-0.12024323060132014</x:v>
      </x:c>
      <x:c r="F71" s="1" t="str">
        <x:v>2026-03-31</x:v>
      </x:c>
      <x:c r="G71" s="1" t="str">
        <x:v>2026-04-01</x:v>
      </x:c>
      <x:c r="H71" s="1" t="str">
        <x:v>2026-07-01</x:v>
      </x:c>
      <x:c r="I71" s="1" t="str">
        <x:v>2026-07-01</x:v>
      </x:c>
      <x:c r="J71" s="5" t="n">
        <x:v>7764.34</x:v>
      </x:c>
      <x:c r="K71" s="5" t="n">
        <x:v>9052.04</x:v>
      </x:c>
      <x:c r="L71" s="7" t="n">
        <x:f>K71/J71-1</x:f>
        <x:v>0.16584796647235955</x:v>
      </x:c>
      <x:c r="M71" s="1" t="str">
        <x:v>已完成</x:v>
      </x:c>
      <x:c r="N71" s="1" t="n">
        <x:v>60</x:v>
      </x:c>
      <x:c r="O71" s="1" t="n">
        <x:v>91</x:v>
      </x:c>
      <x:c r="P71" s="7" t="n">
        <x:v>-0.10706036168571376</x:v>
      </x:c>
      <x:c r="Q71" s="7" t="n">
        <x:v>-0.03168202319836588</x:v>
      </x:c>
      <x:c r="R71" s="1" t="str">
        <x:v>2026-05-13</x:v>
      </x:c>
      <x:c r="S71" s="1" t="str">
        <x:v>2026-06-08</x:v>
      </x:c>
    </x:row>
    <x:row r="72" ht="25" customHeight="1">
      <x:c r="A72" s="1" t="str">
        <x:v>sh000905</x:v>
      </x:c>
      <x:c r="B72" s="1" t="str">
        <x:v>中证500</x:v>
      </x:c>
      <x:c r="C72" s="1" t="str">
        <x:v>2026-07</x:v>
      </x:c>
      <x:c r="D72" s="1" t="n">
        <x:v>1</x:v>
      </x:c>
      <x:c r="E72" s="7" t="n">
        <x:f>'月度收益'!H957</x:f>
        <x:v>-0.17022758426729911</x:v>
      </x:c>
      <x:c r="F72" s="1" t="str">
        <x:v>2026-07-31</x:v>
      </x:c>
      <x:c r="G72" s="1" t="str">
        <x:v>2026-08-03</x:v>
      </x:c>
      <x:c r="H72" s="1" t="str">
        <x:v>2026-11-03</x:v>
      </x:c>
      <x:c r="I72" s="1"/>
      <x:c r="J72" s="5" t="n">
        <x:v>7457.12</x:v>
      </x:c>
      <x:c r="K72" s="5"/>
      <x:c r="L72" s="7" t="str">
        <x:f>"观察中"</x:f>
        <x:v>观察中</x:v>
      </x:c>
      <x:c r="M72" s="1" t="str">
        <x:v>观察中</x:v>
      </x:c>
      <x:c r="N72" s="1" t="n">
        <x:v>44</x:v>
      </x:c>
      <x:c r="O72" s="1"/>
      <x:c r="P72" s="7" t="n">
        <x:v>-0.11438621613168076</x:v>
      </x:c>
      <x:c r="Q72" s="7" t="n">
        <x:v>-0.05480265839895293</x:v>
      </x:c>
      <x:c r="R72" s="1" t="str">
        <x:v>2026-08-17</x:v>
      </x:c>
      <x:c r="S72" s="1" t="str">
        <x:v>2026-10-08</x:v>
      </x:c>
    </x:row>
    <x:row r="73" ht="25" customHeight="1">
      <x:c r="A73" s="1" t="str">
        <x:v>sh000852</x:v>
      </x:c>
      <x:c r="B73" s="1" t="str">
        <x:v>中证1000</x:v>
      </x:c>
      <x:c r="C73" s="1" t="str">
        <x:v>2005-03</x:v>
      </x:c>
      <x:c r="D73" s="1" t="n">
        <x:v>0</x:v>
      </x:c>
      <x:c r="E73" s="7" t="n">
        <x:f>'月度收益'!H963</x:f>
        <x:v>-0.14424216518681154</x:v>
      </x:c>
      <x:c r="F73" s="1" t="str">
        <x:v>2005-03-31</x:v>
      </x:c>
      <x:c r="G73" s="1" t="str">
        <x:v>2005-04-01</x:v>
      </x:c>
      <x:c r="H73" s="1" t="str">
        <x:v>2005-07-01</x:v>
      </x:c>
      <x:c r="I73" s="1" t="str">
        <x:v>2005-07-01</x:v>
      </x:c>
      <x:c r="J73" s="5" t="n">
        <x:v>880.26</x:v>
      </x:c>
      <x:c r="K73" s="5" t="n">
        <x:v>779.48</x:v>
      </x:c>
      <x:c r="L73" s="7" t="n">
        <x:f>K73/J73-1</x:f>
        <x:v>-0.11448890100652076</x:v>
      </x:c>
      <x:c r="M73" s="1" t="str">
        <x:v>已完成</x:v>
      </x:c>
      <x:c r="N73" s="1" t="n">
        <x:v>60</x:v>
      </x:c>
      <x:c r="O73" s="1" t="n">
        <x:v>91</x:v>
      </x:c>
      <x:c r="P73" s="7" t="n">
        <x:v>-0.1879352339667586</x:v>
      </x:c>
      <x:c r="Q73" s="7" t="n">
        <x:v>-0.155170063390362</x:v>
      </x:c>
      <x:c r="R73" s="1" t="str">
        <x:v>2005-04-11</x:v>
      </x:c>
      <x:c r="S73" s="1" t="str">
        <x:v>2005-06-02</x:v>
      </x:c>
    </x:row>
    <x:row r="74" ht="25" customHeight="1">
      <x:c r="A74" s="1" t="str">
        <x:v>sh000852</x:v>
      </x:c>
      <x:c r="B74" s="1" t="str">
        <x:v>中证1000</x:v>
      </x:c>
      <x:c r="C74" s="1" t="str">
        <x:v>2007-06</x:v>
      </x:c>
      <x:c r="D74" s="1" t="n">
        <x:v>0</x:v>
      </x:c>
      <x:c r="E74" s="7" t="n">
        <x:f>'月度收益'!H990</x:f>
        <x:v>-0.1905958897778508</x:v>
      </x:c>
      <x:c r="F74" s="1" t="str">
        <x:v>2007-06-29</x:v>
      </x:c>
      <x:c r="G74" s="1" t="str">
        <x:v>2007-07-02</x:v>
      </x:c>
      <x:c r="H74" s="1" t="str">
        <x:v>2007-10-02</x:v>
      </x:c>
      <x:c r="I74" s="1" t="str">
        <x:v>2007-10-08</x:v>
      </x:c>
      <x:c r="J74" s="5" t="n">
        <x:v>3124.74</x:v>
      </x:c>
      <x:c r="K74" s="5" t="n">
        <x:v>4612.92</x:v>
      </x:c>
      <x:c r="L74" s="7" t="n">
        <x:f>K74/J74-1</x:f>
        <x:v>0.476257224601087</x:v>
      </x:c>
      <x:c r="M74" s="1" t="str">
        <x:v>已完成</x:v>
      </x:c>
      <x:c r="N74" s="1" t="n">
        <x:v>65</x:v>
      </x:c>
      <x:c r="O74" s="1" t="n">
        <x:v>98</x:v>
      </x:c>
      <x:c r="P74" s="7" t="n">
        <x:v>-0.09444227101569758</x:v>
      </x:c>
      <x:c r="Q74" s="7" t="n">
        <x:v>-0.07316768755160419</x:v>
      </x:c>
      <x:c r="R74" s="1" t="str">
        <x:v>2007-07-03</x:v>
      </x:c>
      <x:c r="S74" s="1" t="str">
        <x:v>2007-07-05</x:v>
      </x:c>
    </x:row>
    <x:row r="75" ht="25" customHeight="1">
      <x:c r="A75" s="1" t="str">
        <x:v>sh000852</x:v>
      </x:c>
      <x:c r="B75" s="1" t="str">
        <x:v>中证1000</x:v>
      </x:c>
      <x:c r="C75" s="1" t="str">
        <x:v>2007-10</x:v>
      </x:c>
      <x:c r="D75" s="1" t="n">
        <x:v>0</x:v>
      </x:c>
      <x:c r="E75" s="7" t="n">
        <x:f>'月度收益'!H994</x:f>
        <x:v>-0.1249749041995094</x:v>
      </x:c>
      <x:c r="F75" s="1" t="str">
        <x:v>2007-10-31</x:v>
      </x:c>
      <x:c r="G75" s="1" t="str">
        <x:v>2007-11-01</x:v>
      </x:c>
      <x:c r="H75" s="1" t="str">
        <x:v>2008-02-01</x:v>
      </x:c>
      <x:c r="I75" s="1" t="str">
        <x:v>2008-02-01</x:v>
      </x:c>
      <x:c r="J75" s="5" t="n">
        <x:v>4016.72</x:v>
      </x:c>
      <x:c r="K75" s="5" t="n">
        <x:v>4201.99</x:v>
      </x:c>
      <x:c r="L75" s="7" t="n">
        <x:f>K75/J75-1</x:f>
        <x:v>0.046124698759186566</x:v>
      </x:c>
      <x:c r="M75" s="1" t="str">
        <x:v>已完成</x:v>
      </x:c>
      <x:c r="N75" s="1" t="n">
        <x:v>64</x:v>
      </x:c>
      <x:c r="O75" s="1" t="n">
        <x:v>92</x:v>
      </x:c>
      <x:c r="P75" s="7" t="n">
        <x:v>-0.15958855341685474</x:v>
      </x:c>
      <x:c r="Q75" s="7" t="n">
        <x:v>-0.09725099085821254</x:v>
      </x:c>
      <x:c r="R75" s="1" t="str">
        <x:v>2008-01-15</x:v>
      </x:c>
      <x:c r="S75" s="1" t="str">
        <x:v>2008-02-01</x:v>
      </x:c>
    </x:row>
    <x:row r="76" ht="25" customHeight="1">
      <x:c r="A76" s="1" t="str">
        <x:v>sh000852</x:v>
      </x:c>
      <x:c r="B76" s="1" t="str">
        <x:v>中证1000</x:v>
      </x:c>
      <x:c r="C76" s="1" t="str">
        <x:v>2008-03</x:v>
      </x:c>
      <x:c r="D76" s="1" t="n">
        <x:v>0</x:v>
      </x:c>
      <x:c r="E76" s="7" t="n">
        <x:f>'月度收益'!H999</x:f>
        <x:v>-0.16892999952652943</x:v>
      </x:c>
      <x:c r="F76" s="1" t="str">
        <x:v>2008-03-31</x:v>
      </x:c>
      <x:c r="G76" s="1" t="str">
        <x:v>2008-04-01</x:v>
      </x:c>
      <x:c r="H76" s="1" t="str">
        <x:v>2008-07-01</x:v>
      </x:c>
      <x:c r="I76" s="1" t="str">
        <x:v>2008-07-01</x:v>
      </x:c>
      <x:c r="J76" s="5" t="n">
        <x:v>3830.13</x:v>
      </x:c>
      <x:c r="K76" s="5" t="n">
        <x:v>2580.14</x:v>
      </x:c>
      <x:c r="L76" s="7" t="n">
        <x:f>K76/J76-1</x:f>
        <x:v>-0.3263570688201184</x:v>
      </x:c>
      <x:c r="M76" s="1" t="str">
        <x:v>已完成</x:v>
      </x:c>
      <x:c r="N76" s="1" t="n">
        <x:v>61</x:v>
      </x:c>
      <x:c r="O76" s="1" t="n">
        <x:v>91</x:v>
      </x:c>
      <x:c r="P76" s="7" t="n">
        <x:v>-0.3392140743602976</x:v>
      </x:c>
      <x:c r="Q76" s="7" t="n">
        <x:v>-0.3559226449232794</x:v>
      </x:c>
      <x:c r="R76" s="1" t="str">
        <x:v>2008-05-14</x:v>
      </x:c>
      <x:c r="S76" s="1" t="str">
        <x:v>2008-06-23</x:v>
      </x:c>
    </x:row>
    <x:row r="77" ht="25" customHeight="1">
      <x:c r="A77" s="1" t="str">
        <x:v>sh000852</x:v>
      </x:c>
      <x:c r="B77" s="1" t="str">
        <x:v>中证1000</x:v>
      </x:c>
      <x:c r="C77" s="1" t="str">
        <x:v>2008-06</x:v>
      </x:c>
      <x:c r="D77" s="1" t="n">
        <x:v>0</x:v>
      </x:c>
      <x:c r="E77" s="7" t="n">
        <x:f>'月度收益'!H1002</x:f>
        <x:v>-0.26440613201628815</x:v>
      </x:c>
      <x:c r="F77" s="1" t="str">
        <x:v>2008-06-30</x:v>
      </x:c>
      <x:c r="G77" s="1" t="str">
        <x:v>2008-07-01</x:v>
      </x:c>
      <x:c r="H77" s="1" t="str">
        <x:v>2008-10-01</x:v>
      </x:c>
      <x:c r="I77" s="1" t="str">
        <x:v>2008-10-06</x:v>
      </x:c>
      <x:c r="J77" s="5" t="n">
        <x:v>2580.14</x:v>
      </x:c>
      <x:c r="K77" s="5" t="n">
        <x:v>1879.29</x:v>
      </x:c>
      <x:c r="L77" s="7" t="n">
        <x:f>K77/J77-1</x:f>
        <x:v>-0.2716325470710892</x:v>
      </x:c>
      <x:c r="M77" s="1" t="str">
        <x:v>已完成</x:v>
      </x:c>
      <x:c r="N77" s="1" t="n">
        <x:v>63</x:v>
      </x:c>
      <x:c r="O77" s="1" t="n">
        <x:v>97</x:v>
      </x:c>
      <x:c r="P77" s="7" t="n">
        <x:v>-0.43380958527358837</x:v>
      </x:c>
      <x:c r="Q77" s="7" t="n">
        <x:v>-0.3745106854666801</x:v>
      </x:c>
      <x:c r="R77" s="1" t="str">
        <x:v>2008-07-28</x:v>
      </x:c>
      <x:c r="S77" s="1" t="str">
        <x:v>2008-09-18</x:v>
      </x:c>
    </x:row>
    <x:row r="78" ht="25" customHeight="1">
      <x:c r="A78" s="1" t="str">
        <x:v>sh000852</x:v>
      </x:c>
      <x:c r="B78" s="1" t="str">
        <x:v>中证1000</x:v>
      </x:c>
      <x:c r="C78" s="1" t="str">
        <x:v>2008-08</x:v>
      </x:c>
      <x:c r="D78" s="1" t="n">
        <x:v>0</x:v>
      </x:c>
      <x:c r="E78" s="7" t="n">
        <x:f>'月度收益'!H1004</x:f>
        <x:v>-0.25694929607282724</x:v>
      </x:c>
      <x:c r="F78" s="1" t="str">
        <x:v>2008-08-29</x:v>
      </x:c>
      <x:c r="G78" s="1" t="str">
        <x:v>2008-09-01</x:v>
      </x:c>
      <x:c r="H78" s="1" t="str">
        <x:v>2008-12-01</x:v>
      </x:c>
      <x:c r="I78" s="1" t="str">
        <x:v>2008-12-01</x:v>
      </x:c>
      <x:c r="J78" s="5" t="n">
        <x:v>2093.13</x:v>
      </x:c>
      <x:c r="K78" s="5" t="n">
        <x:v>1711.86</x:v>
      </x:c>
      <x:c r="L78" s="7" t="n">
        <x:f>K78/J78-1</x:f>
        <x:v>-0.18215304352811346</x:v>
      </x:c>
      <x:c r="M78" s="1" t="str">
        <x:v>已完成</x:v>
      </x:c>
      <x:c r="N78" s="1" t="n">
        <x:v>59</x:v>
      </x:c>
      <x:c r="O78" s="1" t="n">
        <x:v>91</x:v>
      </x:c>
      <x:c r="P78" s="7" t="n">
        <x:v>-0.34339959773162687</x:v>
      </x:c>
      <x:c r="Q78" s="7" t="n">
        <x:v>-0.35837238967479323</x:v>
      </x:c>
      <x:c r="R78" s="1" t="str">
        <x:v>2008-09-01</x:v>
      </x:c>
      <x:c r="S78" s="1" t="str">
        <x:v>2008-11-04</x:v>
      </x:c>
    </x:row>
    <x:row r="79" ht="25" customHeight="1">
      <x:c r="A79" s="1" t="str">
        <x:v>sh000852</x:v>
      </x:c>
      <x:c r="B79" s="1" t="str">
        <x:v>中证1000</x:v>
      </x:c>
      <x:c r="C79" s="1" t="str">
        <x:v>2008-10</x:v>
      </x:c>
      <x:c r="D79" s="1" t="n">
        <x:v>0</x:v>
      </x:c>
      <x:c r="E79" s="7" t="n">
        <x:f>'月度收益'!H1006</x:f>
        <x:v>-0.2663074941195491</x:v>
      </x:c>
      <x:c r="F79" s="1" t="str">
        <x:v>2008-10-31</x:v>
      </x:c>
      <x:c r="G79" s="1" t="str">
        <x:v>2008-11-03</x:v>
      </x:c>
      <x:c r="H79" s="1" t="str">
        <x:v>2009-02-03</x:v>
      </x:c>
      <x:c r="I79" s="1" t="str">
        <x:v>2009-02-03</x:v>
      </x:c>
      <x:c r="J79" s="5" t="n">
        <x:v>1397.76</x:v>
      </x:c>
      <x:c r="K79" s="5" t="n">
        <x:v>2193.04</x:v>
      </x:c>
      <x:c r="L79" s="7" t="n">
        <x:f>K79/J79-1</x:f>
        <x:v>0.5689674908424909</x:v>
      </x:c>
      <x:c r="M79" s="1" t="str">
        <x:v>已完成</x:v>
      </x:c>
      <x:c r="N79" s="1" t="n">
        <x:v>59</x:v>
      </x:c>
      <x:c r="O79" s="1" t="n">
        <x:v>92</x:v>
      </x:c>
      <x:c r="P79" s="7" t="n">
        <x:v>-0.11780890565746804</x:v>
      </x:c>
      <x:c r="Q79" s="7" t="n">
        <x:v>-0.03916981456043955</x:v>
      </x:c>
      <x:c r="R79" s="1" t="str">
        <x:v>2008-12-22</x:v>
      </x:c>
      <x:c r="S79" s="1" t="str">
        <x:v>2008-12-31</x:v>
      </x:c>
    </x:row>
    <x:row r="80" ht="25" customHeight="1">
      <x:c r="A80" s="1" t="str">
        <x:v>sh000852</x:v>
      </x:c>
      <x:c r="B80" s="1" t="str">
        <x:v>中证1000</x:v>
      </x:c>
      <x:c r="C80" s="1" t="str">
        <x:v>2009-08</x:v>
      </x:c>
      <x:c r="D80" s="1" t="n">
        <x:v>0</x:v>
      </x:c>
      <x:c r="E80" s="7" t="n">
        <x:f>'月度收益'!H1016</x:f>
        <x:v>-0.16122317477069448</x:v>
      </x:c>
      <x:c r="F80" s="1" t="str">
        <x:v>2009-08-31</x:v>
      </x:c>
      <x:c r="G80" s="1" t="str">
        <x:v>2009-09-01</x:v>
      </x:c>
      <x:c r="H80" s="1" t="str">
        <x:v>2009-12-01</x:v>
      </x:c>
      <x:c r="I80" s="1" t="str">
        <x:v>2009-12-01</x:v>
      </x:c>
      <x:c r="J80" s="5" t="n">
        <x:v>3129.71</x:v>
      </x:c>
      <x:c r="K80" s="5" t="n">
        <x:v>4268.19</x:v>
      </x:c>
      <x:c r="L80" s="7" t="n">
        <x:f>K80/J80-1</x:f>
        <x:v>0.3637653328902677</x:v>
      </x:c>
      <x:c r="M80" s="1" t="str">
        <x:v>已完成</x:v>
      </x:c>
      <x:c r="N80" s="1" t="n">
        <x:v>59</x:v>
      </x:c>
      <x:c r="O80" s="1" t="n">
        <x:v>91</x:v>
      </x:c>
      <x:c r="P80" s="7" t="n">
        <x:v>-0.13911307030370745</x:v>
      </x:c>
      <x:c r="Q80" s="7" t="n">
        <x:v>-0.014170642008364931</x:v>
      </x:c>
      <x:c r="R80" s="1" t="str">
        <x:v>2009-09-17</x:v>
      </x:c>
      <x:c r="S80" s="1" t="str">
        <x:v>2009-09-29</x:v>
      </x:c>
    </x:row>
    <x:row r="81" ht="25" customHeight="1">
      <x:c r="A81" s="1" t="str">
        <x:v>sh000852</x:v>
      </x:c>
      <x:c r="B81" s="1" t="str">
        <x:v>中证1000</x:v>
      </x:c>
      <x:c r="C81" s="1" t="str">
        <x:v>2010-06</x:v>
      </x:c>
      <x:c r="D81" s="1" t="n">
        <x:v>0</x:v>
      </x:c>
      <x:c r="E81" s="7" t="n">
        <x:f>'月度收益'!H1026</x:f>
        <x:v>-0.10055759573586254</x:v>
      </x:c>
      <x:c r="F81" s="1" t="str">
        <x:v>2010-06-30</x:v>
      </x:c>
      <x:c r="G81" s="1" t="str">
        <x:v>2010-07-01</x:v>
      </x:c>
      <x:c r="H81" s="1" t="str">
        <x:v>2010-10-01</x:v>
      </x:c>
      <x:c r="I81" s="1" t="str">
        <x:v>2010-10-08</x:v>
      </x:c>
      <x:c r="J81" s="5" t="n">
        <x:v>3722.41</x:v>
      </x:c>
      <x:c r="K81" s="5" t="n">
        <x:v>4819</x:v>
      </x:c>
      <x:c r="L81" s="7" t="n">
        <x:f>K81/J81-1</x:f>
        <x:v>0.2945914071797573</x:v>
      </x:c>
      <x:c r="M81" s="1" t="str">
        <x:v>已完成</x:v>
      </x:c>
      <x:c r="N81" s="1" t="n">
        <x:v>63</x:v>
      </x:c>
      <x:c r="O81" s="1" t="n">
        <x:v>99</x:v>
      </x:c>
      <x:c r="P81" s="7" t="n">
        <x:v>-0.061245951120440734</x:v>
      </x:c>
      <x:c r="Q81" s="7" t="n">
        <x:v>-0.061828224188093084</x:v>
      </x:c>
      <x:c r="R81" s="1" t="str">
        <x:v>2010-09-14</x:v>
      </x:c>
      <x:c r="S81" s="1" t="str">
        <x:v>2010-09-21</x:v>
      </x:c>
    </x:row>
    <x:row r="82" ht="25" customHeight="1">
      <x:c r="A82" s="1" t="str">
        <x:v>sh000852</x:v>
      </x:c>
      <x:c r="B82" s="1" t="str">
        <x:v>中证1000</x:v>
      </x:c>
      <x:c r="C82" s="1" t="str">
        <x:v>2011-09</x:v>
      </x:c>
      <x:c r="D82" s="1" t="n">
        <x:v>0</x:v>
      </x:c>
      <x:c r="E82" s="7" t="n">
        <x:f>'月度收益'!H1041</x:f>
        <x:v>-0.13009275370775175</x:v>
      </x:c>
      <x:c r="F82" s="1" t="str">
        <x:v>2011-09-30</x:v>
      </x:c>
      <x:c r="G82" s="1" t="str">
        <x:v>2011-10-10</x:v>
      </x:c>
      <x:c r="H82" s="1" t="str">
        <x:v>2012-01-10</x:v>
      </x:c>
      <x:c r="I82" s="1" t="str">
        <x:v>2012-01-10</x:v>
      </x:c>
      <x:c r="J82" s="5" t="n">
        <x:v>4184.09</x:v>
      </x:c>
      <x:c r="K82" s="5" t="n">
        <x:v>3366.37</x:v>
      </x:c>
      <x:c r="L82" s="7" t="n">
        <x:f>K82/J82-1</x:f>
        <x:v>-0.19543556663456096</x:v>
      </x:c>
      <x:c r="M82" s="1" t="str">
        <x:v>已完成</x:v>
      </x:c>
      <x:c r="N82" s="1" t="n">
        <x:v>64</x:v>
      </x:c>
      <x:c r="O82" s="1" t="n">
        <x:v>92</x:v>
      </x:c>
      <x:c r="P82" s="7" t="n">
        <x:v>-0.3012584497938915</x:v>
      </x:c>
      <x:c r="Q82" s="7" t="n">
        <x:v>-0.25274551933634315</x:v>
      </x:c>
      <x:c r="R82" s="1" t="str">
        <x:v>2011-11-15</x:v>
      </x:c>
      <x:c r="S82" s="1" t="str">
        <x:v>2012-01-05</x:v>
      </x:c>
    </x:row>
    <x:row r="83" ht="25" customHeight="1">
      <x:c r="A83" s="1" t="str">
        <x:v>sh000852</x:v>
      </x:c>
      <x:c r="B83" s="1" t="str">
        <x:v>中证1000</x:v>
      </x:c>
      <x:c r="C83" s="1" t="str">
        <x:v>2011-12</x:v>
      </x:c>
      <x:c r="D83" s="1" t="n">
        <x:v>0</x:v>
      </x:c>
      <x:c r="E83" s="7" t="n">
        <x:f>'月度收益'!H1044</x:f>
        <x:v>-0.16998309366684916</x:v>
      </x:c>
      <x:c r="F83" s="1" t="str">
        <x:v>2011-12-30</x:v>
      </x:c>
      <x:c r="G83" s="1" t="str">
        <x:v>2012-01-04</x:v>
      </x:c>
      <x:c r="H83" s="1" t="str">
        <x:v>2012-04-04</x:v>
      </x:c>
      <x:c r="I83" s="1" t="str">
        <x:v>2012-04-05</x:v>
      </x:c>
      <x:c r="J83" s="5" t="n">
        <x:v>3478.34</x:v>
      </x:c>
      <x:c r="K83" s="5" t="n">
        <x:v>3562.15</x:v>
      </x:c>
      <x:c r="L83" s="7" t="n">
        <x:f>K83/J83-1</x:f>
        <x:v>0.024094826842689265</x:v>
      </x:c>
      <x:c r="M83" s="1" t="str">
        <x:v>已完成</x:v>
      </x:c>
      <x:c r="N83" s="1" t="n">
        <x:v>58</x:v>
      </x:c>
      <x:c r="O83" s="1" t="n">
        <x:v>92</x:v>
      </x:c>
      <x:c r="P83" s="7" t="n">
        <x:v>-0.1346629173886943</x:v>
      </x:c>
      <x:c r="Q83" s="7" t="n">
        <x:v>-0.10112869932209045</x:v>
      </x:c>
      <x:c r="R83" s="1" t="str">
        <x:v>2012-03-13</x:v>
      </x:c>
      <x:c r="S83" s="1" t="str">
        <x:v>2012-03-30</x:v>
      </x:c>
    </x:row>
    <x:row r="84" ht="25" customHeight="1">
      <x:c r="A84" s="1" t="str">
        <x:v>sh000852</x:v>
      </x:c>
      <x:c r="B84" s="1" t="str">
        <x:v>中证1000</x:v>
      </x:c>
      <x:c r="C84" s="1" t="str">
        <x:v>2012-11</x:v>
      </x:c>
      <x:c r="D84" s="1" t="n">
        <x:v>0</x:v>
      </x:c>
      <x:c r="E84" s="7" t="n">
        <x:f>'月度收益'!H1055</x:f>
        <x:v>-0.12338614145716931</x:v>
      </x:c>
      <x:c r="F84" s="1" t="str">
        <x:v>2012-11-30</x:v>
      </x:c>
      <x:c r="G84" s="1" t="str">
        <x:v>2012-12-03</x:v>
      </x:c>
      <x:c r="H84" s="1" t="str">
        <x:v>2013-03-03</x:v>
      </x:c>
      <x:c r="I84" s="1" t="str">
        <x:v>2013-03-04</x:v>
      </x:c>
      <x:c r="J84" s="5" t="n">
        <x:v>2926.67</x:v>
      </x:c>
      <x:c r="K84" s="5" t="n">
        <x:v>3847.07</x:v>
      </x:c>
      <x:c r="L84" s="7" t="n">
        <x:f>K84/J84-1</x:f>
        <x:v>0.3144871133404177</x:v>
      </x:c>
      <x:c r="M84" s="1" t="str">
        <x:v>已完成</x:v>
      </x:c>
      <x:c r="N84" s="1" t="n">
        <x:v>57</x:v>
      </x:c>
      <x:c r="O84" s="1" t="n">
        <x:v>91</x:v>
      </x:c>
      <x:c r="P84" s="7" t="n">
        <x:v>-0.041467136054808895</x:v>
      </x:c>
      <x:c r="Q84" s="7" t="n">
        <x:v>-0.0438723873890805</x:v>
      </x:c>
      <x:c r="R84" s="1" t="str">
        <x:v>2013-01-21</x:v>
      </x:c>
      <x:c r="S84" s="1" t="str">
        <x:v>2013-01-25</x:v>
      </x:c>
    </x:row>
    <x:row r="85" ht="25" customHeight="1">
      <x:c r="A85" s="1" t="str">
        <x:v>sh000852</x:v>
      </x:c>
      <x:c r="B85" s="1" t="str">
        <x:v>中证1000</x:v>
      </x:c>
      <x:c r="C85" s="1" t="str">
        <x:v>2013-06</x:v>
      </x:c>
      <x:c r="D85" s="1" t="n">
        <x:v>0</x:v>
      </x:c>
      <x:c r="E85" s="7" t="n">
        <x:f>'月度收益'!H1062</x:f>
        <x:v>-0.14458901393265688</x:v>
      </x:c>
      <x:c r="F85" s="1" t="str">
        <x:v>2013-06-28</x:v>
      </x:c>
      <x:c r="G85" s="1" t="str">
        <x:v>2013-07-01</x:v>
      </x:c>
      <x:c r="H85" s="1" t="str">
        <x:v>2013-10-01</x:v>
      </x:c>
      <x:c r="I85" s="1" t="str">
        <x:v>2013-10-08</x:v>
      </x:c>
      <x:c r="J85" s="5" t="n">
        <x:v>3594.87</x:v>
      </x:c>
      <x:c r="K85" s="5" t="n">
        <x:v>4476.78</x:v>
      </x:c>
      <x:c r="L85" s="7" t="n">
        <x:f>K85/J85-1</x:f>
        <x:v>0.2453245875372405</x:v>
      </x:c>
      <x:c r="M85" s="1" t="str">
        <x:v>已完成</x:v>
      </x:c>
      <x:c r="N85" s="1" t="n">
        <x:v>64</x:v>
      </x:c>
      <x:c r="O85" s="1" t="n">
        <x:v>99</x:v>
      </x:c>
      <x:c r="P85" s="7" t="n">
        <x:v>-0.04609535753146399</x:v>
      </x:c>
      <x:c r="Q85" s="7" t="n">
        <x:v>-0.0034688319744524687</x:v>
      </x:c>
      <x:c r="R85" s="1" t="str">
        <x:v>2013-07-04</x:v>
      </x:c>
      <x:c r="S85" s="1" t="str">
        <x:v>2013-07-08</x:v>
      </x:c>
    </x:row>
    <x:row r="86" ht="25" customHeight="1">
      <x:c r="A86" s="1" t="str">
        <x:v>sh000852</x:v>
      </x:c>
      <x:c r="B86" s="1" t="str">
        <x:v>中证1000</x:v>
      </x:c>
      <x:c r="C86" s="1" t="str">
        <x:v>2015-06</x:v>
      </x:c>
      <x:c r="D86" s="1" t="n">
        <x:v>1</x:v>
      </x:c>
      <x:c r="E86" s="7" t="n">
        <x:f>'月度收益'!H1086</x:f>
        <x:v>-0.12633096418956935</x:v>
      </x:c>
      <x:c r="F86" s="1" t="str">
        <x:v>2015-06-30</x:v>
      </x:c>
      <x:c r="G86" s="1" t="str">
        <x:v>2015-07-01</x:v>
      </x:c>
      <x:c r="H86" s="1" t="str">
        <x:v>2015-10-01</x:v>
      </x:c>
      <x:c r="I86" s="1" t="str">
        <x:v>2015-10-08</x:v>
      </x:c>
      <x:c r="J86" s="5" t="n">
        <x:v>11264.87</x:v>
      </x:c>
      <x:c r="K86" s="5" t="n">
        <x:v>7961</x:v>
      </x:c>
      <x:c r="L86" s="7" t="n">
        <x:f>K86/J86-1</x:f>
        <x:v>-0.2932896695656497</x:v>
      </x:c>
      <x:c r="M86" s="1" t="str">
        <x:v>已完成</x:v>
      </x:c>
      <x:c r="N86" s="1" t="n">
        <x:v>64</x:v>
      </x:c>
      <x:c r="O86" s="1" t="n">
        <x:v>99</x:v>
      </x:c>
      <x:c r="P86" s="7" t="n">
        <x:v>-0.375501004450118</x:v>
      </x:c>
      <x:c r="Q86" s="7" t="n">
        <x:v>-0.37780107537858854</x:v>
      </x:c>
      <x:c r="R86" s="1" t="str">
        <x:v>2015-07-01</x:v>
      </x:c>
      <x:c r="S86" s="1" t="str">
        <x:v>2015-09-15</x:v>
      </x:c>
    </x:row>
    <x:row r="87" ht="25" customHeight="1">
      <x:c r="A87" s="1" t="str">
        <x:v>sh000852</x:v>
      </x:c>
      <x:c r="B87" s="1" t="str">
        <x:v>中证1000</x:v>
      </x:c>
      <x:c r="C87" s="1" t="str">
        <x:v>2015-07</x:v>
      </x:c>
      <x:c r="D87" s="1" t="n">
        <x:v>1</x:v>
      </x:c>
      <x:c r="E87" s="7" t="n">
        <x:f>'月度收益'!H1087</x:f>
        <x:v>-0.1895915026793551</x:v>
      </x:c>
      <x:c r="F87" s="1" t="str">
        <x:v>2015-07-31</x:v>
      </x:c>
      <x:c r="G87" s="1" t="str">
        <x:v>2015-08-03</x:v>
      </x:c>
      <x:c r="H87" s="1" t="str">
        <x:v>2015-11-03</x:v>
      </x:c>
      <x:c r="I87" s="1" t="str">
        <x:v>2015-11-03</x:v>
      </x:c>
      <x:c r="J87" s="5" t="n">
        <x:v>9076.07</x:v>
      </x:c>
      <x:c r="K87" s="5" t="n">
        <x:v>8963.77</x:v>
      </x:c>
      <x:c r="L87" s="7" t="n">
        <x:f>K87/J87-1</x:f>
        <x:v>-0.012373196769086103</x:v>
      </x:c>
      <x:c r="M87" s="1" t="str">
        <x:v>已完成</x:v>
      </x:c>
      <x:c r="N87" s="1" t="n">
        <x:v>59</x:v>
      </x:c>
      <x:c r="O87" s="1" t="n">
        <x:v>92</x:v>
      </x:c>
      <x:c r="P87" s="7" t="n">
        <x:v>-0.3340136872309628</x:v>
      </x:c>
      <x:c r="Q87" s="7" t="n">
        <x:v>-0.22775055723457405</x:v>
      </x:c>
      <x:c r="R87" s="1" t="str">
        <x:v>2015-08-17</x:v>
      </x:c>
      <x:c r="S87" s="1" t="str">
        <x:v>2015-09-15</x:v>
      </x:c>
    </x:row>
    <x:row r="88" ht="25" customHeight="1">
      <x:c r="A88" s="1" t="str">
        <x:v>sh000852</x:v>
      </x:c>
      <x:c r="B88" s="1" t="str">
        <x:v>中证1000</x:v>
      </x:c>
      <x:c r="C88" s="1" t="str">
        <x:v>2015-08</x:v>
      </x:c>
      <x:c r="D88" s="1" t="n">
        <x:v>1</x:v>
      </x:c>
      <x:c r="E88" s="7" t="n">
        <x:f>'月度收益'!H1088</x:f>
        <x:v>-0.13803444193398695</x:v>
      </x:c>
      <x:c r="F88" s="1" t="str">
        <x:v>2015-08-31</x:v>
      </x:c>
      <x:c r="G88" s="1" t="str">
        <x:v>2015-09-01</x:v>
      </x:c>
      <x:c r="H88" s="1" t="str">
        <x:v>2015-12-01</x:v>
      </x:c>
      <x:c r="I88" s="1" t="str">
        <x:v>2015-12-01</x:v>
      </x:c>
      <x:c r="J88" s="5" t="n">
        <x:v>7848.66</x:v>
      </x:c>
      <x:c r="K88" s="5" t="n">
        <x:v>9985.79</x:v>
      </x:c>
      <x:c r="L88" s="7" t="n">
        <x:f>K88/J88-1</x:f>
        <x:v>0.27229234034854377</x:v>
      </x:c>
      <x:c r="M88" s="1" t="str">
        <x:v>已完成</x:v>
      </x:c>
      <x:c r="N88" s="1" t="n">
        <x:v>58</x:v>
      </x:c>
      <x:c r="O88" s="1" t="n">
        <x:v>91</x:v>
      </x:c>
      <x:c r="P88" s="7" t="n">
        <x:v>-0.1158553828017288</x:v>
      </x:c>
      <x:c r="Q88" s="7" t="n">
        <x:v>-0.10698259320699333</x:v>
      </x:c>
      <x:c r="R88" s="1" t="str">
        <x:v>2015-09-09</x:v>
      </x:c>
      <x:c r="S88" s="1" t="str">
        <x:v>2015-09-15</x:v>
      </x:c>
    </x:row>
    <x:row r="89" ht="25" customHeight="1">
      <x:c r="A89" s="1" t="str">
        <x:v>sh000852</x:v>
      </x:c>
      <x:c r="B89" s="1" t="str">
        <x:v>中证1000</x:v>
      </x:c>
      <x:c r="C89" s="1" t="str">
        <x:v>2016-01</x:v>
      </x:c>
      <x:c r="D89" s="1" t="n">
        <x:v>1</x:v>
      </x:c>
      <x:c r="E89" s="7" t="n">
        <x:f>'月度收益'!H1093</x:f>
        <x:v>-0.30417414865493786</x:v>
      </x:c>
      <x:c r="F89" s="1" t="str">
        <x:v>2016-01-29</x:v>
      </x:c>
      <x:c r="G89" s="1" t="str">
        <x:v>2016-02-01</x:v>
      </x:c>
      <x:c r="H89" s="1" t="str">
        <x:v>2016-05-01</x:v>
      </x:c>
      <x:c r="I89" s="1" t="str">
        <x:v>2016-05-03</x:v>
      </x:c>
      <x:c r="J89" s="5" t="n">
        <x:v>7358.75</x:v>
      </x:c>
      <x:c r="K89" s="5" t="n">
        <x:v>8290.79</x:v>
      </x:c>
      <x:c r="L89" s="7" t="n">
        <x:f>K89/J89-1</x:f>
        <x:v>0.12665738066927146</x:v>
      </x:c>
      <x:c r="M89" s="1" t="str">
        <x:v>已完成</x:v>
      </x:c>
      <x:c r="N89" s="1" t="n">
        <x:v>59</x:v>
      </x:c>
      <x:c r="O89" s="1" t="n">
        <x:v>92</x:v>
      </x:c>
      <x:c r="P89" s="7" t="n">
        <x:v>-0.14559845858334775</x:v>
      </x:c>
      <x:c r="Q89" s="7" t="n">
        <x:v>-0.0435046713096654</x:v>
      </x:c>
      <x:c r="R89" s="1" t="str">
        <x:v>2016-02-22</x:v>
      </x:c>
      <x:c r="S89" s="1" t="str">
        <x:v>2016-02-29</x:v>
      </x:c>
    </x:row>
    <x:row r="90" ht="25" customHeight="1">
      <x:c r="A90" s="1" t="str">
        <x:v>sh000852</x:v>
      </x:c>
      <x:c r="B90" s="1" t="str">
        <x:v>中证1000</x:v>
      </x:c>
      <x:c r="C90" s="1" t="str">
        <x:v>2018-06</x:v>
      </x:c>
      <x:c r="D90" s="1" t="n">
        <x:v>1</x:v>
      </x:c>
      <x:c r="E90" s="7" t="n">
        <x:f>'月度收益'!H1122</x:f>
        <x:v>-0.11189405827554921</x:v>
      </x:c>
      <x:c r="F90" s="1" t="str">
        <x:v>2018-06-29</x:v>
      </x:c>
      <x:c r="G90" s="1" t="str">
        <x:v>2018-07-02</x:v>
      </x:c>
      <x:c r="H90" s="1" t="str">
        <x:v>2018-10-02</x:v>
      </x:c>
      <x:c r="I90" s="1" t="str">
        <x:v>2018-10-08</x:v>
      </x:c>
      <x:c r="J90" s="5" t="n">
        <x:v>5601.74</x:v>
      </x:c>
      <x:c r="K90" s="5" t="n">
        <x:v>4906.1</x:v>
      </x:c>
      <x:c r="L90" s="7" t="n">
        <x:f>K90/J90-1</x:f>
        <x:v>-0.12418284318800932</x:v>
      </x:c>
      <x:c r="M90" s="1" t="str">
        <x:v>已完成</x:v>
      </x:c>
      <x:c r="N90" s="1" t="n">
        <x:v>64</x:v>
      </x:c>
      <x:c r="O90" s="1" t="n">
        <x:v>98</x:v>
      </x:c>
      <x:c r="P90" s="7" t="n">
        <x:v>-0.1502095648824484</x:v>
      </x:c>
      <x:c r="Q90" s="7" t="n">
        <x:v>-0.14081517528482212</x:v>
      </x:c>
      <x:c r="R90" s="1" t="str">
        <x:v>2018-07-25</x:v>
      </x:c>
      <x:c r="S90" s="1" t="str">
        <x:v>2018-09-17</x:v>
      </x:c>
    </x:row>
    <x:row r="91" ht="25" customHeight="1">
      <x:c r="A91" s="1" t="str">
        <x:v>sh000852</x:v>
      </x:c>
      <x:c r="B91" s="1" t="str">
        <x:v>中证1000</x:v>
      </x:c>
      <x:c r="C91" s="1" t="str">
        <x:v>2018-10</x:v>
      </x:c>
      <x:c r="D91" s="1" t="n">
        <x:v>1</x:v>
      </x:c>
      <x:c r="E91" s="7" t="n">
        <x:f>'月度收益'!H1126</x:f>
        <x:v>-0.11763148977296212</x:v>
      </x:c>
      <x:c r="F91" s="1" t="str">
        <x:v>2018-10-31</x:v>
      </x:c>
      <x:c r="G91" s="1" t="str">
        <x:v>2018-11-01</x:v>
      </x:c>
      <x:c r="H91" s="1" t="str">
        <x:v>2019-02-01</x:v>
      </x:c>
      <x:c r="I91" s="1" t="str">
        <x:v>2019-02-01</x:v>
      </x:c>
      <x:c r="J91" s="5" t="n">
        <x:v>4428.86</x:v>
      </x:c>
      <x:c r="K91" s="5" t="n">
        <x:v>4369.27</x:v>
      </x:c>
      <x:c r="L91" s="7" t="n">
        <x:f>K91/J91-1</x:f>
        <x:v>-0.013454929711031571</x:v>
      </x:c>
      <x:c r="M91" s="1" t="str">
        <x:v>已完成</x:v>
      </x:c>
      <x:c r="N91" s="1" t="n">
        <x:v>64</x:v>
      </x:c>
      <x:c r="O91" s="1" t="n">
        <x:v>92</x:v>
      </x:c>
      <x:c r="P91" s="7" t="n">
        <x:v>-0.11871546528166976</x:v>
      </x:c>
      <x:c r="Q91" s="7" t="n">
        <x:v>-0.02315042697217784</x:v>
      </x:c>
      <x:c r="R91" s="1" t="str">
        <x:v>2018-11-19</x:v>
      </x:c>
      <x:c r="S91" s="1" t="str">
        <x:v>2019-01-31</x:v>
      </x:c>
    </x:row>
    <x:row r="92" ht="25" customHeight="1">
      <x:c r="A92" s="1" t="str">
        <x:v>sh000852</x:v>
      </x:c>
      <x:c r="B92" s="1" t="str">
        <x:v>中证1000</x:v>
      </x:c>
      <x:c r="C92" s="1" t="str">
        <x:v>2022-01</x:v>
      </x:c>
      <x:c r="D92" s="1" t="n">
        <x:v>1</x:v>
      </x:c>
      <x:c r="E92" s="7" t="n">
        <x:f>'月度收益'!H1165</x:f>
        <x:v>-0.12949669925795715</x:v>
      </x:c>
      <x:c r="F92" s="1" t="str">
        <x:v>2022-01-28</x:v>
      </x:c>
      <x:c r="G92" s="1" t="str">
        <x:v>2022-02-07</x:v>
      </x:c>
      <x:c r="H92" s="1" t="str">
        <x:v>2022-05-07</x:v>
      </x:c>
      <x:c r="I92" s="1" t="str">
        <x:v>2022-05-09</x:v>
      </x:c>
      <x:c r="J92" s="5" t="n">
        <x:v>7080.61</x:v>
      </x:c>
      <x:c r="K92" s="5" t="n">
        <x:v>5749.9</x:v>
      </x:c>
      <x:c r="L92" s="7" t="n">
        <x:f>K92/J92-1</x:f>
        <x:v>-0.1879371975013452</x:v>
      </x:c>
      <x:c r="M92" s="1" t="str">
        <x:v>已完成</x:v>
      </x:c>
      <x:c r="N92" s="1" t="n">
        <x:v>60</x:v>
      </x:c>
      <x:c r="O92" s="1" t="n">
        <x:v>91</x:v>
      </x:c>
      <x:c r="P92" s="7" t="n">
        <x:v>-0.2931184902824009</x:v>
      </x:c>
      <x:c r="Q92" s="7" t="n">
        <x:v>-0.2705783823710104</x:v>
      </x:c>
      <x:c r="R92" s="1" t="str">
        <x:v>2022-02-23</x:v>
      </x:c>
      <x:c r="S92" s="1" t="str">
        <x:v>2022-04-26</x:v>
      </x:c>
    </x:row>
    <x:row r="93" ht="25" customHeight="1">
      <x:c r="A93" s="1" t="str">
        <x:v>sh000852</x:v>
      </x:c>
      <x:c r="B93" s="1" t="str">
        <x:v>中证1000</x:v>
      </x:c>
      <x:c r="C93" s="1" t="str">
        <x:v>2022-04</x:v>
      </x:c>
      <x:c r="D93" s="1" t="n">
        <x:v>1</x:v>
      </x:c>
      <x:c r="E93" s="7" t="n">
        <x:f>'月度收益'!H1168</x:f>
        <x:v>-0.1532146005578796</x:v>
      </x:c>
      <x:c r="F93" s="1" t="str">
        <x:v>2022-04-29</x:v>
      </x:c>
      <x:c r="G93" s="1" t="str">
        <x:v>2022-05-05</x:v>
      </x:c>
      <x:c r="H93" s="1" t="str">
        <x:v>2022-08-05</x:v>
      </x:c>
      <x:c r="I93" s="1" t="str">
        <x:v>2022-08-05</x:v>
      </x:c>
      <x:c r="J93" s="5" t="n">
        <x:v>5723.18</x:v>
      </x:c>
      <x:c r="K93" s="5" t="n">
        <x:v>6975.89</x:v>
      </x:c>
      <x:c r="L93" s="7" t="n">
        <x:f>K93/J93-1</x:f>
        <x:v>0.218883557742374</x:v>
      </x:c>
      <x:c r="M93" s="1" t="str">
        <x:v>已完成</x:v>
      </x:c>
      <x:c r="N93" s="1" t="n">
        <x:v>65</x:v>
      </x:c>
      <x:c r="O93" s="1" t="n">
        <x:v>92</x:v>
      </x:c>
      <x:c r="P93" s="7" t="n">
        <x:v>-0.0423971569497098</x:v>
      </x:c>
      <x:c r="Q93" s="7" t="n">
        <x:v>-0.010003180050251803</x:v>
      </x:c>
      <x:c r="R93" s="1" t="str">
        <x:v>2022-06-28</x:v>
      </x:c>
      <x:c r="S93" s="1" t="str">
        <x:v>2022-07-12</x:v>
      </x:c>
    </x:row>
    <x:row r="94" ht="25" customHeight="1">
      <x:c r="A94" s="1" t="str">
        <x:v>sh000852</x:v>
      </x:c>
      <x:c r="B94" s="1" t="str">
        <x:v>中证1000</x:v>
      </x:c>
      <x:c r="C94" s="1" t="str">
        <x:v>2024-01</x:v>
      </x:c>
      <x:c r="D94" s="1" t="n">
        <x:v>1</x:v>
      </x:c>
      <x:c r="E94" s="7" t="n">
        <x:f>'月度收益'!H1189</x:f>
        <x:v>-0.18722015749315468</x:v>
      </x:c>
      <x:c r="F94" s="1" t="str">
        <x:v>2024-01-31</x:v>
      </x:c>
      <x:c r="G94" s="1" t="str">
        <x:v>2024-02-01</x:v>
      </x:c>
      <x:c r="H94" s="1" t="str">
        <x:v>2024-05-01</x:v>
      </x:c>
      <x:c r="I94" s="1" t="str">
        <x:v>2024-05-06</x:v>
      </x:c>
      <x:c r="J94" s="5" t="n">
        <x:v>4753.64</x:v>
      </x:c>
      <x:c r="K94" s="5" t="n">
        <x:v>5558.92</x:v>
      </x:c>
      <x:c r="L94" s="7" t="n">
        <x:f>K94/J94-1</x:f>
        <x:v>0.16940281552662806</x:v>
      </x:c>
      <x:c r="M94" s="1" t="str">
        <x:v>已完成</x:v>
      </x:c>
      <x:c r="N94" s="1" t="n">
        <x:v>56</x:v>
      </x:c>
      <x:c r="O94" s="1" t="n">
        <x:v>95</x:v>
      </x:c>
      <x:c r="P94" s="7" t="n">
        <x:v>-0.10469593490188456</x:v>
      </x:c>
      <x:c r="Q94" s="7" t="n">
        <x:v>-0.12110719364529088</x:v>
      </x:c>
      <x:c r="R94" s="1" t="str">
        <x:v>2024-03-20</x:v>
      </x:c>
      <x:c r="S94" s="1" t="str">
        <x:v>2024-04-16</x:v>
      </x:c>
    </x:row>
    <x:row r="95" ht="25" customHeight="1">
      <x:c r="A95" s="1" t="str">
        <x:v>sh000852</x:v>
      </x:c>
      <x:c r="B95" s="1" t="str">
        <x:v>中证1000</x:v>
      </x:c>
      <x:c r="C95" s="1" t="str">
        <x:v>2026-03</x:v>
      </x:c>
      <x:c r="D95" s="1" t="n">
        <x:v>1</x:v>
      </x:c>
      <x:c r="E95" s="7" t="n">
        <x:f>'月度收益'!H1215</x:f>
        <x:v>-0.1099179519766752</x:v>
      </x:c>
      <x:c r="F95" s="1" t="str">
        <x:v>2026-03-31</x:v>
      </x:c>
      <x:c r="G95" s="1" t="str">
        <x:v>2026-04-01</x:v>
      </x:c>
      <x:c r="H95" s="1" t="str">
        <x:v>2026-07-01</x:v>
      </x:c>
      <x:c r="I95" s="1" t="str">
        <x:v>2026-07-01</x:v>
      </x:c>
      <x:c r="J95" s="5" t="n">
        <x:v>7767.88</x:v>
      </x:c>
      <x:c r="K95" s="5" t="n">
        <x:v>8827.47</x:v>
      </x:c>
      <x:c r="L95" s="7" t="n">
        <x:f>K95/J95-1</x:f>
        <x:v>0.13640658712544473</x:v>
      </x:c>
      <x:c r="M95" s="1" t="str">
        <x:v>已完成</x:v>
      </x:c>
      <x:c r="N95" s="1" t="n">
        <x:v>60</x:v>
      </x:c>
      <x:c r="O95" s="1" t="n">
        <x:v>91</x:v>
      </x:c>
      <x:c r="P95" s="7" t="n">
        <x:v>-0.09761541854401512</x:v>
      </x:c>
      <x:c r="Q95" s="7" t="n">
        <x:v>-0.031661148215471946</x:v>
      </x:c>
      <x:c r="R95" s="1" t="str">
        <x:v>2026-05-13</x:v>
      </x:c>
      <x:c r="S95" s="1" t="str">
        <x:v>2026-06-08</x:v>
      </x:c>
    </x:row>
    <x:row r="96" ht="25" customHeight="1">
      <x:c r="A96" s="1" t="str">
        <x:v>sh000852</x:v>
      </x:c>
      <x:c r="B96" s="1" t="str">
        <x:v>中证1000</x:v>
      </x:c>
      <x:c r="C96" s="1" t="str">
        <x:v>2026-07</x:v>
      </x:c>
      <x:c r="D96" s="1" t="n">
        <x:v>1</x:v>
      </x:c>
      <x:c r="E96" s="7" t="n">
        <x:f>'月度收益'!H1219</x:f>
        <x:v>-0.19685826790422933</x:v>
      </x:c>
      <x:c r="F96" s="1" t="str">
        <x:v>2026-07-31</x:v>
      </x:c>
      <x:c r="G96" s="1" t="str">
        <x:v>2026-08-03</x:v>
      </x:c>
      <x:c r="H96" s="1" t="str">
        <x:v>2026-11-03</x:v>
      </x:c>
      <x:c r="I96" s="1"/>
      <x:c r="J96" s="5" t="n">
        <x:v>7055.27</x:v>
      </x:c>
      <x:c r="K96" s="5"/>
      <x:c r="L96" s="7" t="str">
        <x:f>"观察中"</x:f>
        <x:v>观察中</x:v>
      </x:c>
      <x:c r="M96" s="1" t="str">
        <x:v>观察中</x:v>
      </x:c>
      <x:c r="N96" s="1" t="n">
        <x:v>44</x:v>
      </x:c>
      <x:c r="O96" s="1"/>
      <x:c r="P96" s="7" t="n">
        <x:v>-0.10413659991114887</x:v>
      </x:c>
      <x:c r="Q96" s="7" t="n">
        <x:v>-0.018404681890275</x:v>
      </x:c>
      <x:c r="R96" s="1" t="str">
        <x:v>2026-08-17</x:v>
      </x:c>
      <x:c r="S96" s="1" t="str">
        <x:v>2026-10-08</x:v>
      </x:c>
    </x:row>
    <x:row r="97" ht="25" customHeight="1">
      <x:c r="A97" s="1" t="str">
        <x:v>sh932000</x:v>
      </x:c>
      <x:c r="B97" s="1" t="str">
        <x:v>中证2000</x:v>
      </x:c>
      <x:c r="C97" s="1" t="str">
        <x:v>2014-12</x:v>
      </x:c>
      <x:c r="D97" s="1" t="n">
        <x:v>0</x:v>
      </x:c>
      <x:c r="E97" s="7" t="n">
        <x:f>'月度收益'!H1234</x:f>
        <x:v>-0.12302736416442484</x:v>
      </x:c>
      <x:c r="F97" s="1" t="str">
        <x:v>2014-12-31</x:v>
      </x:c>
      <x:c r="G97" s="1" t="str">
        <x:v>2015-01-05</x:v>
      </x:c>
      <x:c r="H97" s="1" t="str">
        <x:v>2015-04-05</x:v>
      </x:c>
      <x:c r="I97" s="1" t="str">
        <x:v>2015-04-07</x:v>
      </x:c>
      <x:c r="J97" s="5" t="n">
        <x:v>1538.41</x:v>
      </x:c>
      <x:c r="K97" s="5" t="n">
        <x:v>2516.11</x:v>
      </x:c>
      <x:c r="L97" s="7" t="n">
        <x:f>K97/J97-1</x:f>
        <x:v>0.6355262901307195</x:v>
      </x:c>
      <x:c r="M97" s="1" t="str">
        <x:v>已完成</x:v>
      </x:c>
      <x:c r="N97" s="1" t="n">
        <x:v>60</x:v>
      </x:c>
      <x:c r="O97" s="1" t="n">
        <x:v>92</x:v>
      </x:c>
      <x:c r="P97" s="7" t="n">
        <x:v>-0.02800586510263925</x:v>
      </x:c>
      <x:c r="Q97" s="7" t="n">
        <x:v>-0.014664491260457324</x:v>
      </x:c>
      <x:c r="R97" s="1" t="str">
        <x:v>2015-01-27</x:v>
      </x:c>
      <x:c r="S97" s="1" t="str">
        <x:v>2015-02-09</x:v>
      </x:c>
    </x:row>
    <x:row r="98" ht="25" customHeight="1">
      <x:c r="A98" s="1" t="str">
        <x:v>sh932000</x:v>
      </x:c>
      <x:c r="B98" s="1" t="str">
        <x:v>中证2000</x:v>
      </x:c>
      <x:c r="C98" s="1" t="str">
        <x:v>2015-06</x:v>
      </x:c>
      <x:c r="D98" s="1" t="n">
        <x:v>0</x:v>
      </x:c>
      <x:c r="E98" s="7" t="n">
        <x:f>'月度收益'!H1240</x:f>
        <x:v>-0.12988117260092868</x:v>
      </x:c>
      <x:c r="F98" s="1" t="str">
        <x:v>2015-06-30</x:v>
      </x:c>
      <x:c r="G98" s="1" t="str">
        <x:v>2015-07-01</x:v>
      </x:c>
      <x:c r="H98" s="1" t="str">
        <x:v>2015-10-01</x:v>
      </x:c>
      <x:c r="I98" s="1" t="str">
        <x:v>2015-10-08</x:v>
      </x:c>
      <x:c r="J98" s="5" t="n">
        <x:v>3223.44</x:v>
      </x:c>
      <x:c r="K98" s="5" t="n">
        <x:v>2259.33</x:v>
      </x:c>
      <x:c r="L98" s="7" t="n">
        <x:f>K98/J98-1</x:f>
        <x:v>-0.29909351500260595</x:v>
      </x:c>
      <x:c r="M98" s="1" t="str">
        <x:v>已完成</x:v>
      </x:c>
      <x:c r="N98" s="1" t="n">
        <x:v>64</x:v>
      </x:c>
      <x:c r="O98" s="1" t="n">
        <x:v>99</x:v>
      </x:c>
      <x:c r="P98" s="7" t="n">
        <x:v>-0.3530669098850917</x:v>
      </x:c>
      <x:c r="Q98" s="7" t="n">
        <x:v>-0.35724567542749364</x:v>
      </x:c>
      <x:c r="R98" s="1" t="str">
        <x:v>2015-07-01</x:v>
      </x:c>
      <x:c r="S98" s="1" t="str">
        <x:v>2015-09-15</x:v>
      </x:c>
    </x:row>
    <x:row r="99" ht="25" customHeight="1">
      <x:c r="A99" s="1" t="str">
        <x:v>sh932000</x:v>
      </x:c>
      <x:c r="B99" s="1" t="str">
        <x:v>中证2000</x:v>
      </x:c>
      <x:c r="C99" s="1" t="str">
        <x:v>2015-07</x:v>
      </x:c>
      <x:c r="D99" s="1" t="n">
        <x:v>0</x:v>
      </x:c>
      <x:c r="E99" s="7" t="n">
        <x:f>'月度收益'!H1241</x:f>
        <x:v>-0.1851402559130496</x:v>
      </x:c>
      <x:c r="F99" s="1" t="str">
        <x:v>2015-07-31</x:v>
      </x:c>
      <x:c r="G99" s="1" t="str">
        <x:v>2015-08-03</x:v>
      </x:c>
      <x:c r="H99" s="1" t="str">
        <x:v>2015-11-03</x:v>
      </x:c>
      <x:c r="I99" s="1" t="str">
        <x:v>2015-11-03</x:v>
      </x:c>
      <x:c r="J99" s="5" t="n">
        <x:v>2621.17</x:v>
      </x:c>
      <x:c r="K99" s="5" t="n">
        <x:v>2581.64</x:v>
      </x:c>
      <x:c r="L99" s="7" t="n">
        <x:f>K99/J99-1</x:f>
        <x:v>-0.015081051591465</x:v>
      </x:c>
      <x:c r="M99" s="1" t="str">
        <x:v>已完成</x:v>
      </x:c>
      <x:c r="N99" s="1" t="n">
        <x:v>59</x:v>
      </x:c>
      <x:c r="O99" s="1" t="n">
        <x:v>92</x:v>
      </x:c>
      <x:c r="P99" s="7" t="n">
        <x:v>-0.3206244644910752</x:v>
      </x:c>
      <x:c r="Q99" s="7" t="n">
        <x:v>-0.20955909002468365</x:v>
      </x:c>
      <x:c r="R99" s="1" t="str">
        <x:v>2015-08-17</x:v>
      </x:c>
      <x:c r="S99" s="1" t="str">
        <x:v>2015-09-15</x:v>
      </x:c>
    </x:row>
    <x:row r="100" ht="25" customHeight="1">
      <x:c r="A100" s="1" t="str">
        <x:v>sh932000</x:v>
      </x:c>
      <x:c r="B100" s="1" t="str">
        <x:v>中证2000</x:v>
      </x:c>
      <x:c r="C100" s="1" t="str">
        <x:v>2015-08</x:v>
      </x:c>
      <x:c r="D100" s="1" t="n">
        <x:v>0</x:v>
      </x:c>
      <x:c r="E100" s="7" t="n">
        <x:f>'月度收益'!H1242</x:f>
        <x:v>-0.11449913910421727</x:v>
      </x:c>
      <x:c r="F100" s="1" t="str">
        <x:v>2015-08-31</x:v>
      </x:c>
      <x:c r="G100" s="1" t="str">
        <x:v>2015-09-01</x:v>
      </x:c>
      <x:c r="H100" s="1" t="str">
        <x:v>2015-12-01</x:v>
      </x:c>
      <x:c r="I100" s="1" t="str">
        <x:v>2015-12-01</x:v>
      </x:c>
      <x:c r="J100" s="5" t="n">
        <x:v>2324.7</x:v>
      </x:c>
      <x:c r="K100" s="5" t="n">
        <x:v>2981.28</x:v>
      </x:c>
      <x:c r="L100" s="7" t="n">
        <x:f>K100/J100-1</x:f>
        <x:v>0.28243644341205343</x:v>
      </x:c>
      <x:c r="M100" s="1" t="str">
        <x:v>已完成</x:v>
      </x:c>
      <x:c r="N100" s="1" t="n">
        <x:v>58</x:v>
      </x:c>
      <x:c r="O100" s="1" t="n">
        <x:v>91</x:v>
      </x:c>
      <x:c r="P100" s="7" t="n">
        <x:v>-0.11479049312963496</x:v>
      </x:c>
      <x:c r="Q100" s="7" t="n">
        <x:v>-0.10875381769690706</x:v>
      </x:c>
      <x:c r="R100" s="1" t="str">
        <x:v>2015-09-09</x:v>
      </x:c>
      <x:c r="S100" s="1" t="str">
        <x:v>2015-09-15</x:v>
      </x:c>
    </x:row>
    <x:row r="101" ht="25" customHeight="1">
      <x:c r="A101" s="1" t="str">
        <x:v>sh932000</x:v>
      </x:c>
      <x:c r="B101" s="1" t="str">
        <x:v>中证2000</x:v>
      </x:c>
      <x:c r="C101" s="1" t="str">
        <x:v>2016-01</x:v>
      </x:c>
      <x:c r="D101" s="1" t="n">
        <x:v>0</x:v>
      </x:c>
      <x:c r="E101" s="7" t="n">
        <x:f>'月度收益'!H1247</x:f>
        <x:v>-0.2879242740811341</x:v>
      </x:c>
      <x:c r="F101" s="1" t="str">
        <x:v>2016-01-29</x:v>
      </x:c>
      <x:c r="G101" s="1" t="str">
        <x:v>2016-02-01</x:v>
      </x:c>
      <x:c r="H101" s="1" t="str">
        <x:v>2016-05-01</x:v>
      </x:c>
      <x:c r="I101" s="1" t="str">
        <x:v>2016-05-03</x:v>
      </x:c>
      <x:c r="J101" s="5" t="n">
        <x:v>2288.74</x:v>
      </x:c>
      <x:c r="K101" s="5" t="n">
        <x:v>2693.56</x:v>
      </x:c>
      <x:c r="L101" s="7" t="n">
        <x:f>K101/J101-1</x:f>
        <x:v>0.17687461223205792</x:v>
      </x:c>
      <x:c r="M101" s="1" t="str">
        <x:v>已完成</x:v>
      </x:c>
      <x:c r="N101" s="1" t="n">
        <x:v>59</x:v>
      </x:c>
      <x:c r="O101" s="1" t="n">
        <x:v>92</x:v>
      </x:c>
      <x:c r="P101" s="7" t="n">
        <x:v>-0.14295055293880599</x:v>
      </x:c>
      <x:c r="Q101" s="7" t="n">
        <x:v>-0.031322911296171485</x:v>
      </x:c>
      <x:c r="R101" s="1" t="str">
        <x:v>2016-02-22</x:v>
      </x:c>
      <x:c r="S101" s="1" t="str">
        <x:v>2016-02-29</x:v>
      </x:c>
    </x:row>
    <x:row r="102" ht="25" customHeight="1">
      <x:c r="A102" s="1" t="str">
        <x:v>sh932000</x:v>
      </x:c>
      <x:c r="B102" s="1" t="str">
        <x:v>中证2000</x:v>
      </x:c>
      <x:c r="C102" s="1" t="str">
        <x:v>2018-06</x:v>
      </x:c>
      <x:c r="D102" s="1" t="n">
        <x:v>0</x:v>
      </x:c>
      <x:c r="E102" s="7" t="n">
        <x:f>'月度收益'!H1276</x:f>
        <x:v>-0.10714845510296045</x:v>
      </x:c>
      <x:c r="F102" s="1" t="str">
        <x:v>2018-06-29</x:v>
      </x:c>
      <x:c r="G102" s="1" t="str">
        <x:v>2018-07-02</x:v>
      </x:c>
      <x:c r="H102" s="1" t="str">
        <x:v>2018-10-02</x:v>
      </x:c>
      <x:c r="I102" s="1" t="str">
        <x:v>2018-10-08</x:v>
      </x:c>
      <x:c r="J102" s="5" t="n">
        <x:v>1820.52</x:v>
      </x:c>
      <x:c r="K102" s="5" t="n">
        <x:v>1618.66</x:v>
      </x:c>
      <x:c r="L102" s="7" t="n">
        <x:f>K102/J102-1</x:f>
        <x:v>-0.11088040779557484</x:v>
      </x:c>
      <x:c r="M102" s="1" t="str">
        <x:v>已完成</x:v>
      </x:c>
      <x:c r="N102" s="1" t="n">
        <x:v>64</x:v>
      </x:c>
      <x:c r="O102" s="1" t="n">
        <x:v>98</x:v>
      </x:c>
      <x:c r="P102" s="7" t="n">
        <x:v>-0.13565707120388282</x:v>
      </x:c>
      <x:c r="Q102" s="7" t="n">
        <x:v>-0.12404148265330783</x:v>
      </x:c>
      <x:c r="R102" s="1" t="str">
        <x:v>2018-07-25</x:v>
      </x:c>
      <x:c r="S102" s="1" t="str">
        <x:v>2018-09-17</x:v>
      </x:c>
    </x:row>
    <x:row r="103" ht="25" customHeight="1">
      <x:c r="A103" s="1" t="str">
        <x:v>sh932000</x:v>
      </x:c>
      <x:c r="B103" s="1" t="str">
        <x:v>中证2000</x:v>
      </x:c>
      <x:c r="C103" s="1" t="str">
        <x:v>2022-01</x:v>
      </x:c>
      <x:c r="D103" s="1" t="n">
        <x:v>0</x:v>
      </x:c>
      <x:c r="E103" s="7" t="n">
        <x:f>'月度收益'!H1319</x:f>
        <x:v>-0.10429438651353395</x:v>
      </x:c>
      <x:c r="F103" s="1" t="str">
        <x:v>2022-01-28</x:v>
      </x:c>
      <x:c r="G103" s="1" t="str">
        <x:v>2022-02-07</x:v>
      </x:c>
      <x:c r="H103" s="1" t="str">
        <x:v>2022-05-07</x:v>
      </x:c>
      <x:c r="I103" s="1" t="str">
        <x:v>2022-05-09</x:v>
      </x:c>
      <x:c r="J103" s="5" t="n">
        <x:v>2418.24</x:v>
      </x:c>
      <x:c r="K103" s="5" t="n">
        <x:v>1978.18</x:v>
      </x:c>
      <x:c r="L103" s="7" t="n">
        <x:f>K103/J103-1</x:f>
        <x:v>-0.18197532089453472</x:v>
      </x:c>
      <x:c r="M103" s="1" t="str">
        <x:v>已完成</x:v>
      </x:c>
      <x:c r="N103" s="1" t="n">
        <x:v>60</x:v>
      </x:c>
      <x:c r="O103" s="1" t="n">
        <x:v>91</x:v>
      </x:c>
      <x:c r="P103" s="7" t="n">
        <x:v>-0.27784341648148725</x:v>
      </x:c>
      <x:c r="Q103" s="7" t="n">
        <x:v>-0.25763365091967705</x:v>
      </x:c>
      <x:c r="R103" s="1" t="str">
        <x:v>2022-03-02</x:v>
      </x:c>
      <x:c r="S103" s="1" t="str">
        <x:v>2022-04-26</x:v>
      </x:c>
    </x:row>
    <x:row r="104" ht="25" customHeight="1">
      <x:c r="A104" s="1" t="str">
        <x:v>sh932000</x:v>
      </x:c>
      <x:c r="B104" s="1" t="str">
        <x:v>中证2000</x:v>
      </x:c>
      <x:c r="C104" s="1" t="str">
        <x:v>2022-04</x:v>
      </x:c>
      <x:c r="D104" s="1" t="n">
        <x:v>0</x:v>
      </x:c>
      <x:c r="E104" s="7" t="n">
        <x:f>'月度收益'!H1322</x:f>
        <x:v>-0.1832365929544011</x:v>
      </x:c>
      <x:c r="F104" s="1" t="str">
        <x:v>2022-04-29</x:v>
      </x:c>
      <x:c r="G104" s="1" t="str">
        <x:v>2022-05-05</x:v>
      </x:c>
      <x:c r="H104" s="1" t="str">
        <x:v>2022-08-05</x:v>
      </x:c>
      <x:c r="I104" s="1" t="str">
        <x:v>2022-08-05</x:v>
      </x:c>
      <x:c r="J104" s="5" t="n">
        <x:v>1953.5</x:v>
      </x:c>
      <x:c r="K104" s="5" t="n">
        <x:v>2405.3</x:v>
      </x:c>
      <x:c r="L104" s="7" t="n">
        <x:f>K104/J104-1</x:f>
        <x:v>0.23127719477860254</x:v>
      </x:c>
      <x:c r="M104" s="1" t="str">
        <x:v>已完成</x:v>
      </x:c>
      <x:c r="N104" s="1" t="n">
        <x:v>65</x:v>
      </x:c>
      <x:c r="O104" s="1" t="n">
        <x:v>92</x:v>
      </x:c>
      <x:c r="P104" s="7" t="n">
        <x:v>-0.05029320621701683</x:v>
      </x:c>
      <x:c r="Q104" s="7" t="n">
        <x:v>-0.002068082928077808</x:v>
      </x:c>
      <x:c r="R104" s="1" t="str">
        <x:v>2022-08-01</x:v>
      </x:c>
      <x:c r="S104" s="1" t="str">
        <x:v>2022-08-03</x:v>
      </x:c>
    </x:row>
    <x:row r="105" ht="25" customHeight="1">
      <x:c r="A105" s="1" t="str">
        <x:v>sh932000</x:v>
      </x:c>
      <x:c r="B105" s="1" t="str">
        <x:v>中证2000</x:v>
      </x:c>
      <x:c r="C105" s="1" t="str">
        <x:v>2024-01</x:v>
      </x:c>
      <x:c r="D105" s="1" t="n">
        <x:v>1</x:v>
      </x:c>
      <x:c r="E105" s="7" t="n">
        <x:f>'月度收益'!H1343</x:f>
        <x:v>-0.20967546999962494</x:v>
      </x:c>
      <x:c r="F105" s="1" t="str">
        <x:v>2024-01-31</x:v>
      </x:c>
      <x:c r="G105" s="1" t="str">
        <x:v>2024-02-01</x:v>
      </x:c>
      <x:c r="H105" s="1" t="str">
        <x:v>2024-05-01</x:v>
      </x:c>
      <x:c r="I105" s="1" t="str">
        <x:v>2024-05-06</x:v>
      </x:c>
      <x:c r="J105" s="5" t="n">
        <x:v>1883.96</x:v>
      </x:c>
      <x:c r="K105" s="5" t="n">
        <x:v>2093.19</x:v>
      </x:c>
      <x:c r="L105" s="7" t="n">
        <x:f>K105/J105-1</x:f>
        <x:v>0.11105862120214871</x:v>
      </x:c>
      <x:c r="M105" s="1" t="str">
        <x:v>已完成</x:v>
      </x:c>
      <x:c r="N105" s="1" t="n">
        <x:v>56</x:v>
      </x:c>
      <x:c r="O105" s="1" t="n">
        <x:v>95</x:v>
      </x:c>
      <x:c r="P105" s="7" t="n">
        <x:v>-0.17108678021086776</x:v>
      </x:c>
      <x:c r="Q105" s="7" t="n">
        <x:v>-0.2019788105904584</x:v>
      </x:c>
      <x:c r="R105" s="1" t="str">
        <x:v>2024-03-21</x:v>
      </x:c>
      <x:c r="S105" s="1" t="str">
        <x:v>2024-04-16</x:v>
      </x:c>
    </x:row>
    <x:row r="106" ht="25" customHeight="1">
      <x:c r="A106" s="1" t="str">
        <x:v>sh932000</x:v>
      </x:c>
      <x:c r="B106" s="1" t="str">
        <x:v>中证2000</x:v>
      </x:c>
      <x:c r="C106" s="1" t="str">
        <x:v>2026-03</x:v>
      </x:c>
      <x:c r="D106" s="1" t="n">
        <x:v>1</x:v>
      </x:c>
      <x:c r="E106" s="7" t="n">
        <x:f>'月度收益'!H1369</x:f>
        <x:v>-0.10703062385184658</x:v>
      </x:c>
      <x:c r="F106" s="1" t="str">
        <x:v>2026-03-31</x:v>
      </x:c>
      <x:c r="G106" s="1" t="str">
        <x:v>2026-04-01</x:v>
      </x:c>
      <x:c r="H106" s="1" t="str">
        <x:v>2026-07-01</x:v>
      </x:c>
      <x:c r="I106" s="1" t="str">
        <x:v>2026-07-01</x:v>
      </x:c>
      <x:c r="J106" s="5" t="n">
        <x:v>3299.77</x:v>
      </x:c>
      <x:c r="K106" s="5" t="n">
        <x:v>3497.99</x:v>
      </x:c>
      <x:c r="L106" s="7" t="n">
        <x:f>K106/J106-1</x:f>
        <x:v>0.060070853423117354</x:v>
      </x:c>
      <x:c r="M106" s="1" t="str">
        <x:v>已完成</x:v>
      </x:c>
      <x:c r="N106" s="1" t="n">
        <x:v>60</x:v>
      </x:c>
      <x:c r="O106" s="1" t="n">
        <x:v>91</x:v>
      </x:c>
      <x:c r="P106" s="7" t="n">
        <x:v>-0.10827149803503622</x:v>
      </x:c>
      <x:c r="Q106" s="7" t="n">
        <x:v>-0.03645102537449585</x:v>
      </x:c>
      <x:c r="R106" s="1" t="str">
        <x:v>2026-05-13</x:v>
      </x:c>
      <x:c r="S106" s="1" t="str">
        <x:v>2026-06-11</x:v>
      </x:c>
    </x:row>
    <x:row r="107" ht="25" customHeight="1">
      <x:c r="A107" s="1" t="str">
        <x:v>sh932000</x:v>
      </x:c>
      <x:c r="B107" s="1" t="str">
        <x:v>中证2000</x:v>
      </x:c>
      <x:c r="C107" s="1" t="str">
        <x:v>2026-07</x:v>
      </x:c>
      <x:c r="D107" s="1" t="n">
        <x:v>1</x:v>
      </x:c>
      <x:c r="E107" s="7" t="n">
        <x:f>'月度收益'!H1373</x:f>
        <x:v>-0.1961260119212841</x:v>
      </x:c>
      <x:c r="F107" s="1" t="str">
        <x:v>2026-07-31</x:v>
      </x:c>
      <x:c r="G107" s="1" t="str">
        <x:v>2026-08-03</x:v>
      </x:c>
      <x:c r="H107" s="1" t="str">
        <x:v>2026-11-03</x:v>
      </x:c>
      <x:c r="I107" s="1"/>
      <x:c r="J107" s="5" t="n">
        <x:v>2810.62</x:v>
      </x:c>
      <x:c r="K107" s="5"/>
      <x:c r="L107" s="7" t="str">
        <x:f>"观察中"</x:f>
        <x:v>观察中</x:v>
      </x:c>
      <x:c r="M107" s="1" t="str">
        <x:v>观察中</x:v>
      </x:c>
      <x:c r="N107" s="1" t="n">
        <x:v>44</x:v>
      </x:c>
      <x:c r="O107" s="1"/>
      <x:c r="P107" s="7" t="n">
        <x:v>-0.06006215124287151</x:v>
      </x:c>
      <x:c r="Q107" s="7" t="n">
        <x:v>-0.0004056044573794715</x:v>
      </x:c>
      <x:c r="R107" s="1" t="str">
        <x:v>2026-09-23</x:v>
      </x:c>
      <x:c r="S107" s="1" t="str">
        <x:v>2026-10-08</x:v>
      </x:c>
    </x:row>
    <x:row r="108" ht="25" customHeight="1">
      <x:c r="A108" s="1" t="str">
        <x:v>sh000016</x:v>
      </x:c>
      <x:c r="B108" s="1" t="str">
        <x:v>上证50</x:v>
      </x:c>
      <x:c r="C108" s="1" t="str">
        <x:v>2004-06</x:v>
      </x:c>
      <x:c r="D108" s="1" t="n">
        <x:v>1</x:v>
      </x:c>
      <x:c r="E108" s="7" t="n">
        <x:f>'月度收益'!H1382</x:f>
        <x:v>-0.10335700516385504</x:v>
      </x:c>
      <x:c r="F108" s="1" t="str">
        <x:v>2004-06-30</x:v>
      </x:c>
      <x:c r="G108" s="1" t="str">
        <x:v>2004-07-01</x:v>
      </x:c>
      <x:c r="H108" s="1" t="str">
        <x:v>2004-10-01</x:v>
      </x:c>
      <x:c r="I108" s="1" t="str">
        <x:v>2004-10-08</x:v>
      </x:c>
      <x:c r="J108" s="5" t="n">
        <x:v>896.38</x:v>
      </x:c>
      <x:c r="K108" s="5" t="n">
        <x:v>922.8</x:v>
      </x:c>
      <x:c r="L108" s="7" t="n">
        <x:f>K108/J108-1</x:f>
        <x:v>0.02947410696356445</x:v>
      </x:c>
      <x:c r="M108" s="1" t="str">
        <x:v>已完成</x:v>
      </x:c>
      <x:c r="N108" s="1" t="n">
        <x:v>66</x:v>
      </x:c>
      <x:c r="O108" s="1" t="n">
        <x:v>99</x:v>
      </x:c>
      <x:c r="P108" s="7" t="n">
        <x:v>-0.11960904350763124</x:v>
      </x:c>
      <x:c r="Q108" s="7" t="n">
        <x:v>-0.07060621611370177</x:v>
      </x:c>
      <x:c r="R108" s="1" t="str">
        <x:v>2004-07-19</x:v>
      </x:c>
      <x:c r="S108" s="1" t="str">
        <x:v>2004-09-13</x:v>
      </x:c>
    </x:row>
    <x:row r="109" ht="25" customHeight="1">
      <x:c r="A109" s="1" t="str">
        <x:v>sh000016</x:v>
      </x:c>
      <x:c r="B109" s="1" t="str">
        <x:v>上证50</x:v>
      </x:c>
      <x:c r="C109" s="1" t="str">
        <x:v>2007-11</x:v>
      </x:c>
      <x:c r="D109" s="1" t="n">
        <x:v>1</x:v>
      </x:c>
      <x:c r="E109" s="7" t="n">
        <x:f>'月度收益'!H1423</x:f>
        <x:v>-0.16151156710128822</x:v>
      </x:c>
      <x:c r="F109" s="1" t="str">
        <x:v>2007-11-30</x:v>
      </x:c>
      <x:c r="G109" s="1" t="str">
        <x:v>2007-12-03</x:v>
      </x:c>
      <x:c r="H109" s="1" t="str">
        <x:v>2008-03-03</x:v>
      </x:c>
      <x:c r="I109" s="1" t="str">
        <x:v>2008-03-03</x:v>
      </x:c>
      <x:c r="J109" s="5" t="n">
        <x:v>3859.85</x:v>
      </x:c>
      <x:c r="K109" s="5" t="n">
        <x:v>3449.75</x:v>
      </x:c>
      <x:c r="L109" s="7" t="n">
        <x:f>K109/J109-1</x:f>
        <x:v>-0.10624765211083331</x:v>
      </x:c>
      <x:c r="M109" s="1" t="str">
        <x:v>已完成</x:v>
      </x:c>
      <x:c r="N109" s="1" t="n">
        <x:v>58</x:v>
      </x:c>
      <x:c r="O109" s="1" t="n">
        <x:v>91</x:v>
      </x:c>
      <x:c r="P109" s="7" t="n">
        <x:v>-0.25941624399329655</x:v>
      </x:c>
      <x:c r="Q109" s="7" t="n">
        <x:v>-0.1513038071427646</x:v>
      </x:c>
      <x:c r="R109" s="1" t="str">
        <x:v>2008-01-14</x:v>
      </x:c>
      <x:c r="S109" s="1" t="str">
        <x:v>2008-02-25</x:v>
      </x:c>
    </x:row>
    <x:row r="110" ht="25" customHeight="1">
      <x:c r="A110" s="1" t="str">
        <x:v>sh000016</x:v>
      </x:c>
      <x:c r="B110" s="1" t="str">
        <x:v>上证50</x:v>
      </x:c>
      <x:c r="C110" s="1" t="str">
        <x:v>2008-01</x:v>
      </x:c>
      <x:c r="D110" s="1" t="n">
        <x:v>1</x:v>
      </x:c>
      <x:c r="E110" s="7" t="n">
        <x:f>'月度收益'!H1425</x:f>
        <x:v>-0.17243467809859092</x:v>
      </x:c>
      <x:c r="F110" s="1" t="str">
        <x:v>2008-01-31</x:v>
      </x:c>
      <x:c r="G110" s="1" t="str">
        <x:v>2008-02-01</x:v>
      </x:c>
      <x:c r="H110" s="1" t="str">
        <x:v>2008-05-01</x:v>
      </x:c>
      <x:c r="I110" s="1" t="str">
        <x:v>2008-05-05</x:v>
      </x:c>
      <x:c r="J110" s="5" t="n">
        <x:v>3502.23</x:v>
      </x:c>
      <x:c r="K110" s="5" t="n">
        <x:v>3169.01</x:v>
      </x:c>
      <x:c r="L110" s="7" t="n">
        <x:f>K110/J110-1</x:f>
        <x:v>-0.09514509326914555</x:v>
      </x:c>
      <x:c r="M110" s="1" t="str">
        <x:v>已完成</x:v>
      </x:c>
      <x:c r="N110" s="1" t="n">
        <x:v>58</x:v>
      </x:c>
      <x:c r="O110" s="1" t="n">
        <x:v>94</x:v>
      </x:c>
      <x:c r="P110" s="7" t="n">
        <x:v>-0.33844204492469965</x:v>
      </x:c>
      <x:c r="Q110" s="7" t="n">
        <x:v>-0.29998600891432026</x:v>
      </x:c>
      <x:c r="R110" s="1" t="str">
        <x:v>2008-02-04</x:v>
      </x:c>
      <x:c r="S110" s="1" t="str">
        <x:v>2008-04-18</x:v>
      </x:c>
    </x:row>
    <x:row r="111" ht="25" customHeight="1">
      <x:c r="A111" s="1" t="str">
        <x:v>sh000016</x:v>
      </x:c>
      <x:c r="B111" s="1" t="str">
        <x:v>上证50</x:v>
      </x:c>
      <x:c r="C111" s="1" t="str">
        <x:v>2008-03</x:v>
      </x:c>
      <x:c r="D111" s="1" t="n">
        <x:v>1</x:v>
      </x:c>
      <x:c r="E111" s="7" t="n">
        <x:f>'月度收益'!H1427</x:f>
        <x:v>-0.18631360571659072</x:v>
      </x:c>
      <x:c r="F111" s="1" t="str">
        <x:v>2008-03-31</x:v>
      </x:c>
      <x:c r="G111" s="1" t="str">
        <x:v>2008-04-01</x:v>
      </x:c>
      <x:c r="H111" s="1" t="str">
        <x:v>2008-07-01</x:v>
      </x:c>
      <x:c r="I111" s="1" t="str">
        <x:v>2008-07-01</x:v>
      </x:c>
      <x:c r="J111" s="5" t="n">
        <x:v>2812.51</x:v>
      </x:c>
      <x:c r="K111" s="5" t="n">
        <x:v>2181.71</x:v>
      </x:c>
      <x:c r="L111" s="7" t="n">
        <x:f>K111/J111-1</x:f>
        <x:v>-0.2242836469914774</x:v>
      </x:c>
      <x:c r="M111" s="1" t="str">
        <x:v>已完成</x:v>
      </x:c>
      <x:c r="N111" s="1" t="n">
        <x:v>61</x:v>
      </x:c>
      <x:c r="O111" s="1" t="n">
        <x:v>91</x:v>
      </x:c>
      <x:c r="P111" s="7" t="n">
        <x:v>-0.31348845721786756</x:v>
      </x:c>
      <x:c r="Q111" s="7" t="n">
        <x:v>-0.2368204913049199</x:v>
      </x:c>
      <x:c r="R111" s="1" t="str">
        <x:v>2008-05-05</x:v>
      </x:c>
      <x:c r="S111" s="1" t="str">
        <x:v>2008-06-30</x:v>
      </x:c>
    </x:row>
    <x:row r="112" ht="25" customHeight="1">
      <x:c r="A112" s="1" t="str">
        <x:v>sh000016</x:v>
      </x:c>
      <x:c r="B112" s="1" t="str">
        <x:v>上证50</x:v>
      </x:c>
      <x:c r="C112" s="1" t="str">
        <x:v>2008-05</x:v>
      </x:c>
      <x:c r="D112" s="1" t="n">
        <x:v>1</x:v>
      </x:c>
      <x:c r="E112" s="7" t="n">
        <x:f>'月度收益'!H1429</x:f>
        <x:v>-0.10389917869929266</x:v>
      </x:c>
      <x:c r="F112" s="1" t="str">
        <x:v>2008-05-30</x:v>
      </x:c>
      <x:c r="G112" s="1" t="str">
        <x:v>2008-06-02</x:v>
      </x:c>
      <x:c r="H112" s="1" t="str">
        <x:v>2008-09-02</x:v>
      </x:c>
      <x:c r="I112" s="1" t="str">
        <x:v>2008-09-02</x:v>
      </x:c>
      <x:c r="J112" s="5" t="n">
        <x:v>2792.24</x:v>
      </x:c>
      <x:c r="K112" s="5" t="n">
        <x:v>1893.01</x:v>
      </x:c>
      <x:c r="L112" s="7" t="n">
        <x:f>K112/J112-1</x:f>
        <x:v>-0.32204609918918137</x:v>
      </x:c>
      <x:c r="M112" s="1" t="str">
        <x:v>已完成</x:v>
      </x:c>
      <x:c r="N112" s="1" t="n">
        <x:v>65</x:v>
      </x:c>
      <x:c r="O112" s="1" t="n">
        <x:v>92</x:v>
      </x:c>
      <x:c r="P112" s="7" t="n">
        <x:v>-0.3390896492911204</x:v>
      </x:c>
      <x:c r="Q112" s="7" t="n">
        <x:v>-0.3438064063261037</x:v>
      </x:c>
      <x:c r="R112" s="1" t="str">
        <x:v>2008-06-02</x:v>
      </x:c>
      <x:c r="S112" s="1" t="str">
        <x:v>2008-08-18</x:v>
      </x:c>
    </x:row>
    <x:row r="113" ht="25" customHeight="1">
      <x:c r="A113" s="1" t="str">
        <x:v>sh000016</x:v>
      </x:c>
      <x:c r="B113" s="1" t="str">
        <x:v>上证50</x:v>
      </x:c>
      <x:c r="C113" s="1" t="str">
        <x:v>2008-06</x:v>
      </x:c>
      <x:c r="D113" s="1" t="n">
        <x:v>1</x:v>
      </x:c>
      <x:c r="E113" s="7" t="n">
        <x:f>'月度收益'!H1430</x:f>
        <x:v>-0.2232155927434759</x:v>
      </x:c>
      <x:c r="F113" s="1" t="str">
        <x:v>2008-06-30</x:v>
      </x:c>
      <x:c r="G113" s="1" t="str">
        <x:v>2008-07-01</x:v>
      </x:c>
      <x:c r="H113" s="1" t="str">
        <x:v>2008-10-01</x:v>
      </x:c>
      <x:c r="I113" s="1" t="str">
        <x:v>2008-10-06</x:v>
      </x:c>
      <x:c r="J113" s="5" t="n">
        <x:v>2181.71</x:v>
      </x:c>
      <x:c r="K113" s="5" t="n">
        <x:v>1788.97</x:v>
      </x:c>
      <x:c r="L113" s="7" t="n">
        <x:f>K113/J113-1</x:f>
        <x:v>-0.18001475906513698</x:v>
      </x:c>
      <x:c r="M113" s="1" t="str">
        <x:v>已完成</x:v>
      </x:c>
      <x:c r="N113" s="1" t="n">
        <x:v>63</x:v>
      </x:c>
      <x:c r="O113" s="1" t="n">
        <x:v>97</x:v>
      </x:c>
      <x:c r="P113" s="7" t="n">
        <x:v>-0.3439990954830686</x:v>
      </x:c>
      <x:c r="Q113" s="7" t="n">
        <x:v>-0.3429740891319194</x:v>
      </x:c>
      <x:c r="R113" s="1" t="str">
        <x:v>2008-07-24</x:v>
      </x:c>
      <x:c r="S113" s="1" t="str">
        <x:v>2008-09-18</x:v>
      </x:c>
    </x:row>
    <x:row r="114" ht="25" customHeight="1">
      <x:c r="A114" s="1" t="str">
        <x:v>sh000016</x:v>
      </x:c>
      <x:c r="B114" s="1" t="str">
        <x:v>上证50</x:v>
      </x:c>
      <x:c r="C114" s="1" t="str">
        <x:v>2008-10</x:v>
      </x:c>
      <x:c r="D114" s="1" t="n">
        <x:v>1</x:v>
      </x:c>
      <x:c r="E114" s="7" t="n">
        <x:f>'月度收益'!H1434</x:f>
        <x:v>-0.2670012256119778</x:v>
      </x:c>
      <x:c r="F114" s="1" t="str">
        <x:v>2008-10-31</x:v>
      </x:c>
      <x:c r="G114" s="1" t="str">
        <x:v>2008-11-03</x:v>
      </x:c>
      <x:c r="H114" s="1" t="str">
        <x:v>2009-02-03</x:v>
      </x:c>
      <x:c r="I114" s="1" t="str">
        <x:v>2009-02-03</x:v>
      </x:c>
      <x:c r="J114" s="5" t="n">
        <x:v>1312.79</x:v>
      </x:c>
      <x:c r="K114" s="5" t="n">
        <x:v>1542.43</x:v>
      </x:c>
      <x:c r="L114" s="7" t="n">
        <x:f>K114/J114-1</x:f>
        <x:v>0.17492515939335318</x:v>
      </x:c>
      <x:c r="M114" s="1" t="str">
        <x:v>已完成</x:v>
      </x:c>
      <x:c r="N114" s="1" t="n">
        <x:v>59</x:v>
      </x:c>
      <x:c r="O114" s="1" t="n">
        <x:v>92</x:v>
      </x:c>
      <x:c r="P114" s="7" t="n">
        <x:v>-0.13846431393041325</x:v>
      </x:c>
      <x:c r="Q114" s="7" t="n">
        <x:v>-0.016742967268184583</x:v>
      </x:c>
      <x:c r="R114" s="1" t="str">
        <x:v>2008-12-10</x:v>
      </x:c>
      <x:c r="S114" s="1" t="str">
        <x:v>2008-12-31</x:v>
      </x:c>
    </x:row>
    <x:row r="115" ht="25" customHeight="1">
      <x:c r="A115" s="1" t="str">
        <x:v>sh000016</x:v>
      </x:c>
      <x:c r="B115" s="1" t="str">
        <x:v>上证50</x:v>
      </x:c>
      <x:c r="C115" s="1" t="str">
        <x:v>2009-08</x:v>
      </x:c>
      <x:c r="D115" s="1" t="n">
        <x:v>1</x:v>
      </x:c>
      <x:c r="E115" s="7" t="n">
        <x:f>'月度收益'!H1444</x:f>
        <x:v>-0.2734576075033104</x:v>
      </x:c>
      <x:c r="F115" s="1" t="str">
        <x:v>2009-08-31</x:v>
      </x:c>
      <x:c r="G115" s="1" t="str">
        <x:v>2009-09-01</x:v>
      </x:c>
      <x:c r="H115" s="1" t="str">
        <x:v>2009-12-01</x:v>
      </x:c>
      <x:c r="I115" s="1" t="str">
        <x:v>2009-12-01</x:v>
      </x:c>
      <x:c r="J115" s="5" t="n">
        <x:v>2033.44</x:v>
      </x:c>
      <x:c r="K115" s="5" t="n">
        <x:v>2461.71</x:v>
      </x:c>
      <x:c r="L115" s="7" t="n">
        <x:f>K115/J115-1</x:f>
        <x:v>0.2106135415847037</x:v>
      </x:c>
      <x:c r="M115" s="1" t="str">
        <x:v>已完成</x:v>
      </x:c>
      <x:c r="N115" s="1" t="n">
        <x:v>59</x:v>
      </x:c>
      <x:c r="O115" s="1" t="n">
        <x:v>91</x:v>
      </x:c>
      <x:c r="P115" s="7" t="n">
        <x:v>-0.09356357401282</x:v>
      </x:c>
      <x:c r="Q115" s="7" t="n">
        <x:v>0</x:v>
      </x:c>
      <x:c r="R115" s="1" t="str">
        <x:v>2009-09-15</x:v>
      </x:c>
      <x:c r="S115" s="1" t="str">
        <x:v>2009-09-28</x:v>
      </x:c>
    </x:row>
    <x:row r="116" ht="25" customHeight="1">
      <x:c r="A116" s="1" t="str">
        <x:v>sh000016</x:v>
      </x:c>
      <x:c r="B116" s="1" t="str">
        <x:v>上证50</x:v>
      </x:c>
      <x:c r="C116" s="1" t="str">
        <x:v>2010-01</x:v>
      </x:c>
      <x:c r="D116" s="1" t="n">
        <x:v>1</x:v>
      </x:c>
      <x:c r="E116" s="7" t="n">
        <x:f>'月度收益'!H1449</x:f>
        <x:v>-0.12131333698801805</x:v>
      </x:c>
      <x:c r="F116" s="1" t="str">
        <x:v>2010-01-29</x:v>
      </x:c>
      <x:c r="G116" s="1" t="str">
        <x:v>2010-02-01</x:v>
      </x:c>
      <x:c r="H116" s="1" t="str">
        <x:v>2010-05-01</x:v>
      </x:c>
      <x:c r="I116" s="1" t="str">
        <x:v>2010-05-04</x:v>
      </x:c>
      <x:c r="J116" s="5" t="n">
        <x:v>2238.62</x:v>
      </x:c>
      <x:c r="K116" s="5" t="n">
        <x:v>2103.67</x:v>
      </x:c>
      <x:c r="L116" s="7" t="n">
        <x:f>K116/J116-1</x:f>
        <x:v>-0.0602826741474658</x:v>
      </x:c>
      <x:c r="M116" s="1" t="str">
        <x:v>已完成</x:v>
      </x:c>
      <x:c r="N116" s="1" t="n">
        <x:v>59</x:v>
      </x:c>
      <x:c r="O116" s="1" t="n">
        <x:v>92</x:v>
      </x:c>
      <x:c r="P116" s="7" t="n">
        <x:v>-0.11580411820829772</x:v>
      </x:c>
      <x:c r="Q116" s="7" t="n">
        <x:v>-0.06039435009068084</x:v>
      </x:c>
      <x:c r="R116" s="1" t="str">
        <x:v>2010-04-02</x:v>
      </x:c>
      <x:c r="S116" s="1" t="str">
        <x:v>2010-05-04</x:v>
      </x:c>
    </x:row>
    <x:row r="117" ht="25" customHeight="1">
      <x:c r="A117" s="1" t="str">
        <x:v>sh000016</x:v>
      </x:c>
      <x:c r="B117" s="1" t="str">
        <x:v>上证50</x:v>
      </x:c>
      <x:c r="C117" s="1" t="str">
        <x:v>2010-05</x:v>
      </x:c>
      <x:c r="D117" s="1" t="n">
        <x:v>1</x:v>
      </x:c>
      <x:c r="E117" s="7" t="n">
        <x:f>'月度收益'!H1453</x:f>
        <x:v>-0.10390565028263044</x:v>
      </x:c>
      <x:c r="F117" s="1" t="str">
        <x:v>2010-05-31</x:v>
      </x:c>
      <x:c r="G117" s="1" t="str">
        <x:v>2010-06-01</x:v>
      </x:c>
      <x:c r="H117" s="1" t="str">
        <x:v>2010-09-01</x:v>
      </x:c>
      <x:c r="I117" s="1" t="str">
        <x:v>2010-09-01</x:v>
      </x:c>
      <x:c r="J117" s="5" t="n">
        <x:v>1916.62</x:v>
      </x:c>
      <x:c r="K117" s="5" t="n">
        <x:v>1927.72</x:v>
      </x:c>
      <x:c r="L117" s="7" t="n">
        <x:f>K117/J117-1</x:f>
        <x:v>0.005791445356930547</x:v>
      </x:c>
      <x:c r="M117" s="1" t="str">
        <x:v>已完成</x:v>
      </x:c>
      <x:c r="N117" s="1" t="n">
        <x:v>63</x:v>
      </x:c>
      <x:c r="O117" s="1" t="n">
        <x:v>92</x:v>
      </x:c>
      <x:c r="P117" s="7" t="n">
        <x:v>-0.07031371210475679</x:v>
      </x:c>
      <x:c r="Q117" s="7" t="n">
        <x:v>-0.07572184366228041</x:v>
      </x:c>
      <x:c r="R117" s="1" t="str">
        <x:v>2010-06-21</x:v>
      </x:c>
      <x:c r="S117" s="1" t="str">
        <x:v>2010-07-05</x:v>
      </x:c>
    </x:row>
    <x:row r="118" ht="25" customHeight="1">
      <x:c r="A118" s="1" t="str">
        <x:v>sh000016</x:v>
      </x:c>
      <x:c r="B118" s="1" t="str">
        <x:v>上证50</x:v>
      </x:c>
      <x:c r="C118" s="1" t="str">
        <x:v>2013-06</x:v>
      </x:c>
      <x:c r="D118" s="1" t="n">
        <x:v>1</x:v>
      </x:c>
      <x:c r="E118" s="7" t="n">
        <x:f>'月度收益'!H1490</x:f>
        <x:v>-0.15694292836312085</x:v>
      </x:c>
      <x:c r="F118" s="1" t="str">
        <x:v>2013-06-28</x:v>
      </x:c>
      <x:c r="G118" s="1" t="str">
        <x:v>2013-07-01</x:v>
      </x:c>
      <x:c r="H118" s="1" t="str">
        <x:v>2013-10-01</x:v>
      </x:c>
      <x:c r="I118" s="1" t="str">
        <x:v>2013-10-08</x:v>
      </x:c>
      <x:c r="J118" s="5" t="n">
        <x:v>1539.78</x:v>
      </x:c>
      <x:c r="K118" s="5" t="n">
        <x:v>1637.98</x:v>
      </x:c>
      <x:c r="L118" s="7" t="n">
        <x:f>K118/J118-1</x:f>
        <x:v>0.06377534452973799</x:v>
      </x:c>
      <x:c r="M118" s="1" t="str">
        <x:v>已完成</x:v>
      </x:c>
      <x:c r="N118" s="1" t="n">
        <x:v>64</x:v>
      </x:c>
      <x:c r="O118" s="1" t="n">
        <x:v>99</x:v>
      </x:c>
      <x:c r="P118" s="7" t="n">
        <x:v>-0.09259259259259267</x:v>
      </x:c>
      <x:c r="Q118" s="7" t="n">
        <x:v>-0.039992726233617715</x:v>
      </x:c>
      <x:c r="R118" s="1" t="str">
        <x:v>2013-07-11</x:v>
      </x:c>
      <x:c r="S118" s="1" t="str">
        <x:v>2013-07-29</x:v>
      </x:c>
    </x:row>
    <x:row r="119" ht="25" customHeight="1">
      <x:c r="A119" s="1" t="str">
        <x:v>sh000016</x:v>
      </x:c>
      <x:c r="B119" s="1" t="str">
        <x:v>上证50</x:v>
      </x:c>
      <x:c r="C119" s="1" t="str">
        <x:v>2015-07</x:v>
      </x:c>
      <x:c r="D119" s="1" t="n">
        <x:v>1</x:v>
      </x:c>
      <x:c r="E119" s="7" t="n">
        <x:f>'月度收益'!H1515</x:f>
        <x:v>-0.14243405121200836</x:v>
      </x:c>
      <x:c r="F119" s="1" t="str">
        <x:v>2015-07-31</x:v>
      </x:c>
      <x:c r="G119" s="1" t="str">
        <x:v>2015-08-03</x:v>
      </x:c>
      <x:c r="H119" s="1" t="str">
        <x:v>2015-11-03</x:v>
      </x:c>
      <x:c r="I119" s="1" t="str">
        <x:v>2015-11-03</x:v>
      </x:c>
      <x:c r="J119" s="5" t="n">
        <x:v>2433.24</x:v>
      </x:c>
      <x:c r="K119" s="5" t="n">
        <x:v>2283.8</x:v>
      </x:c>
      <x:c r="L119" s="7" t="n">
        <x:f>K119/J119-1</x:f>
        <x:v>-0.06141605431441188</x:v>
      </x:c>
      <x:c r="M119" s="1" t="str">
        <x:v>已完成</x:v>
      </x:c>
      <x:c r="N119" s="1" t="n">
        <x:v>59</x:v>
      </x:c>
      <x:c r="O119" s="1" t="n">
        <x:v>92</x:v>
      </x:c>
      <x:c r="P119" s="7" t="n">
        <x:v>-0.26879350259391976</x:v>
      </x:c>
      <x:c r="Q119" s="7" t="n">
        <x:v>-0.22974305863786548</x:v>
      </x:c>
      <x:c r="R119" s="1" t="str">
        <x:v>2015-08-10</x:v>
      </x:c>
      <x:c r="S119" s="1" t="str">
        <x:v>2015-08-25</x:v>
      </x:c>
    </x:row>
    <x:row r="120" ht="25" customHeight="1">
      <x:c r="A120" s="1" t="str">
        <x:v>sh000016</x:v>
      </x:c>
      <x:c r="B120" s="1" t="str">
        <x:v>上证50</x:v>
      </x:c>
      <x:c r="C120" s="1" t="str">
        <x:v>2015-08</x:v>
      </x:c>
      <x:c r="D120" s="1" t="n">
        <x:v>1</x:v>
      </x:c>
      <x:c r="E120" s="7" t="n">
        <x:f>'月度收益'!H1516</x:f>
        <x:v>-0.10189579236482427</x:v>
      </x:c>
      <x:c r="F120" s="1" t="str">
        <x:v>2015-08-31</x:v>
      </x:c>
      <x:c r="G120" s="1" t="str">
        <x:v>2015-09-01</x:v>
      </x:c>
      <x:c r="H120" s="1" t="str">
        <x:v>2015-12-01</x:v>
      </x:c>
      <x:c r="I120" s="1" t="str">
        <x:v>2015-12-01</x:v>
      </x:c>
      <x:c r="J120" s="5" t="n">
        <x:v>2155.96</x:v>
      </x:c>
      <x:c r="K120" s="5" t="n">
        <x:v>2334.14</x:v>
      </x:c>
      <x:c r="L120" s="7" t="n">
        <x:f>K120/J120-1</x:f>
        <x:v>0.08264531809495534</x:v>
      </x:c>
      <x:c r="M120" s="1" t="str">
        <x:v>已完成</x:v>
      </x:c>
      <x:c r="N120" s="1" t="n">
        <x:v>58</x:v>
      </x:c>
      <x:c r="O120" s="1" t="n">
        <x:v>91</x:v>
      </x:c>
      <x:c r="P120" s="7" t="n">
        <x:v>-0.07890042934713981</x:v>
      </x:c>
      <x:c r="Q120" s="7" t="n">
        <x:v>-0.033363327705523194</x:v>
      </x:c>
      <x:c r="R120" s="1" t="str">
        <x:v>2015-11-09</x:v>
      </x:c>
      <x:c r="S120" s="1" t="str">
        <x:v>2015-12-01</x:v>
      </x:c>
    </x:row>
    <x:row r="121" ht="25" customHeight="1">
      <x:c r="A121" s="1" t="str">
        <x:v>sh000016</x:v>
      </x:c>
      <x:c r="B121" s="1" t="str">
        <x:v>上证50</x:v>
      </x:c>
      <x:c r="C121" s="1" t="str">
        <x:v>2016-01</x:v>
      </x:c>
      <x:c r="D121" s="1" t="n">
        <x:v>1</x:v>
      </x:c>
      <x:c r="E121" s="7" t="n">
        <x:f>'月度收益'!H1521</x:f>
        <x:v>-0.1849760409781891</x:v>
      </x:c>
      <x:c r="F121" s="1" t="str">
        <x:v>2016-01-29</x:v>
      </x:c>
      <x:c r="G121" s="1" t="str">
        <x:v>2016-02-01</x:v>
      </x:c>
      <x:c r="H121" s="1" t="str">
        <x:v>2016-05-01</x:v>
      </x:c>
      <x:c r="I121" s="1" t="str">
        <x:v>2016-05-03</x:v>
      </x:c>
      <x:c r="J121" s="5" t="n">
        <x:v>1970.21</x:v>
      </x:c>
      <x:c r="K121" s="5" t="n">
        <x:v>2136.2</x:v>
      </x:c>
      <x:c r="L121" s="7" t="n">
        <x:f>K121/J121-1</x:f>
        <x:v>0.08424990229467921</x:v>
      </x:c>
      <x:c r="M121" s="1" t="str">
        <x:v>已完成</x:v>
      </x:c>
      <x:c r="N121" s="1" t="n">
        <x:v>59</x:v>
      </x:c>
      <x:c r="O121" s="1" t="n">
        <x:v>92</x:v>
      </x:c>
      <x:c r="P121" s="7" t="n">
        <x:v>-0.05904005141538382</x:v>
      </x:c>
      <x:c r="Q121" s="7" t="n">
        <x:v>-0.04015308012851426</x:v>
      </x:c>
      <x:c r="R121" s="1" t="str">
        <x:v>2016-02-22</x:v>
      </x:c>
      <x:c r="S121" s="1" t="str">
        <x:v>2016-02-25</x:v>
      </x:c>
    </x:row>
    <x:row r="122" ht="25" customHeight="1">
      <x:c r="A122" s="1" t="str">
        <x:v>sh000016</x:v>
      </x:c>
      <x:c r="B122" s="1" t="str">
        <x:v>上证50</x:v>
      </x:c>
      <x:c r="C122" s="1" t="str">
        <x:v>2021-07</x:v>
      </x:c>
      <x:c r="D122" s="1" t="n">
        <x:v>1</x:v>
      </x:c>
      <x:c r="E122" s="7" t="n">
        <x:f>'月度收益'!H1587</x:f>
        <x:v>-0.10456318865848258</x:v>
      </x:c>
      <x:c r="F122" s="1" t="str">
        <x:v>2021-07-30</x:v>
      </x:c>
      <x:c r="G122" s="1" t="str">
        <x:v>2021-08-02</x:v>
      </x:c>
      <x:c r="H122" s="1" t="str">
        <x:v>2021-11-02</x:v>
      </x:c>
      <x:c r="I122" s="1" t="str">
        <x:v>2021-11-02</x:v>
      </x:c>
      <x:c r="J122" s="5" t="n">
        <x:v>3112.3</x:v>
      </x:c>
      <x:c r="K122" s="5" t="n">
        <x:v>3245.04</x:v>
      </x:c>
      <x:c r="L122" s="7" t="n">
        <x:f>K122/J122-1</x:f>
        <x:v>0.042650130128843555</x:v>
      </x:c>
      <x:c r="M122" s="1" t="str">
        <x:v>已完成</x:v>
      </x:c>
      <x:c r="N122" s="1" t="n">
        <x:v>59</x:v>
      </x:c>
      <x:c r="O122" s="1" t="n">
        <x:v>92</x:v>
      </x:c>
      <x:c r="P122" s="7" t="n">
        <x:v>-0.06565003876970799</x:v>
      </x:c>
      <x:c r="Q122" s="7" t="n">
        <x:v>-0.021662436140474917</x:v>
      </x:c>
      <x:c r="R122" s="1" t="str">
        <x:v>2021-08-10</x:v>
      </x:c>
      <x:c r="S122" s="1" t="str">
        <x:v>2021-08-20</x:v>
      </x:c>
    </x:row>
    <x:row r="123" ht="25" customHeight="1">
      <x:c r="A123" s="1" t="str">
        <x:v>sh000016</x:v>
      </x:c>
      <x:c r="B123" s="1" t="str">
        <x:v>上证50</x:v>
      </x:c>
      <x:c r="C123" s="1" t="str">
        <x:v>2022-10</x:v>
      </x:c>
      <x:c r="D123" s="1" t="n">
        <x:v>1</x:v>
      </x:c>
      <x:c r="E123" s="7" t="n">
        <x:f>'月度收益'!H1602</x:f>
        <x:v>-0.12037760715982404</x:v>
      </x:c>
      <x:c r="F123" s="1" t="str">
        <x:v>2022-10-31</x:v>
      </x:c>
      <x:c r="G123" s="1" t="str">
        <x:v>2022-11-01</x:v>
      </x:c>
      <x:c r="H123" s="1" t="str">
        <x:v>2023-02-01</x:v>
      </x:c>
      <x:c r="I123" s="1" t="str">
        <x:v>2023-02-01</x:v>
      </x:c>
      <x:c r="J123" s="5" t="n">
        <x:v>2306.43</x:v>
      </x:c>
      <x:c r="K123" s="5" t="n">
        <x:v>2819.18</x:v>
      </x:c>
      <x:c r="L123" s="7" t="n">
        <x:f>K123/J123-1</x:f>
        <x:v>0.22231327202646511</x:v>
      </x:c>
      <x:c r="M123" s="1" t="str">
        <x:v>已完成</x:v>
      </x:c>
      <x:c r="N123" s="1" t="n">
        <x:v>60</x:v>
      </x:c>
      <x:c r="O123" s="1" t="n">
        <x:v>92</x:v>
      </x:c>
      <x:c r="P123" s="7" t="n">
        <x:v>-0.039623310698478575</x:v>
      </x:c>
      <x:c r="Q123" s="7" t="n">
        <x:v>0</x:v>
      </x:c>
      <x:c r="R123" s="1" t="str">
        <x:v>2022-12-09</x:v>
      </x:c>
      <x:c r="S123" s="1" t="str">
        <x:v>2022-12-20</x:v>
      </x:c>
    </x:row>
    <x:row r="124" ht="25" customHeight="1">
      <x:c r="A124" s="1" t="str">
        <x:v>sz399001</x:v>
      </x:c>
      <x:c r="B124" s="1" t="str">
        <x:v>深证成指</x:v>
      </x:c>
      <x:c r="C124" s="1" t="str">
        <x:v>1991-05</x:v>
      </x:c>
      <x:c r="D124" s="1" t="n">
        <x:v>0</x:v>
      </x:c>
      <x:c r="E124" s="7" t="n">
        <x:f>'月度收益'!H1652</x:f>
        <x:v>-0.10571182092669529</x:v>
      </x:c>
      <x:c r="F124" s="1" t="str">
        <x:v>1991-05-31</x:v>
      </x:c>
      <x:c r="G124" s="1" t="str">
        <x:v>1991-06-01</x:v>
      </x:c>
      <x:c r="H124" s="1" t="str">
        <x:v>1991-09-01</x:v>
      </x:c>
      <x:c r="I124" s="1" t="str">
        <x:v>1991-09-02</x:v>
      </x:c>
      <x:c r="J124" s="5" t="n">
        <x:v>784.48</x:v>
      </x:c>
      <x:c r="K124" s="5" t="n">
        <x:v>431.03</x:v>
      </x:c>
      <x:c r="L124" s="7" t="n">
        <x:f>K124/J124-1</x:f>
        <x:v>-0.4505532327146645</x:v>
      </x:c>
      <x:c r="M124" s="1" t="str">
        <x:v>已完成</x:v>
      </x:c>
      <x:c r="N124" s="1" t="n">
        <x:v>79</x:v>
      </x:c>
      <x:c r="O124" s="1" t="n">
        <x:v>93</x:v>
      </x:c>
      <x:c r="P124" s="7" t="n">
        <x:v>-0.4505532327146645</x:v>
      </x:c>
      <x:c r="Q124" s="7" t="n">
        <x:v>-0.45709259636956967</x:v>
      </x:c>
      <x:c r="R124" s="1" t="str">
        <x:v>1991-06-01</x:v>
      </x:c>
      <x:c r="S124" s="1" t="str">
        <x:v>1991-09-02</x:v>
      </x:c>
    </x:row>
    <x:row r="125" ht="25" customHeight="1">
      <x:c r="A125" s="1" t="str">
        <x:v>sz399001</x:v>
      </x:c>
      <x:c r="B125" s="1" t="str">
        <x:v>深证成指</x:v>
      </x:c>
      <x:c r="C125" s="1" t="str">
        <x:v>1991-06</x:v>
      </x:c>
      <x:c r="D125" s="1" t="n">
        <x:v>0</x:v>
      </x:c>
      <x:c r="E125" s="7" t="n">
        <x:f>'月度收益'!H1653</x:f>
        <x:v>-0.1235895157707686</x:v>
      </x:c>
      <x:c r="F125" s="1" t="str">
        <x:v>1991-06-29</x:v>
      </x:c>
      <x:c r="G125" s="1" t="str">
        <x:v>1991-07-01</x:v>
      </x:c>
      <x:c r="H125" s="1" t="str">
        <x:v>1991-10-01</x:v>
      </x:c>
      <x:c r="I125" s="1" t="str">
        <x:v>1991-10-03</x:v>
      </x:c>
      <x:c r="J125" s="5" t="n">
        <x:v>685.65</x:v>
      </x:c>
      <x:c r="K125" s="5" t="n">
        <x:v>417.56</x:v>
      </x:c>
      <x:c r="L125" s="7" t="n">
        <x:f>K125/J125-1</x:f>
        <x:v>-0.39100123969955514</x:v>
      </x:c>
      <x:c r="M125" s="1" t="str">
        <x:v>已完成</x:v>
      </x:c>
      <x:c r="N125" s="1" t="n">
        <x:v>79</x:v>
      </x:c>
      <x:c r="O125" s="1" t="n">
        <x:v>94</x:v>
      </x:c>
      <x:c r="P125" s="7" t="n">
        <x:v>-0.41296579887697804</x:v>
      </x:c>
      <x:c r="Q125" s="7" t="n">
        <x:v>-0.42168744986509155</x:v>
      </x:c>
      <x:c r="R125" s="1" t="str">
        <x:v>1991-07-01</x:v>
      </x:c>
      <x:c r="S125" s="1" t="str">
        <x:v>1991-09-06</x:v>
      </x:c>
    </x:row>
    <x:row r="126" ht="25" customHeight="1">
      <x:c r="A126" s="1" t="str">
        <x:v>sz399001</x:v>
      </x:c>
      <x:c r="B126" s="1" t="str">
        <x:v>深证成指</x:v>
      </x:c>
      <x:c r="C126" s="1" t="str">
        <x:v>1991-07</x:v>
      </x:c>
      <x:c r="D126" s="1" t="n">
        <x:v>0</x:v>
      </x:c>
      <x:c r="E126" s="7" t="n">
        <x:f>'月度收益'!H1654</x:f>
        <x:v>-0.16229289769435762</x:v>
      </x:c>
      <x:c r="F126" s="1" t="str">
        <x:v>1991-07-31</x:v>
      </x:c>
      <x:c r="G126" s="1" t="str">
        <x:v>1991-08-01</x:v>
      </x:c>
      <x:c r="H126" s="1" t="str">
        <x:v>1991-11-01</x:v>
      </x:c>
      <x:c r="I126" s="1" t="str">
        <x:v>1991-11-01</x:v>
      </x:c>
      <x:c r="J126" s="5" t="n">
        <x:v>574.82</x:v>
      </x:c>
      <x:c r="K126" s="5" t="n">
        <x:v>783.42</x:v>
      </x:c>
      <x:c r="L126" s="7" t="n">
        <x:f>K126/J126-1</x:f>
        <x:v>0.36289621098778735</x:v>
      </x:c>
      <x:c r="M126" s="1" t="str">
        <x:v>已完成</x:v>
      </x:c>
      <x:c r="N126" s="1" t="n">
        <x:v>77</x:v>
      </x:c>
      <x:c r="O126" s="1" t="n">
        <x:v>92</x:v>
      </x:c>
      <x:c r="P126" s="7" t="n">
        <x:v>-0.30521991300145</x:v>
      </x:c>
      <x:c r="Q126" s="7" t="n">
        <x:v>-0.310184057618037</x:v>
      </x:c>
      <x:c r="R126" s="1" t="str">
        <x:v>1991-08-01</x:v>
      </x:c>
      <x:c r="S126" s="1" t="str">
        <x:v>1991-09-06</x:v>
      </x:c>
    </x:row>
    <x:row r="127" ht="25" customHeight="1">
      <x:c r="A127" s="1" t="str">
        <x:v>sz399001</x:v>
      </x:c>
      <x:c r="B127" s="1" t="str">
        <x:v>深证成指</x:v>
      </x:c>
      <x:c r="C127" s="1" t="str">
        <x:v>1991-08</x:v>
      </x:c>
      <x:c r="D127" s="1" t="n">
        <x:v>0</x:v>
      </x:c>
      <x:c r="E127" s="7" t="n">
        <x:f>'月度收益'!H1655</x:f>
        <x:v>-0.2515300300819473</x:v>
      </x:c>
      <x:c r="F127" s="1" t="str">
        <x:v>1991-08-31</x:v>
      </x:c>
      <x:c r="G127" s="1" t="str">
        <x:v>1991-09-02</x:v>
      </x:c>
      <x:c r="H127" s="1" t="str">
        <x:v>1991-12-02</x:v>
      </x:c>
      <x:c r="I127" s="1" t="str">
        <x:v>1991-12-02</x:v>
      </x:c>
      <x:c r="J127" s="5" t="n">
        <x:v>431.03</x:v>
      </x:c>
      <x:c r="K127" s="5" t="n">
        <x:v>881.63</x:v>
      </x:c>
      <x:c r="L127" s="7" t="n">
        <x:f>K127/J127-1</x:f>
        <x:v>1.0454028721898707</x:v>
      </x:c>
      <x:c r="M127" s="1" t="str">
        <x:v>已完成</x:v>
      </x:c>
      <x:c r="N127" s="1" t="n">
        <x:v>75</x:v>
      </x:c>
      <x:c r="O127" s="1" t="n">
        <x:v>91</x:v>
      </x:c>
      <x:c r="P127" s="7" t="n">
        <x:v>-0.25727983552964173</x:v>
      </x:c>
      <x:c r="Q127" s="7" t="n">
        <x:v>-0.08006403266593975</x:v>
      </x:c>
      <x:c r="R127" s="1" t="str">
        <x:v>1991-11-14</x:v>
      </x:c>
      <x:c r="S127" s="1" t="str">
        <x:v>1991-11-30</x:v>
      </x:c>
    </x:row>
    <x:row r="128" ht="25" customHeight="1">
      <x:c r="A128" s="1" t="str">
        <x:v>sz399001</x:v>
      </x:c>
      <x:c r="B128" s="1" t="str">
        <x:v>深证成指</x:v>
      </x:c>
      <x:c r="C128" s="1" t="str">
        <x:v>1992-10</x:v>
      </x:c>
      <x:c r="D128" s="1" t="n">
        <x:v>0</x:v>
      </x:c>
      <x:c r="E128" s="7" t="n">
        <x:f>'月度收益'!H1669</x:f>
        <x:v>-0.1382952842108568</x:v>
      </x:c>
      <x:c r="F128" s="1" t="str">
        <x:v>1992-10-30</x:v>
      </x:c>
      <x:c r="G128" s="1" t="str">
        <x:v>1992-11-02</x:v>
      </x:c>
      <x:c r="H128" s="1" t="str">
        <x:v>1993-02-02</x:v>
      </x:c>
      <x:c r="I128" s="1" t="str">
        <x:v>1993-02-02</x:v>
      </x:c>
      <x:c r="J128" s="5" t="n">
        <x:v>2203.73</x:v>
      </x:c>
      <x:c r="K128" s="5" t="n">
        <x:v>2872.4</x:v>
      </x:c>
      <x:c r="L128" s="7" t="n">
        <x:f>K128/J128-1</x:f>
        <x:v>0.30342646331447143</x:v>
      </x:c>
      <x:c r="M128" s="1" t="str">
        <x:v>已完成</x:v>
      </x:c>
      <x:c r="N128" s="1" t="n">
        <x:v>58</x:v>
      </x:c>
      <x:c r="O128" s="1" t="n">
        <x:v>92</x:v>
      </x:c>
      <x:c r="P128" s="7" t="n">
        <x:v>-0.28560667595395084</x:v>
      </x:c>
      <x:c r="Q128" s="7" t="n">
        <x:v>-0.30608105348658865</x:v>
      </x:c>
      <x:c r="R128" s="1" t="str">
        <x:v>1992-11-02</x:v>
      </x:c>
      <x:c r="S128" s="1" t="str">
        <x:v>1992-11-23</x:v>
      </x:c>
    </x:row>
    <x:row r="129" ht="25" customHeight="1">
      <x:c r="A129" s="1" t="str">
        <x:v>sz399001</x:v>
      </x:c>
      <x:c r="B129" s="1" t="str">
        <x:v>深证成指</x:v>
      </x:c>
      <x:c r="C129" s="1" t="str">
        <x:v>1993-05</x:v>
      </x:c>
      <x:c r="D129" s="1" t="n">
        <x:v>0</x:v>
      </x:c>
      <x:c r="E129" s="7" t="n">
        <x:f>'月度收益'!H1676</x:f>
        <x:v>-0.13278197514742618</x:v>
      </x:c>
      <x:c r="F129" s="1" t="str">
        <x:v>1993-05-31</x:v>
      </x:c>
      <x:c r="G129" s="1" t="str">
        <x:v>1993-06-01</x:v>
      </x:c>
      <x:c r="H129" s="1" t="str">
        <x:v>1993-09-01</x:v>
      </x:c>
      <x:c r="I129" s="1" t="str">
        <x:v>1993-09-01</x:v>
      </x:c>
      <x:c r="J129" s="5" t="n">
        <x:v>2517.08</x:v>
      </x:c>
      <x:c r="K129" s="5" t="n">
        <x:v>2342.46</x:v>
      </x:c>
      <x:c r="L129" s="7" t="n">
        <x:f>K129/J129-1</x:f>
        <x:v>-0.0693740365820712</x:v>
      </x:c>
      <x:c r="M129" s="1" t="str">
        <x:v>已完成</x:v>
      </x:c>
      <x:c r="N129" s="1" t="n">
        <x:v>66</x:v>
      </x:c>
      <x:c r="O129" s="1" t="n">
        <x:v>92</x:v>
      </x:c>
      <x:c r="P129" s="7" t="n">
        <x:v>-0.30506368680159424</x:v>
      </x:c>
      <x:c r="Q129" s="7" t="n">
        <x:v>-0.3293101530344684</x:v>
      </x:c>
      <x:c r="R129" s="1" t="str">
        <x:v>1993-06-03</x:v>
      </x:c>
      <x:c r="S129" s="1" t="str">
        <x:v>1993-07-21</x:v>
      </x:c>
    </x:row>
    <x:row r="130" ht="25" customHeight="1">
      <x:c r="A130" s="1" t="str">
        <x:v>sz399001</x:v>
      </x:c>
      <x:c r="B130" s="1" t="str">
        <x:v>深证成指</x:v>
      </x:c>
      <x:c r="C130" s="1" t="str">
        <x:v>1993-07</x:v>
      </x:c>
      <x:c r="D130" s="1" t="n">
        <x:v>0</x:v>
      </x:c>
      <x:c r="E130" s="7" t="n">
        <x:f>'月度收益'!H1678</x:f>
        <x:v>-0.10656151365592037</x:v>
      </x:c>
      <x:c r="F130" s="1" t="str">
        <x:v>1993-07-30</x:v>
      </x:c>
      <x:c r="G130" s="1" t="str">
        <x:v>1993-08-02</x:v>
      </x:c>
      <x:c r="H130" s="1" t="str">
        <x:v>1993-11-02</x:v>
      </x:c>
      <x:c r="I130" s="1" t="str">
        <x:v>1993-11-02</x:v>
      </x:c>
      <x:c r="J130" s="5" t="n">
        <x:v>2107.57</x:v>
      </x:c>
      <x:c r="K130" s="5" t="n">
        <x:v>2095.77</x:v>
      </x:c>
      <x:c r="L130" s="7" t="n">
        <x:f>K130/J130-1</x:f>
        <x:v>-0.005598865043628498</x:v>
      </x:c>
      <x:c r="M130" s="1" t="str">
        <x:v>已完成</x:v>
      </x:c>
      <x:c r="N130" s="1" t="n">
        <x:v>64</x:v>
      </x:c>
      <x:c r="O130" s="1" t="n">
        <x:v>92</x:v>
      </x:c>
      <x:c r="P130" s="7" t="n">
        <x:v>-0.236409923442905</x:v>
      </x:c>
      <x:c r="Q130" s="7" t="n">
        <x:v>-0.052439539374730226</x:v>
      </x:c>
      <x:c r="R130" s="1" t="str">
        <x:v>1993-08-16</x:v>
      </x:c>
      <x:c r="S130" s="1" t="str">
        <x:v>1993-10-25</x:v>
      </x:c>
    </x:row>
    <x:row r="131" ht="25" customHeight="1">
      <x:c r="A131" s="1" t="str">
        <x:v>sz399001</x:v>
      </x:c>
      <x:c r="B131" s="1" t="str">
        <x:v>深证成指</x:v>
      </x:c>
      <x:c r="C131" s="1" t="str">
        <x:v>1994-01</x:v>
      </x:c>
      <x:c r="D131" s="1" t="n">
        <x:v>0</x:v>
      </x:c>
      <x:c r="E131" s="7" t="n">
        <x:f>'月度收益'!H1684</x:f>
        <x:v>-0.17142690237172975</x:v>
      </x:c>
      <x:c r="F131" s="1" t="str">
        <x:v>1994-01-31</x:v>
      </x:c>
      <x:c r="G131" s="1" t="str">
        <x:v>1994-02-01</x:v>
      </x:c>
      <x:c r="H131" s="1" t="str">
        <x:v>1994-05-01</x:v>
      </x:c>
      <x:c r="I131" s="1" t="str">
        <x:v>1994-05-03</x:v>
      </x:c>
      <x:c r="J131" s="5" t="n">
        <x:v>1817.4</x:v>
      </x:c>
      <x:c r="K131" s="5" t="n">
        <x:v>1394.27</x:v>
      </x:c>
      <x:c r="L131" s="7" t="n">
        <x:f>K131/J131-1</x:f>
        <x:v>-0.2328216132937163</x:v>
      </x:c>
      <x:c r="M131" s="1" t="str">
        <x:v>已完成</x:v>
      </x:c>
      <x:c r="N131" s="1" t="n">
        <x:v>59</x:v>
      </x:c>
      <x:c r="O131" s="1" t="n">
        <x:v>91</x:v>
      </x:c>
      <x:c r="P131" s="7" t="n">
        <x:v>-0.4412487580400566</x:v>
      </x:c>
      <x:c r="Q131" s="7" t="n">
        <x:v>-0.36405854517442504</x:v>
      </x:c>
      <x:c r="R131" s="1" t="str">
        <x:v>1994-02-04</x:v>
      </x:c>
      <x:c r="S131" s="1" t="str">
        <x:v>1994-04-20</x:v>
      </x:c>
    </x:row>
    <x:row r="132" ht="25" customHeight="1">
      <x:c r="A132" s="1" t="str">
        <x:v>sz399001</x:v>
      </x:c>
      <x:c r="B132" s="1" t="str">
        <x:v>深证成指</x:v>
      </x:c>
      <x:c r="C132" s="1" t="str">
        <x:v>1994-03</x:v>
      </x:c>
      <x:c r="D132" s="1" t="n">
        <x:v>0</x:v>
      </x:c>
      <x:c r="E132" s="7" t="n">
        <x:f>'月度收益'!H1686</x:f>
        <x:v>-0.16793828009618406</x:v>
      </x:c>
      <x:c r="F132" s="1" t="str">
        <x:v>1994-03-31</x:v>
      </x:c>
      <x:c r="G132" s="1" t="str">
        <x:v>1994-04-01</x:v>
      </x:c>
      <x:c r="H132" s="1" t="str">
        <x:v>1994-07-01</x:v>
      </x:c>
      <x:c r="I132" s="1" t="str">
        <x:v>1994-07-01</x:v>
      </x:c>
      <x:c r="J132" s="5" t="n">
        <x:v>1550.42</x:v>
      </x:c>
      <x:c r="K132" s="5" t="n">
        <x:v>1145.9</x:v>
      </x:c>
      <x:c r="L132" s="7" t="n">
        <x:f>K132/J132-1</x:f>
        <x:v>-0.260909946982108</x:v>
      </x:c>
      <x:c r="M132" s="1" t="str">
        <x:v>已完成</x:v>
      </x:c>
      <x:c r="N132" s="1" t="n">
        <x:v>64</x:v>
      </x:c>
      <x:c r="O132" s="1" t="n">
        <x:v>91</x:v>
      </x:c>
      <x:c r="P132" s="7" t="n">
        <x:v>-0.2711265334554509</x:v>
      </x:c>
      <x:c r="Q132" s="7" t="n">
        <x:v>-0.27780214393519176</x:v>
      </x:c>
      <x:c r="R132" s="1" t="str">
        <x:v>1994-04-01</x:v>
      </x:c>
      <x:c r="S132" s="1" t="str">
        <x:v>1994-06-29</x:v>
      </x:c>
    </x:row>
    <x:row r="133" ht="25" customHeight="1">
      <x:c r="A133" s="1" t="str">
        <x:v>sz399001</x:v>
      </x:c>
      <x:c r="B133" s="1" t="str">
        <x:v>深证成指</x:v>
      </x:c>
      <x:c r="C133" s="1" t="str">
        <x:v>1994-04</x:v>
      </x:c>
      <x:c r="D133" s="1" t="n">
        <x:v>0</x:v>
      </x:c>
      <x:c r="E133" s="7" t="n">
        <x:f>'月度收益'!H1687</x:f>
        <x:v>-0.13070697620771632</x:v>
      </x:c>
      <x:c r="F133" s="1" t="str">
        <x:v>1994-04-29</x:v>
      </x:c>
      <x:c r="G133" s="1" t="str">
        <x:v>1994-05-03</x:v>
      </x:c>
      <x:c r="H133" s="1" t="str">
        <x:v>1994-08-03</x:v>
      </x:c>
      <x:c r="I133" s="1" t="str">
        <x:v>1994-08-03</x:v>
      </x:c>
      <x:c r="J133" s="5" t="n">
        <x:v>1394.27</x:v>
      </x:c>
      <x:c r="K133" s="5" t="n">
        <x:v>1209.43</x:v>
      </x:c>
      <x:c r="L133" s="7" t="n">
        <x:f>K133/J133-1</x:f>
        <x:v>-0.13257116627339027</x:v>
      </x:c>
      <x:c r="M133" s="1" t="str">
        <x:v>已完成</x:v>
      </x:c>
      <x:c r="N133" s="1" t="n">
        <x:v>66</x:v>
      </x:c>
      <x:c r="O133" s="1" t="n">
        <x:v>92</x:v>
      </x:c>
      <x:c r="P133" s="7" t="n">
        <x:v>-0.36033987238306175</x:v>
      </x:c>
      <x:c r="Q133" s="7" t="n">
        <x:v>-0.32292884448492765</x:v>
      </x:c>
      <x:c r="R133" s="1" t="str">
        <x:v>1994-05-10</x:v>
      </x:c>
      <x:c r="S133" s="1" t="str">
        <x:v>1994-07-28</x:v>
      </x:c>
    </x:row>
    <x:row r="134" ht="25" customHeight="1">
      <x:c r="A134" s="1" t="str">
        <x:v>sz399001</x:v>
      </x:c>
      <x:c r="B134" s="1" t="str">
        <x:v>深证成指</x:v>
      </x:c>
      <x:c r="C134" s="1" t="str">
        <x:v>1994-06</x:v>
      </x:c>
      <x:c r="D134" s="1" t="n">
        <x:v>0</x:v>
      </x:c>
      <x:c r="E134" s="7" t="n">
        <x:f>'月度收益'!H1689</x:f>
        <x:v>-0.14090137204514375</x:v>
      </x:c>
      <x:c r="F134" s="1" t="str">
        <x:v>1994-06-30</x:v>
      </x:c>
      <x:c r="G134" s="1" t="str">
        <x:v>1994-07-01</x:v>
      </x:c>
      <x:c r="H134" s="1" t="str">
        <x:v>1994-10-01</x:v>
      </x:c>
      <x:c r="I134" s="1" t="str">
        <x:v>1994-10-05</x:v>
      </x:c>
      <x:c r="J134" s="5" t="n">
        <x:v>1145.9</x:v>
      </x:c>
      <x:c r="K134" s="5" t="n">
        <x:v>1658.44</x:v>
      </x:c>
      <x:c r="L134" s="7" t="n">
        <x:f>K134/J134-1</x:f>
        <x:v>0.44728161270616984</x:v>
      </x:c>
      <x:c r="M134" s="1" t="str">
        <x:v>已完成</x:v>
      </x:c>
      <x:c r="N134" s="1" t="n">
        <x:v>66</x:v>
      </x:c>
      <x:c r="O134" s="1" t="n">
        <x:v>96</x:v>
      </x:c>
      <x:c r="P134" s="7" t="n">
        <x:v>-0.19922357849196537</x:v>
      </x:c>
      <x:c r="Q134" s="7" t="n">
        <x:v>-0.1761759315821626</x:v>
      </x:c>
      <x:c r="R134" s="1" t="str">
        <x:v>1994-09-12</x:v>
      </x:c>
      <x:c r="S134" s="1" t="str">
        <x:v>1994-10-05</x:v>
      </x:c>
    </x:row>
    <x:row r="135" ht="25" customHeight="1">
      <x:c r="A135" s="1" t="str">
        <x:v>sz399001</x:v>
      </x:c>
      <x:c r="B135" s="1" t="str">
        <x:v>深证成指</x:v>
      </x:c>
      <x:c r="C135" s="1" t="str">
        <x:v>1994-07</x:v>
      </x:c>
      <x:c r="D135" s="1" t="n">
        <x:v>0</x:v>
      </x:c>
      <x:c r="E135" s="7" t="n">
        <x:f>'月度收益'!H1690</x:f>
        <x:v>-0.15118862280686407</x:v>
      </x:c>
      <x:c r="F135" s="1" t="str">
        <x:v>1994-07-29</x:v>
      </x:c>
      <x:c r="G135" s="1" t="str">
        <x:v>1994-08-01</x:v>
      </x:c>
      <x:c r="H135" s="1" t="str">
        <x:v>1994-11-01</x:v>
      </x:c>
      <x:c r="I135" s="1" t="str">
        <x:v>1994-11-01</x:v>
      </x:c>
      <x:c r="J135" s="5" t="n">
        <x:v>1129.87</x:v>
      </x:c>
      <x:c r="K135" s="5" t="n">
        <x:v>1387.41</x:v>
      </x:c>
      <x:c r="L135" s="7" t="n">
        <x:f>K135/J135-1</x:f>
        <x:v>0.2279377273491643</x:v>
      </x:c>
      <x:c r="M135" s="1" t="str">
        <x:v>已完成</x:v>
      </x:c>
      <x:c r="N135" s="1" t="n">
        <x:v>64</x:v>
      </x:c>
      <x:c r="O135" s="1" t="n">
        <x:v>92</x:v>
      </x:c>
      <x:c r="P135" s="7" t="n">
        <x:v>-0.33376950710754016</x:v>
      </x:c>
      <x:c r="Q135" s="7" t="n">
        <x:v>-0.034924371830387435</x:v>
      </x:c>
      <x:c r="R135" s="1" t="str">
        <x:v>1994-09-12</x:v>
      </x:c>
      <x:c r="S135" s="1" t="str">
        <x:v>1994-10-17</x:v>
      </x:c>
    </x:row>
    <x:row r="136" ht="25" customHeight="1">
      <x:c r="A136" s="1" t="str">
        <x:v>sz399001</x:v>
      </x:c>
      <x:c r="B136" s="1" t="str">
        <x:v>深证成指</x:v>
      </x:c>
      <x:c r="C136" s="1" t="str">
        <x:v>1994-10</x:v>
      </x:c>
      <x:c r="D136" s="1" t="n">
        <x:v>0</x:v>
      </x:c>
      <x:c r="E136" s="7" t="n">
        <x:f>'月度收益'!H1693</x:f>
        <x:v>-0.19383935836336164</x:v>
      </x:c>
      <x:c r="F136" s="1" t="str">
        <x:v>1994-10-31</x:v>
      </x:c>
      <x:c r="G136" s="1" t="str">
        <x:v>1994-11-01</x:v>
      </x:c>
      <x:c r="H136" s="1" t="str">
        <x:v>1995-02-01</x:v>
      </x:c>
      <x:c r="I136" s="1" t="str">
        <x:v>1995-02-13</x:v>
      </x:c>
      <x:c r="J136" s="5" t="n">
        <x:v>1387.41</x:v>
      </x:c>
      <x:c r="K136" s="5" t="n">
        <x:v>1149.69</x:v>
      </x:c>
      <x:c r="L136" s="7" t="n">
        <x:f>K136/J136-1</x:f>
        <x:v>-0.17134084373040415</x:v>
      </x:c>
      <x:c r="M136" s="1" t="str">
        <x:v>已完成</x:v>
      </x:c>
      <x:c r="N136" s="1" t="n">
        <x:v>63</x:v>
      </x:c>
      <x:c r="O136" s="1" t="n">
        <x:v>104</x:v>
      </x:c>
      <x:c r="P136" s="7" t="n">
        <x:v>-0.20174127963805966</x:v>
      </x:c>
      <x:c r="Q136" s="7" t="n">
        <x:v>-0.18326233773722256</x:v>
      </x:c>
      <x:c r="R136" s="1" t="str">
        <x:v>1994-11-14</x:v>
      </x:c>
      <x:c r="S136" s="1" t="str">
        <x:v>1995-01-23</x:v>
      </x:c>
    </x:row>
    <x:row r="137" ht="25" customHeight="1">
      <x:c r="A137" s="1" t="str">
        <x:v>sz399001</x:v>
      </x:c>
      <x:c r="B137" s="1" t="str">
        <x:v>深证成指</x:v>
      </x:c>
      <x:c r="C137" s="1" t="str">
        <x:v>1995-04</x:v>
      </x:c>
      <x:c r="D137" s="1" t="n">
        <x:v>1</x:v>
      </x:c>
      <x:c r="E137" s="7" t="n">
        <x:f>'月度收益'!H1699</x:f>
        <x:v>-0.1119244642478252</x:v>
      </x:c>
      <x:c r="F137" s="1" t="str">
        <x:v>1995-04-28</x:v>
      </x:c>
      <x:c r="G137" s="1" t="str">
        <x:v>1995-05-02</x:v>
      </x:c>
      <x:c r="H137" s="1" t="str">
        <x:v>1995-08-02</x:v>
      </x:c>
      <x:c r="I137" s="1" t="str">
        <x:v>1995-08-02</x:v>
      </x:c>
      <x:c r="J137" s="5" t="n">
        <x:v>1085.94</x:v>
      </x:c>
      <x:c r="K137" s="5" t="n">
        <x:v>1104.33</x:v>
      </x:c>
      <x:c r="L137" s="7" t="n">
        <x:f>K137/J137-1</x:f>
        <x:v>0.016934637272777442</x:v>
      </x:c>
      <x:c r="M137" s="1" t="str">
        <x:v>已完成</x:v>
      </x:c>
      <x:c r="N137" s="1" t="n">
        <x:v>66</x:v>
      </x:c>
      <x:c r="O137" s="1" t="n">
        <x:v>92</x:v>
      </x:c>
      <x:c r="P137" s="7" t="n">
        <x:v>-0.27342552094005923</x:v>
      </x:c>
      <x:c r="Q137" s="7" t="n">
        <x:v>-0.056844761220693596</x:v>
      </x:c>
      <x:c r="R137" s="1" t="str">
        <x:v>1995-05-22</x:v>
      </x:c>
      <x:c r="S137" s="1" t="str">
        <x:v>1995-07-03</x:v>
      </x:c>
    </x:row>
    <x:row r="138" ht="25" customHeight="1">
      <x:c r="A138" s="1" t="str">
        <x:v>sz399001</x:v>
      </x:c>
      <x:c r="B138" s="1" t="str">
        <x:v>深证成指</x:v>
      </x:c>
      <x:c r="C138" s="1" t="str">
        <x:v>1996-12</x:v>
      </x:c>
      <x:c r="D138" s="1" t="n">
        <x:v>1</x:v>
      </x:c>
      <x:c r="E138" s="7" t="n">
        <x:f>'月度收益'!H1719</x:f>
        <x:v>-0.21150295579426392</x:v>
      </x:c>
      <x:c r="F138" s="1" t="str">
        <x:v>1996-12-31</x:v>
      </x:c>
      <x:c r="G138" s="1" t="str">
        <x:v>1997-01-02</x:v>
      </x:c>
      <x:c r="H138" s="1" t="str">
        <x:v>1997-04-02</x:v>
      </x:c>
      <x:c r="I138" s="1" t="str">
        <x:v>1997-04-02</x:v>
      </x:c>
      <x:c r="J138" s="5" t="n">
        <x:v>3195.52</x:v>
      </x:c>
      <x:c r="K138" s="5" t="n">
        <x:v>4578.85</x:v>
      </x:c>
      <x:c r="L138" s="7" t="n">
        <x:f>K138/J138-1</x:f>
        <x:v>0.4328966803524936</x:v>
      </x:c>
      <x:c r="M138" s="1" t="str">
        <x:v>已完成</x:v>
      </x:c>
      <x:c r="N138" s="1" t="n">
        <x:v>54</x:v>
      </x:c>
      <x:c r="O138" s="1" t="n">
        <x:v>90</x:v>
      </x:c>
      <x:c r="P138" s="7" t="n">
        <x:v>-0.09635080366787685</x:v>
      </x:c>
      <x:c r="Q138" s="7" t="n">
        <x:v>-0.06575455637893046</x:v>
      </x:c>
      <x:c r="R138" s="1" t="str">
        <x:v>1997-01-31</x:v>
      </x:c>
      <x:c r="S138" s="1" t="str">
        <x:v>1997-02-18</x:v>
      </x:c>
    </x:row>
    <x:row r="139" ht="25" customHeight="1">
      <x:c r="A139" s="1" t="str">
        <x:v>sz399001</x:v>
      </x:c>
      <x:c r="B139" s="1" t="str">
        <x:v>深证成指</x:v>
      </x:c>
      <x:c r="C139" s="1" t="str">
        <x:v>1997-07</x:v>
      </x:c>
      <x:c r="D139" s="1" t="n">
        <x:v>1</x:v>
      </x:c>
      <x:c r="E139" s="7" t="n">
        <x:f>'月度收益'!H1726</x:f>
        <x:v>-0.10780977870489716</x:v>
      </x:c>
      <x:c r="F139" s="1" t="str">
        <x:v>1997-07-31</x:v>
      </x:c>
      <x:c r="G139" s="1" t="str">
        <x:v>1997-08-01</x:v>
      </x:c>
      <x:c r="H139" s="1" t="str">
        <x:v>1997-11-01</x:v>
      </x:c>
      <x:c r="I139" s="1" t="str">
        <x:v>1997-11-03</x:v>
      </x:c>
      <x:c r="J139" s="5" t="n">
        <x:v>4541.73</x:v>
      </x:c>
      <x:c r="K139" s="5" t="n">
        <x:v>4540.24</x:v>
      </x:c>
      <x:c r="L139" s="7" t="n">
        <x:f>K139/J139-1</x:f>
        <x:v>-0.0003280688195906878</x:v>
      </x:c>
      <x:c r="M139" s="1" t="str">
        <x:v>已完成</x:v>
      </x:c>
      <x:c r="N139" s="1" t="n">
        <x:v>63</x:v>
      </x:c>
      <x:c r="O139" s="1" t="n">
        <x:v>94</x:v>
      </x:c>
      <x:c r="P139" s="7" t="n">
        <x:v>-0.1855724580721443</x:v>
      </x:c>
      <x:c r="Q139" s="7" t="n">
        <x:v>-0.19383142547003007</x:v>
      </x:c>
      <x:c r="R139" s="1" t="str">
        <x:v>1997-08-01</x:v>
      </x:c>
      <x:c r="S139" s="1" t="str">
        <x:v>1997-09-23</x:v>
      </x:c>
    </x:row>
    <x:row r="140" ht="25" customHeight="1">
      <x:c r="A140" s="1" t="str">
        <x:v>sz399001</x:v>
      </x:c>
      <x:c r="B140" s="1" t="str">
        <x:v>深证成指</x:v>
      </x:c>
      <x:c r="C140" s="1" t="str">
        <x:v>1997-09</x:v>
      </x:c>
      <x:c r="D140" s="1" t="n">
        <x:v>1</x:v>
      </x:c>
      <x:c r="E140" s="7" t="n">
        <x:f>'月度收益'!H1728</x:f>
        <x:v>-0.10952479465663945</x:v>
      </x:c>
      <x:c r="F140" s="1" t="str">
        <x:v>1997-09-30</x:v>
      </x:c>
      <x:c r="G140" s="1" t="str">
        <x:v>1997-10-06</x:v>
      </x:c>
      <x:c r="H140" s="1" t="str">
        <x:v>1998-01-06</x:v>
      </x:c>
      <x:c r="I140" s="1" t="str">
        <x:v>1998-01-06</x:v>
      </x:c>
      <x:c r="J140" s="5" t="n">
        <x:v>3963.62</x:v>
      </x:c>
      <x:c r="K140" s="5" t="n">
        <x:v>4326.71</x:v>
      </x:c>
      <x:c r="L140" s="7" t="n">
        <x:f>K140/J140-1</x:f>
        <x:v>0.09160565341783533</x:v>
      </x:c>
      <x:c r="M140" s="1" t="str">
        <x:v>已完成</x:v>
      </x:c>
      <x:c r="N140" s="1" t="n">
        <x:v>64</x:v>
      </x:c>
      <x:c r="O140" s="1" t="n">
        <x:v>92</x:v>
      </x:c>
      <x:c r="P140" s="7" t="n">
        <x:v>-0.12080534044480917</x:v>
      </x:c>
      <x:c r="Q140" s="7" t="n">
        <x:v>-0.027681765658665536</x:v>
      </x:c>
      <x:c r="R140" s="1" t="str">
        <x:v>1997-10-27</x:v>
      </x:c>
      <x:c r="S140" s="1" t="str">
        <x:v>1997-12-25</x:v>
      </x:c>
    </x:row>
    <x:row r="141" ht="25" customHeight="1">
      <x:c r="A141" s="1" t="str">
        <x:v>sz399001</x:v>
      </x:c>
      <x:c r="B141" s="1" t="str">
        <x:v>深证成指</x:v>
      </x:c>
      <x:c r="C141" s="1" t="str">
        <x:v>1998-06</x:v>
      </x:c>
      <x:c r="D141" s="1" t="n">
        <x:v>1</x:v>
      </x:c>
      <x:c r="E141" s="7" t="n">
        <x:f>'月度收益'!H1737</x:f>
        <x:v>-0.10703046782968983</x:v>
      </x:c>
      <x:c r="F141" s="1" t="str">
        <x:v>1998-06-30</x:v>
      </x:c>
      <x:c r="G141" s="1" t="str">
        <x:v>1998-07-01</x:v>
      </x:c>
      <x:c r="H141" s="1" t="str">
        <x:v>1998-10-01</x:v>
      </x:c>
      <x:c r="I141" s="1" t="str">
        <x:v>1998-10-05</x:v>
      </x:c>
      <x:c r="J141" s="5" t="n">
        <x:v>3820.74</x:v>
      </x:c>
      <x:c r="K141" s="5" t="n">
        <x:v>3284.33</x:v>
      </x:c>
      <x:c r="L141" s="7" t="n">
        <x:f>K141/J141-1</x:f>
        <x:v>-0.14039426917298736</x:v>
      </x:c>
      <x:c r="M141" s="1" t="str">
        <x:v>已完成</x:v>
      </x:c>
      <x:c r="N141" s="1" t="n">
        <x:v>66</x:v>
      </x:c>
      <x:c r="O141" s="1" t="n">
        <x:v>96</x:v>
      </x:c>
      <x:c r="P141" s="7" t="n">
        <x:v>-0.20732354088132066</x:v>
      </x:c>
      <x:c r="Q141" s="7" t="n">
        <x:v>-0.22041279961473426</x:v>
      </x:c>
      <x:c r="R141" s="1" t="str">
        <x:v>1998-07-10</x:v>
      </x:c>
      <x:c r="S141" s="1" t="str">
        <x:v>1998-08-18</x:v>
      </x:c>
    </x:row>
    <x:row r="142" ht="25" customHeight="1">
      <x:c r="A142" s="1" t="str">
        <x:v>sz399001</x:v>
      </x:c>
      <x:c r="B142" s="1" t="str">
        <x:v>深证成指</x:v>
      </x:c>
      <x:c r="C142" s="1" t="str">
        <x:v>1998-08</x:v>
      </x:c>
      <x:c r="D142" s="1" t="n">
        <x:v>1</x:v>
      </x:c>
      <x:c r="E142" s="7" t="n">
        <x:f>'月度收益'!H1739</x:f>
        <x:v>-0.13047774979233495</x:v>
      </x:c>
      <x:c r="F142" s="1" t="str">
        <x:v>1998-08-31</x:v>
      </x:c>
      <x:c r="G142" s="1" t="str">
        <x:v>1998-09-01</x:v>
      </x:c>
      <x:c r="H142" s="1" t="str">
        <x:v>1998-12-01</x:v>
      </x:c>
      <x:c r="I142" s="1" t="str">
        <x:v>1998-12-01</x:v>
      </x:c>
      <x:c r="J142" s="5" t="n">
        <x:v>3244.14</x:v>
      </x:c>
      <x:c r="K142" s="5" t="n">
        <x:v>3209.16</x:v>
      </x:c>
      <x:c r="L142" s="7" t="n">
        <x:f>K142/J142-1</x:f>
        <x:v>-0.010782518633597804</x:v>
      </x:c>
      <x:c r="M142" s="1" t="str">
        <x:v>已完成</x:v>
      </x:c>
      <x:c r="N142" s="1" t="n">
        <x:v>63</x:v>
      </x:c>
      <x:c r="O142" s="1" t="n">
        <x:v>91</x:v>
      </x:c>
      <x:c r="P142" s="7" t="n">
        <x:v>-0.09223897625292576</x:v>
      </x:c>
      <x:c r="Q142" s="7" t="n">
        <x:v>-0.05739271424784387</x:v>
      </x:c>
      <x:c r="R142" s="1" t="str">
        <x:v>1998-09-16</x:v>
      </x:c>
      <x:c r="S142" s="1" t="str">
        <x:v>1998-10-27</x:v>
      </x:c>
    </x:row>
    <x:row r="143" ht="25" customHeight="1">
      <x:c r="A143" s="1" t="str">
        <x:v>sz399001</x:v>
      </x:c>
      <x:c r="B143" s="1" t="str">
        <x:v>深证成指</x:v>
      </x:c>
      <x:c r="C143" s="1" t="str">
        <x:v>1999-07</x:v>
      </x:c>
      <x:c r="D143" s="1" t="n">
        <x:v>1</x:v>
      </x:c>
      <x:c r="E143" s="7" t="n">
        <x:f>'月度收益'!H1750</x:f>
        <x:v>-0.13979420639325346</x:v>
      </x:c>
      <x:c r="F143" s="1" t="str">
        <x:v>1999-07-30</x:v>
      </x:c>
      <x:c r="G143" s="1" t="str">
        <x:v>1999-08-02</x:v>
      </x:c>
      <x:c r="H143" s="1" t="str">
        <x:v>1999-11-02</x:v>
      </x:c>
      <x:c r="I143" s="1" t="str">
        <x:v>1999-11-02</x:v>
      </x:c>
      <x:c r="J143" s="5" t="n">
        <x:v>4075.14</x:v>
      </x:c>
      <x:c r="K143" s="5" t="n">
        <x:v>3711.54</x:v>
      </x:c>
      <x:c r="L143" s="7" t="n">
        <x:f>K143/J143-1</x:f>
        <x:v>-0.08922392850306982</x:v>
      </x:c>
      <x:c r="M143" s="1" t="str">
        <x:v>已完成</x:v>
      </x:c>
      <x:c r="N143" s="1" t="n">
        <x:v>61</x:v>
      </x:c>
      <x:c r="O143" s="1" t="n">
        <x:v>92</x:v>
      </x:c>
      <x:c r="P143" s="7" t="n">
        <x:v>-0.15213989616641532</x:v>
      </x:c>
      <x:c r="Q143" s="7" t="n">
        <x:v>-0.11690395912778462</x:v>
      </x:c>
      <x:c r="R143" s="1" t="str">
        <x:v>1999-09-09</x:v>
      </x:c>
      <x:c r="S143" s="1" t="str">
        <x:v>1999-10-21</x:v>
      </x:c>
    </x:row>
    <x:row r="144" ht="25" customHeight="1">
      <x:c r="A144" s="1" t="str">
        <x:v>sz399001</x:v>
      </x:c>
      <x:c r="B144" s="1" t="str">
        <x:v>深证成指</x:v>
      </x:c>
      <x:c r="C144" s="1" t="str">
        <x:v>2001-07</x:v>
      </x:c>
      <x:c r="D144" s="1" t="n">
        <x:v>1</x:v>
      </x:c>
      <x:c r="E144" s="7" t="n">
        <x:f>'月度收益'!H1774</x:f>
        <x:v>-0.13947507897135825</x:v>
      </x:c>
      <x:c r="F144" s="1" t="str">
        <x:v>2001-07-31</x:v>
      </x:c>
      <x:c r="G144" s="1" t="str">
        <x:v>2001-08-01</x:v>
      </x:c>
      <x:c r="H144" s="1" t="str">
        <x:v>2001-11-01</x:v>
      </x:c>
      <x:c r="I144" s="1" t="str">
        <x:v>2001-11-01</x:v>
      </x:c>
      <x:c r="J144" s="5" t="n">
        <x:v>4069.1</x:v>
      </x:c>
      <x:c r="K144" s="5" t="n">
        <x:v>3445.96</x:v>
      </x:c>
      <x:c r="L144" s="7" t="n">
        <x:f>K144/J144-1</x:f>
        <x:v>-0.15313951488044042</x:v>
      </x:c>
      <x:c r="M144" s="1" t="str">
        <x:v>已完成</x:v>
      </x:c>
      <x:c r="N144" s="1" t="n">
        <x:v>61</x:v>
      </x:c>
      <x:c r="O144" s="1" t="n">
        <x:v>92</x:v>
      </x:c>
      <x:c r="P144" s="7" t="n">
        <x:v>-0.24673109040329133</x:v>
      </x:c>
      <x:c r="Q144" s="7" t="n">
        <x:v>-0.232122582389226</x:v>
      </x:c>
      <x:c r="R144" s="1" t="str">
        <x:v>2001-08-01</x:v>
      </x:c>
      <x:c r="S144" s="1" t="str">
        <x:v>2001-10-22</x:v>
      </x:c>
    </x:row>
    <x:row r="145" ht="25" customHeight="1">
      <x:c r="A145" s="1" t="str">
        <x:v>sz399001</x:v>
      </x:c>
      <x:c r="B145" s="1" t="str">
        <x:v>深证成指</x:v>
      </x:c>
      <x:c r="C145" s="1" t="str">
        <x:v>2002-01</x:v>
      </x:c>
      <x:c r="D145" s="1" t="n">
        <x:v>1</x:v>
      </x:c>
      <x:c r="E145" s="7" t="n">
        <x:f>'月度收益'!H1780</x:f>
        <x:v>-0.1031253946585039</x:v>
      </x:c>
      <x:c r="F145" s="1" t="str">
        <x:v>2002-01-31</x:v>
      </x:c>
      <x:c r="G145" s="1" t="str">
        <x:v>2002-02-01</x:v>
      </x:c>
      <x:c r="H145" s="1" t="str">
        <x:v>2002-05-01</x:v>
      </x:c>
      <x:c r="I145" s="1" t="str">
        <x:v>2002-05-08</x:v>
      </x:c>
      <x:c r="J145" s="5" t="n">
        <x:v>2987.67</x:v>
      </x:c>
      <x:c r="K145" s="5" t="n">
        <x:v>3255.02</x:v>
      </x:c>
      <x:c r="L145" s="7" t="n">
        <x:f>K145/J145-1</x:f>
        <x:v>0.08948444774690634</x:v>
      </x:c>
      <x:c r="M145" s="1" t="str">
        <x:v>已完成</x:v>
      </x:c>
      <x:c r="N145" s="1" t="n">
        <x:v>53</x:v>
      </x:c>
      <x:c r="O145" s="1" t="n">
        <x:v>96</x:v>
      </x:c>
      <x:c r="P145" s="7" t="n">
        <x:v>-0.0807026054854817</x:v>
      </x:c>
      <x:c r="Q145" s="7" t="n">
        <x:v>-0.014529717137434783</x:v>
      </x:c>
      <x:c r="R145" s="1" t="str">
        <x:v>2002-03-11</x:v>
      </x:c>
      <x:c r="S145" s="1" t="str">
        <x:v>2002-04-24</x:v>
      </x:c>
    </x:row>
    <x:row r="146" ht="25" customHeight="1">
      <x:c r="A146" s="1" t="str">
        <x:v>sz399001</x:v>
      </x:c>
      <x:c r="B146" s="1" t="str">
        <x:v>深证成指</x:v>
      </x:c>
      <x:c r="C146" s="1" t="str">
        <x:v>2004-04</x:v>
      </x:c>
      <x:c r="D146" s="1" t="n">
        <x:v>1</x:v>
      </x:c>
      <x:c r="E146" s="7" t="n">
        <x:f>'月度收益'!H1807</x:f>
        <x:v>-0.11008733688986094</x:v>
      </x:c>
      <x:c r="F146" s="1" t="str">
        <x:v>2004-04-30</x:v>
      </x:c>
      <x:c r="G146" s="1" t="str">
        <x:v>2004-05-10</x:v>
      </x:c>
      <x:c r="H146" s="1" t="str">
        <x:v>2004-08-10</x:v>
      </x:c>
      <x:c r="I146" s="1" t="str">
        <x:v>2004-08-10</x:v>
      </x:c>
      <x:c r="J146" s="5" t="n">
        <x:v>3626.31</x:v>
      </x:c>
      <x:c r="K146" s="5" t="n">
        <x:v>3299.96</x:v>
      </x:c>
      <x:c r="L146" s="7" t="n">
        <x:f>K146/J146-1</x:f>
        <x:v>-0.089995063852787</x:v>
      </x:c>
      <x:c r="M146" s="1" t="str">
        <x:v>已完成</x:v>
      </x:c>
      <x:c r="N146" s="1" t="n">
        <x:v>66</x:v>
      </x:c>
      <x:c r="O146" s="1" t="n">
        <x:v>92</x:v>
      </x:c>
      <x:c r="P146" s="7" t="n">
        <x:v>-0.11134602996316545</x:v>
      </x:c>
      <x:c r="Q146" s="7" t="n">
        <x:v>-0.1127151291533266</x:v>
      </x:c>
      <x:c r="R146" s="1" t="str">
        <x:v>2004-06-01</x:v>
      </x:c>
      <x:c r="S146" s="1" t="str">
        <x:v>2004-08-03</x:v>
      </x:c>
    </x:row>
    <x:row r="147" ht="25" customHeight="1">
      <x:c r="A147" s="1" t="str">
        <x:v>sz399001</x:v>
      </x:c>
      <x:c r="B147" s="1" t="str">
        <x:v>深证成指</x:v>
      </x:c>
      <x:c r="C147" s="1" t="str">
        <x:v>2005-05</x:v>
      </x:c>
      <x:c r="D147" s="1" t="n">
        <x:v>1</x:v>
      </x:c>
      <x:c r="E147" s="7" t="n">
        <x:f>'月度收益'!H1820</x:f>
        <x:v>-0.1124634504081834</x:v>
      </x:c>
      <x:c r="F147" s="1" t="str">
        <x:v>2005-05-31</x:v>
      </x:c>
      <x:c r="G147" s="1" t="str">
        <x:v>2005-06-01</x:v>
      </x:c>
      <x:c r="H147" s="1" t="str">
        <x:v>2005-09-01</x:v>
      </x:c>
      <x:c r="I147" s="1" t="str">
        <x:v>2005-09-01</x:v>
      </x:c>
      <x:c r="J147" s="5" t="n">
        <x:v>2801.12</x:v>
      </x:c>
      <x:c r="K147" s="5" t="n">
        <x:v>2957.54</x:v>
      </x:c>
      <x:c r="L147" s="7" t="n">
        <x:f>K147/J147-1</x:f>
        <x:v>0.05584194893471195</x:v>
      </x:c>
      <x:c r="M147" s="1" t="str">
        <x:v>已完成</x:v>
      </x:c>
      <x:c r="N147" s="1" t="n">
        <x:v>66</x:v>
      </x:c>
      <x:c r="O147" s="1" t="n">
        <x:v>92</x:v>
      </x:c>
      <x:c r="P147" s="7" t="n">
        <x:v>-0.10183522299856995</x:v>
      </x:c>
      <x:c r="Q147" s="7" t="n">
        <x:v>-0.07518064202890262</x:v>
      </x:c>
      <x:c r="R147" s="1" t="str">
        <x:v>2005-06-09</x:v>
      </x:c>
      <x:c r="S147" s="1" t="str">
        <x:v>2005-07-08</x:v>
      </x:c>
    </x:row>
    <x:row r="148" ht="25" customHeight="1">
      <x:c r="A148" s="1" t="str">
        <x:v>sz399001</x:v>
      </x:c>
      <x:c r="B148" s="1" t="str">
        <x:v>深证成指</x:v>
      </x:c>
      <x:c r="C148" s="1" t="str">
        <x:v>2007-11</x:v>
      </x:c>
      <x:c r="D148" s="1" t="n">
        <x:v>1</x:v>
      </x:c>
      <x:c r="E148" s="7" t="n">
        <x:f>'月度收益'!H1850</x:f>
        <x:v>-0.1993477086602684</x:v>
      </x:c>
      <x:c r="F148" s="1" t="str">
        <x:v>2007-11-30</x:v>
      </x:c>
      <x:c r="G148" s="1" t="str">
        <x:v>2007-12-03</x:v>
      </x:c>
      <x:c r="H148" s="1" t="str">
        <x:v>2008-03-03</x:v>
      </x:c>
      <x:c r="I148" s="1" t="str">
        <x:v>2008-03-03</x:v>
      </x:c>
      <x:c r="J148" s="5" t="n">
        <x:v>15580.24</x:v>
      </x:c>
      <x:c r="K148" s="5" t="n">
        <x:v>15722.32</x:v>
      </x:c>
      <x:c r="L148" s="7" t="n">
        <x:f>K148/J148-1</x:f>
        <x:v>0.009119243349267947</x:v>
      </x:c>
      <x:c r="M148" s="1" t="str">
        <x:v>已完成</x:v>
      </x:c>
      <x:c r="N148" s="1" t="n">
        <x:v>58</x:v>
      </x:c>
      <x:c r="O148" s="1" t="n">
        <x:v>91</x:v>
      </x:c>
      <x:c r="P148" s="7" t="n">
        <x:v>-0.19918938955014676</x:v>
      </x:c>
      <x:c r="Q148" s="7" t="n">
        <x:v>-0.043193814729426516</x:v>
      </x:c>
      <x:c r="R148" s="1" t="str">
        <x:v>2008-01-14</x:v>
      </x:c>
      <x:c r="S148" s="1" t="str">
        <x:v>2008-02-26</x:v>
      </x:c>
    </x:row>
    <x:row r="149" ht="25" customHeight="1">
      <x:c r="A149" s="1" t="str">
        <x:v>sz399001</x:v>
      </x:c>
      <x:c r="B149" s="1" t="str">
        <x:v>深证成指</x:v>
      </x:c>
      <x:c r="C149" s="1" t="str">
        <x:v>2008-01</x:v>
      </x:c>
      <x:c r="D149" s="1" t="n">
        <x:v>1</x:v>
      </x:c>
      <x:c r="E149" s="7" t="n">
        <x:f>'月度收益'!H1852</x:f>
        <x:v>-0.1041155620537586</x:v>
      </x:c>
      <x:c r="F149" s="1" t="str">
        <x:v>2008-01-31</x:v>
      </x:c>
      <x:c r="G149" s="1" t="str">
        <x:v>2008-02-01</x:v>
      </x:c>
      <x:c r="H149" s="1" t="str">
        <x:v>2008-05-01</x:v>
      </x:c>
      <x:c r="I149" s="1" t="str">
        <x:v>2008-05-05</x:v>
      </x:c>
      <x:c r="J149" s="5" t="n">
        <x:v>15837.88</x:v>
      </x:c>
      <x:c r="K149" s="5" t="n">
        <x:v>13673.59</x:v>
      </x:c>
      <x:c r="L149" s="7" t="n">
        <x:f>K149/J149-1</x:f>
        <x:v>-0.13665275908139218</x:v>
      </x:c>
      <x:c r="M149" s="1" t="str">
        <x:v>已完成</x:v>
      </x:c>
      <x:c r="N149" s="1" t="n">
        <x:v>58</x:v>
      </x:c>
      <x:c r="O149" s="1" t="n">
        <x:v>94</x:v>
      </x:c>
      <x:c r="P149" s="7" t="n">
        <x:v>-0.3580264558837144</x:v>
      </x:c>
      <x:c r="Q149" s="7" t="n">
        <x:v>-0.3315797316307485</x:v>
      </x:c>
      <x:c r="R149" s="1" t="str">
        <x:v>2008-02-19</x:v>
      </x:c>
      <x:c r="S149" s="1" t="str">
        <x:v>2008-04-21</x:v>
      </x:c>
    </x:row>
    <x:row r="150" ht="25" customHeight="1">
      <x:c r="A150" s="1" t="str">
        <x:v>sz399001</x:v>
      </x:c>
      <x:c r="B150" s="1" t="str">
        <x:v>深证成指</x:v>
      </x:c>
      <x:c r="C150" s="1" t="str">
        <x:v>2008-03</x:v>
      </x:c>
      <x:c r="D150" s="1" t="n">
        <x:v>1</x:v>
      </x:c>
      <x:c r="E150" s="7" t="n">
        <x:f>'月度收益'!H1854</x:f>
        <x:v>-0.1593629375349156</x:v>
      </x:c>
      <x:c r="F150" s="1" t="str">
        <x:v>2008-03-31</x:v>
      </x:c>
      <x:c r="G150" s="1" t="str">
        <x:v>2008-04-01</x:v>
      </x:c>
      <x:c r="H150" s="1" t="str">
        <x:v>2008-07-01</x:v>
      </x:c>
      <x:c r="I150" s="1" t="str">
        <x:v>2008-07-01</x:v>
      </x:c>
      <x:c r="J150" s="5" t="n">
        <x:v>13274.74</x:v>
      </x:c>
      <x:c r="K150" s="5" t="n">
        <x:v>9397.32</x:v>
      </x:c>
      <x:c r="L150" s="7" t="n">
        <x:f>K150/J150-1</x:f>
        <x:v>-0.2920900899000658</x:v>
      </x:c>
      <x:c r="M150" s="1" t="str">
        <x:v>已完成</x:v>
      </x:c>
      <x:c r="N150" s="1" t="n">
        <x:v>61</x:v>
      </x:c>
      <x:c r="O150" s="1" t="n">
        <x:v>91</x:v>
      </x:c>
      <x:c r="P150" s="7" t="n">
        <x:v>-0.33902998243966076</x:v>
      </x:c>
      <x:c r="Q150" s="7" t="n">
        <x:v>-0.3303989381336282</x:v>
      </x:c>
      <x:c r="R150" s="1" t="str">
        <x:v>2008-05-05</x:v>
      </x:c>
      <x:c r="S150" s="1" t="str">
        <x:v>2008-06-19</x:v>
      </x:c>
    </x:row>
    <x:row r="151" ht="25" customHeight="1">
      <x:c r="A151" s="1" t="str">
        <x:v>sz399001</x:v>
      </x:c>
      <x:c r="B151" s="1" t="str">
        <x:v>深证成指</x:v>
      </x:c>
      <x:c r="C151" s="1" t="str">
        <x:v>2008-05</x:v>
      </x:c>
      <x:c r="D151" s="1" t="n">
        <x:v>1</x:v>
      </x:c>
      <x:c r="E151" s="7" t="n">
        <x:f>'月度收益'!H1856</x:f>
        <x:v>-0.10786093037410893</x:v>
      </x:c>
      <x:c r="F151" s="1" t="str">
        <x:v>2008-05-30</x:v>
      </x:c>
      <x:c r="G151" s="1" t="str">
        <x:v>2008-06-02</x:v>
      </x:c>
      <x:c r="H151" s="1" t="str">
        <x:v>2008-09-02</x:v>
      </x:c>
      <x:c r="I151" s="1" t="str">
        <x:v>2008-09-02</x:v>
      </x:c>
      <x:c r="J151" s="5" t="n">
        <x:v>11999.95</x:v>
      </x:c>
      <x:c r="K151" s="5" t="n">
        <x:v>7640.56</x:v>
      </x:c>
      <x:c r="L151" s="7" t="n">
        <x:f>K151/J151-1</x:f>
        <x:v>-0.36328401368339036</x:v>
      </x:c>
      <x:c r="M151" s="1" t="str">
        <x:v>已完成</x:v>
      </x:c>
      <x:c r="N151" s="1" t="n">
        <x:v>65</x:v>
      </x:c>
      <x:c r="O151" s="1" t="n">
        <x:v>92</x:v>
      </x:c>
      <x:c r="P151" s="7" t="n">
        <x:v>-0.36630989653527957</x:v>
      </x:c>
      <x:c r="Q151" s="7" t="n">
        <x:v>-0.36170900712086307</x:v>
      </x:c>
      <x:c r="R151" s="1" t="str">
        <x:v>2008-06-02</x:v>
      </x:c>
      <x:c r="S151" s="1" t="str">
        <x:v>2008-09-02</x:v>
      </x:c>
    </x:row>
    <x:row r="152" ht="25" customHeight="1">
      <x:c r="A152" s="1" t="str">
        <x:v>sz399001</x:v>
      </x:c>
      <x:c r="B152" s="1" t="str">
        <x:v>深证成指</x:v>
      </x:c>
      <x:c r="C152" s="1" t="str">
        <x:v>2008-06</x:v>
      </x:c>
      <x:c r="D152" s="1" t="n">
        <x:v>1</x:v>
      </x:c>
      <x:c r="E152" s="7" t="n">
        <x:f>'月度收益'!H1857</x:f>
        <x:v>-0.2222283088650292</x:v>
      </x:c>
      <x:c r="F152" s="1" t="str">
        <x:v>2008-06-30</x:v>
      </x:c>
      <x:c r="G152" s="1" t="str">
        <x:v>2008-07-01</x:v>
      </x:c>
      <x:c r="H152" s="1" t="str">
        <x:v>2008-10-01</x:v>
      </x:c>
      <x:c r="I152" s="1" t="str">
        <x:v>2008-10-06</x:v>
      </x:c>
      <x:c r="J152" s="5" t="n">
        <x:v>9397.32</x:v>
      </x:c>
      <x:c r="K152" s="5" t="n">
        <x:v>7406.02</x:v>
      </x:c>
      <x:c r="L152" s="7" t="n">
        <x:f>K152/J152-1</x:f>
        <x:v>-0.21190083981390428</x:v>
      </x:c>
      <x:c r="M152" s="1" t="str">
        <x:v>已完成</x:v>
      </x:c>
      <x:c r="N152" s="1" t="n">
        <x:v>63</x:v>
      </x:c>
      <x:c r="O152" s="1" t="n">
        <x:v>97</x:v>
      </x:c>
      <x:c r="P152" s="7" t="n">
        <x:v>-0.36621640152268675</x:v>
      </x:c>
      <x:c r="Q152" s="7" t="n">
        <x:v>-0.33065916665602524</x:v>
      </x:c>
      <x:c r="R152" s="1" t="str">
        <x:v>2008-07-09</x:v>
      </x:c>
      <x:c r="S152" s="1" t="str">
        <x:v>2008-09-18</x:v>
      </x:c>
    </x:row>
    <x:row r="153" ht="25" customHeight="1">
      <x:c r="A153" s="1" t="str">
        <x:v>sz399001</x:v>
      </x:c>
      <x:c r="B153" s="1" t="str">
        <x:v>深证成指</x:v>
      </x:c>
      <x:c r="C153" s="1" t="str">
        <x:v>2008-08</x:v>
      </x:c>
      <x:c r="D153" s="1" t="n">
        <x:v>1</x:v>
      </x:c>
      <x:c r="E153" s="7" t="n">
        <x:f>'月度收益'!H1859</x:f>
        <x:v>-0.1548087553443228</x:v>
      </x:c>
      <x:c r="F153" s="1" t="str">
        <x:v>2008-08-29</x:v>
      </x:c>
      <x:c r="G153" s="1" t="str">
        <x:v>2008-09-01</x:v>
      </x:c>
      <x:c r="H153" s="1" t="str">
        <x:v>2008-12-01</x:v>
      </x:c>
      <x:c r="I153" s="1" t="str">
        <x:v>2008-12-01</x:v>
      </x:c>
      <x:c r="J153" s="5" t="n">
        <x:v>7954.01</x:v>
      </x:c>
      <x:c r="K153" s="5" t="n">
        <x:v>6634.6</x:v>
      </x:c>
      <x:c r="L153" s="7" t="n">
        <x:f>K153/J153-1</x:f>
        <x:v>-0.1658798517980239</x:v>
      </x:c>
      <x:c r="M153" s="1" t="str">
        <x:v>已完成</x:v>
      </x:c>
      <x:c r="N153" s="1" t="n">
        <x:v>59</x:v>
      </x:c>
      <x:c r="O153" s="1" t="n">
        <x:v>91</x:v>
      </x:c>
      <x:c r="P153" s="7" t="n">
        <x:v>-0.28730162521797176</x:v>
      </x:c>
      <x:c r="Q153" s="7" t="n">
        <x:v>-0.29881531453945875</x:v>
      </x:c>
      <x:c r="R153" s="1" t="str">
        <x:v>2008-09-01</x:v>
      </x:c>
      <x:c r="S153" s="1" t="str">
        <x:v>2008-11-04</x:v>
      </x:c>
    </x:row>
    <x:row r="154" ht="25" customHeight="1">
      <x:c r="A154" s="1" t="str">
        <x:v>sz399001</x:v>
      </x:c>
      <x:c r="B154" s="1" t="str">
        <x:v>深证成指</x:v>
      </x:c>
      <x:c r="C154" s="1" t="str">
        <x:v>2008-10</x:v>
      </x:c>
      <x:c r="D154" s="1" t="n">
        <x:v>1</x:v>
      </x:c>
      <x:c r="E154" s="7" t="n">
        <x:f>'月度收益'!H1861</x:f>
        <x:v>-0.22752726123025113</x:v>
      </x:c>
      <x:c r="F154" s="1" t="str">
        <x:v>2008-10-31</x:v>
      </x:c>
      <x:c r="G154" s="1" t="str">
        <x:v>2008-11-03</x:v>
      </x:c>
      <x:c r="H154" s="1" t="str">
        <x:v>2009-02-03</x:v>
      </x:c>
      <x:c r="I154" s="1" t="str">
        <x:v>2009-02-03</x:v>
      </x:c>
      <x:c r="J154" s="5" t="n">
        <x:v>5794.17</x:v>
      </x:c>
      <x:c r="K154" s="5" t="n">
        <x:v>7089.95</x:v>
      </x:c>
      <x:c r="L154" s="7" t="n">
        <x:f>K154/J154-1</x:f>
        <x:v>0.2236351366977496</x:v>
      </x:c>
      <x:c r="M154" s="1" t="str">
        <x:v>已完成</x:v>
      </x:c>
      <x:c r="N154" s="1" t="n">
        <x:v>59</x:v>
      </x:c>
      <x:c r="O154" s="1" t="n">
        <x:v>92</x:v>
      </x:c>
      <x:c r="P154" s="7" t="n">
        <x:v>-0.13855376077719317</x:v>
      </x:c>
      <x:c r="Q154" s="7" t="n">
        <x:v>-0.03382020203066183</x:v>
      </x:c>
      <x:c r="R154" s="1" t="str">
        <x:v>2008-12-08</x:v>
      </x:c>
      <x:c r="S154" s="1" t="str">
        <x:v>2008-12-31</x:v>
      </x:c>
    </x:row>
    <x:row r="155" ht="25" customHeight="1">
      <x:c r="A155" s="1" t="str">
        <x:v>sz399001</x:v>
      </x:c>
      <x:c r="B155" s="1" t="str">
        <x:v>深证成指</x:v>
      </x:c>
      <x:c r="C155" s="1" t="str">
        <x:v>2009-08</x:v>
      </x:c>
      <x:c r="D155" s="1" t="n">
        <x:v>1</x:v>
      </x:c>
      <x:c r="E155" s="7" t="n">
        <x:f>'月度收益'!H1871</x:f>
        <x:v>-0.22571086233936466</x:v>
      </x:c>
      <x:c r="F155" s="1" t="str">
        <x:v>2009-08-31</x:v>
      </x:c>
      <x:c r="G155" s="1" t="str">
        <x:v>2009-09-01</x:v>
      </x:c>
      <x:c r="H155" s="1" t="str">
        <x:v>2009-12-01</x:v>
      </x:c>
      <x:c r="I155" s="1" t="str">
        <x:v>2009-12-01</x:v>
      </x:c>
      <x:c r="J155" s="5" t="n">
        <x:v>10463.04</x:v>
      </x:c>
      <x:c r="K155" s="5" t="n">
        <x:v>13474.86</x:v>
      </x:c>
      <x:c r="L155" s="7" t="n">
        <x:f>K155/J155-1</x:f>
        <x:v>0.2878532434168273</x:v>
      </x:c>
      <x:c r="M155" s="1" t="str">
        <x:v>已完成</x:v>
      </x:c>
      <x:c r="N155" s="1" t="n">
        <x:v>59</x:v>
      </x:c>
      <x:c r="O155" s="1" t="n">
        <x:v>91</x:v>
      </x:c>
      <x:c r="P155" s="7" t="n">
        <x:v>-0.11258408752558402</x:v>
      </x:c>
      <x:c r="Q155" s="7" t="n">
        <x:v>-0.007227345016362463</x:v>
      </x:c>
      <x:c r="R155" s="1" t="str">
        <x:v>2009-09-17</x:v>
      </x:c>
      <x:c r="S155" s="1" t="str">
        <x:v>2009-09-29</x:v>
      </x:c>
    </x:row>
    <x:row r="156" ht="25" customHeight="1">
      <x:c r="A156" s="1" t="str">
        <x:v>sz399001</x:v>
      </x:c>
      <x:c r="B156" s="1" t="str">
        <x:v>深证成指</x:v>
      </x:c>
      <x:c r="C156" s="1" t="str">
        <x:v>2010-01</x:v>
      </x:c>
      <x:c r="D156" s="1" t="n">
        <x:v>1</x:v>
      </x:c>
      <x:c r="E156" s="7" t="n">
        <x:f>'月度收益'!H1876</x:f>
        <x:v>-0.11407105271033435</x:v>
      </x:c>
      <x:c r="F156" s="1" t="str">
        <x:v>2010-01-29</x:v>
      </x:c>
      <x:c r="G156" s="1" t="str">
        <x:v>2010-02-01</x:v>
      </x:c>
      <x:c r="H156" s="1" t="str">
        <x:v>2010-05-01</x:v>
      </x:c>
      <x:c r="I156" s="1" t="str">
        <x:v>2010-05-04</x:v>
      </x:c>
      <x:c r="J156" s="5" t="n">
        <x:v>12125.51</x:v>
      </x:c>
      <x:c r="K156" s="5" t="n">
        <x:v>10959.16</x:v>
      </x:c>
      <x:c r="L156" s="7" t="n">
        <x:f>K156/J156-1</x:f>
        <x:v>-0.09618976851282957</x:v>
      </x:c>
      <x:c r="M156" s="1" t="str">
        <x:v>已完成</x:v>
      </x:c>
      <x:c r="N156" s="1" t="n">
        <x:v>59</x:v>
      </x:c>
      <x:c r="O156" s="1" t="n">
        <x:v>92</x:v>
      </x:c>
      <x:c r="P156" s="7" t="n">
        <x:v>-0.14166038788019297</x:v>
      </x:c>
      <x:c r="Q156" s="7" t="n">
        <x:v>-0.09495353185144384</x:v>
      </x:c>
      <x:c r="R156" s="1" t="str">
        <x:v>2010-04-02</x:v>
      </x:c>
      <x:c r="S156" s="1" t="str">
        <x:v>2010-05-04</x:v>
      </x:c>
    </x:row>
    <x:row r="157" ht="25" customHeight="1">
      <x:c r="A157" s="1" t="str">
        <x:v>sz399001</x:v>
      </x:c>
      <x:c r="B157" s="1" t="str">
        <x:v>深证成指</x:v>
      </x:c>
      <x:c r="C157" s="1" t="str">
        <x:v>2010-04</x:v>
      </x:c>
      <x:c r="D157" s="1" t="n">
        <x:v>1</x:v>
      </x:c>
      <x:c r="E157" s="7" t="n">
        <x:f>'月度收益'!H1879</x:f>
        <x:v>-0.10659298002697215</x:v>
      </x:c>
      <x:c r="F157" s="1" t="str">
        <x:v>2010-04-30</x:v>
      </x:c>
      <x:c r="G157" s="1" t="str">
        <x:v>2010-05-04</x:v>
      </x:c>
      <x:c r="H157" s="1" t="str">
        <x:v>2010-08-04</x:v>
      </x:c>
      <x:c r="I157" s="1" t="str">
        <x:v>2010-08-04</x:v>
      </x:c>
      <x:c r="J157" s="5" t="n">
        <x:v>10959.16</x:v>
      </x:c>
      <x:c r="K157" s="5" t="n">
        <x:v>10781.45</x:v>
      </x:c>
      <x:c r="L157" s="7" t="n">
        <x:f>K157/J157-1</x:f>
        <x:v>-0.01621565886436549</x:v>
      </x:c>
      <x:c r="M157" s="1" t="str">
        <x:v>已完成</x:v>
      </x:c>
      <x:c r="N157" s="1" t="n">
        <x:v>63</x:v>
      </x:c>
      <x:c r="O157" s="1" t="n">
        <x:v>92</x:v>
      </x:c>
      <x:c r="P157" s="7" t="n">
        <x:v>-0.1665526144316517</x:v>
      </x:c>
      <x:c r="Q157" s="7" t="n">
        <x:v>-0.18376955898079772</x:v>
      </x:c>
      <x:c r="R157" s="1" t="str">
        <x:v>2010-05-05</x:v>
      </x:c>
      <x:c r="S157" s="1" t="str">
        <x:v>2010-07-05</x:v>
      </x:c>
    </x:row>
    <x:row r="158" ht="25" customHeight="1">
      <x:c r="A158" s="1" t="str">
        <x:v>sz399001</x:v>
      </x:c>
      <x:c r="B158" s="1" t="str">
        <x:v>深证成指</x:v>
      </x:c>
      <x:c r="C158" s="1" t="str">
        <x:v>2013-06</x:v>
      </x:c>
      <x:c r="D158" s="1" t="n">
        <x:v>1</x:v>
      </x:c>
      <x:c r="E158" s="7" t="n">
        <x:f>'月度收益'!H1917</x:f>
        <x:v>-0.16887971959235037</x:v>
      </x:c>
      <x:c r="F158" s="1" t="str">
        <x:v>2013-06-28</x:v>
      </x:c>
      <x:c r="G158" s="1" t="str">
        <x:v>2013-07-01</x:v>
      </x:c>
      <x:c r="H158" s="1" t="str">
        <x:v>2013-10-01</x:v>
      </x:c>
      <x:c r="I158" s="1" t="str">
        <x:v>2013-10-08</x:v>
      </x:c>
      <x:c r="J158" s="5" t="n">
        <x:v>7649.3</x:v>
      </x:c>
      <x:c r="K158" s="5" t="n">
        <x:v>8505.11</x:v>
      </x:c>
      <x:c r="L158" s="7" t="n">
        <x:f>K158/J158-1</x:f>
        <x:v>0.11188082569646896</x:v>
      </x:c>
      <x:c r="M158" s="1" t="str">
        <x:v>已完成</x:v>
      </x:c>
      <x:c r="N158" s="1" t="n">
        <x:v>64</x:v>
      </x:c>
      <x:c r="O158" s="1" t="n">
        <x:v>99</x:v>
      </x:c>
      <x:c r="P158" s="7" t="n">
        <x:v>-0.06384639438697992</x:v>
      </x:c>
      <x:c r="Q158" s="7" t="n">
        <x:v>-0.013665302707437266</x:v>
      </x:c>
      <x:c r="R158" s="1" t="str">
        <x:v>2013-07-16</x:v>
      </x:c>
      <x:c r="S158" s="1" t="str">
        <x:v>2013-07-19</x:v>
      </x:c>
    </x:row>
    <x:row r="159" ht="25" customHeight="1">
      <x:c r="A159" s="1" t="str">
        <x:v>sz399001</x:v>
      </x:c>
      <x:c r="B159" s="1" t="str">
        <x:v>深证成指</x:v>
      </x:c>
      <x:c r="C159" s="1" t="str">
        <x:v>2015-06</x:v>
      </x:c>
      <x:c r="D159" s="1" t="n">
        <x:v>1</x:v>
      </x:c>
      <x:c r="E159" s="7" t="n">
        <x:f>'月度收益'!H1941</x:f>
        <x:v>-0.1094677477958691</x:v>
      </x:c>
      <x:c r="F159" s="1" t="str">
        <x:v>2015-06-30</x:v>
      </x:c>
      <x:c r="G159" s="1" t="str">
        <x:v>2015-07-01</x:v>
      </x:c>
      <x:c r="H159" s="1" t="str">
        <x:v>2015-10-01</x:v>
      </x:c>
      <x:c r="I159" s="1" t="str">
        <x:v>2015-10-08</x:v>
      </x:c>
      <x:c r="J159" s="5" t="n">
        <x:v>14185.1</x:v>
      </x:c>
      <x:c r="K159" s="5" t="n">
        <x:v>10332.24</x:v>
      </x:c>
      <x:c r="L159" s="7" t="n">
        <x:f>K159/J159-1</x:f>
        <x:v>-0.2716131715673489</x:v>
      </x:c>
      <x:c r="M159" s="1" t="str">
        <x:v>已完成</x:v>
      </x:c>
      <x:c r="N159" s="1" t="n">
        <x:v>64</x:v>
      </x:c>
      <x:c r="O159" s="1" t="n">
        <x:v>99</x:v>
      </x:c>
      <x:c r="P159" s="7" t="n">
        <x:v>-0.34503034874621963</x:v>
      </x:c>
      <x:c r="Q159" s="7" t="n">
        <x:v>-0.3472270199011639</x:v>
      </x:c>
      <x:c r="R159" s="1" t="str">
        <x:v>2015-07-01</x:v>
      </x:c>
      <x:c r="S159" s="1" t="str">
        <x:v>2015-09-15</x:v>
      </x:c>
    </x:row>
    <x:row r="160" ht="25" customHeight="1">
      <x:c r="A160" s="1" t="str">
        <x:v>sz399001</x:v>
      </x:c>
      <x:c r="B160" s="1" t="str">
        <x:v>深证成指</x:v>
      </x:c>
      <x:c r="C160" s="1" t="str">
        <x:v>2015-07</x:v>
      </x:c>
      <x:c r="D160" s="1" t="n">
        <x:v>1</x:v>
      </x:c>
      <x:c r="E160" s="7" t="n">
        <x:f>'月度收益'!H1942</x:f>
        <x:v>-0.13695941615165885</x:v>
      </x:c>
      <x:c r="F160" s="1" t="str">
        <x:v>2015-07-31</x:v>
      </x:c>
      <x:c r="G160" s="1" t="str">
        <x:v>2015-08-03</x:v>
      </x:c>
      <x:c r="H160" s="1" t="str">
        <x:v>2015-11-03</x:v>
      </x:c>
      <x:c r="I160" s="1" t="str">
        <x:v>2015-11-03</x:v>
      </x:c>
      <x:c r="J160" s="5" t="n">
        <x:v>12178.57</x:v>
      </x:c>
      <x:c r="K160" s="5" t="n">
        <x:v>11341.3</x:v>
      </x:c>
      <x:c r="L160" s="7" t="n">
        <x:f>K160/J160-1</x:f>
        <x:v>-0.06874945087970097</x:v>
      </x:c>
      <x:c r="M160" s="1" t="str">
        <x:v>已完成</x:v>
      </x:c>
      <x:c r="N160" s="1" t="n">
        <x:v>59</x:v>
      </x:c>
      <x:c r="O160" s="1" t="n">
        <x:v>92</x:v>
      </x:c>
      <x:c r="P160" s="7" t="n">
        <x:v>-0.31553864401535303</x:v>
      </x:c>
      <x:c r="Q160" s="7" t="n">
        <x:v>-0.23967674365709601</x:v>
      </x:c>
      <x:c r="R160" s="1" t="str">
        <x:v>2015-08-17</x:v>
      </x:c>
      <x:c r="S160" s="1" t="str">
        <x:v>2015-09-15</x:v>
      </x:c>
    </x:row>
    <x:row r="161" ht="25" customHeight="1">
      <x:c r="A161" s="1" t="str">
        <x:v>sz399001</x:v>
      </x:c>
      <x:c r="B161" s="1" t="str">
        <x:v>深证成指</x:v>
      </x:c>
      <x:c r="C161" s="1" t="str">
        <x:v>2015-08</x:v>
      </x:c>
      <x:c r="D161" s="1" t="n">
        <x:v>1</x:v>
      </x:c>
      <x:c r="E161" s="7" t="n">
        <x:f>'月度收益'!H1943</x:f>
        <x:v>-0.14749095904802312</x:v>
      </x:c>
      <x:c r="F161" s="1" t="str">
        <x:v>2015-08-31</x:v>
      </x:c>
      <x:c r="G161" s="1" t="str">
        <x:v>2015-09-01</x:v>
      </x:c>
      <x:c r="H161" s="1" t="str">
        <x:v>2015-12-01</x:v>
      </x:c>
      <x:c r="I161" s="1" t="str">
        <x:v>2015-12-01</x:v>
      </x:c>
      <x:c r="J161" s="5" t="n">
        <x:v>10388.5</x:v>
      </x:c>
      <x:c r="K161" s="5" t="n">
        <x:v>12022.83</x:v>
      </x:c>
      <x:c r="L161" s="7" t="n">
        <x:f>K161/J161-1</x:f>
        <x:v>0.1573210761900179</x:v>
      </x:c>
      <x:c r="M161" s="1" t="str">
        <x:v>已完成</x:v>
      </x:c>
      <x:c r="N161" s="1" t="n">
        <x:v>58</x:v>
      </x:c>
      <x:c r="O161" s="1" t="n">
        <x:v>91</x:v>
      </x:c>
      <x:c r="P161" s="7" t="n">
        <x:v>-0.12516984255371633</x:v>
      </x:c>
      <x:c r="Q161" s="7" t="n">
        <x:v>-0.10866342590364353</x:v>
      </x:c>
      <x:c r="R161" s="1" t="str">
        <x:v>2015-09-09</x:v>
      </x:c>
      <x:c r="S161" s="1" t="str">
        <x:v>2015-09-15</x:v>
      </x:c>
    </x:row>
    <x:row r="162" ht="25" customHeight="1">
      <x:c r="A162" s="1" t="str">
        <x:v>sz399001</x:v>
      </x:c>
      <x:c r="B162" s="1" t="str">
        <x:v>深证成指</x:v>
      </x:c>
      <x:c r="C162" s="1" t="str">
        <x:v>2016-01</x:v>
      </x:c>
      <x:c r="D162" s="1" t="n">
        <x:v>1</x:v>
      </x:c>
      <x:c r="E162" s="7" t="n">
        <x:f>'月度收益'!H1948</x:f>
        <x:v>-0.256353588542814</x:v>
      </x:c>
      <x:c r="F162" s="1" t="str">
        <x:v>2016-01-29</x:v>
      </x:c>
      <x:c r="G162" s="1" t="str">
        <x:v>2016-02-01</x:v>
      </x:c>
      <x:c r="H162" s="1" t="str">
        <x:v>2016-05-01</x:v>
      </x:c>
      <x:c r="I162" s="1" t="str">
        <x:v>2016-05-03</x:v>
      </x:c>
      <x:c r="J162" s="5" t="n">
        <x:v>9389.62</x:v>
      </x:c>
      <x:c r="K162" s="5" t="n">
        <x:v>10144.15</x:v>
      </x:c>
      <x:c r="L162" s="7" t="n">
        <x:f>K162/J162-1</x:f>
        <x:v>0.08035788455762849</x:v>
      </x:c>
      <x:c r="M162" s="1" t="str">
        <x:v>已完成</x:v>
      </x:c>
      <x:c r="N162" s="1" t="n">
        <x:v>59</x:v>
      </x:c>
      <x:c r="O162" s="1" t="n">
        <x:v>92</x:v>
      </x:c>
      <x:c r="P162" s="7" t="n">
        <x:v>-0.12280698371129461</x:v>
      </x:c>
      <x:c r="Q162" s="7" t="n">
        <x:v>-0.04139997145784402</x:v>
      </x:c>
      <x:c r="R162" s="1" t="str">
        <x:v>2016-02-22</x:v>
      </x:c>
      <x:c r="S162" s="1" t="str">
        <x:v>2016-02-29</x:v>
      </x:c>
    </x:row>
    <x:row r="163" ht="25" customHeight="1">
      <x:c r="A163" s="1" t="str">
        <x:v>sz399001</x:v>
      </x:c>
      <x:c r="B163" s="1" t="str">
        <x:v>深证成指</x:v>
      </x:c>
      <x:c r="C163" s="1" t="str">
        <x:v>2018-10</x:v>
      </x:c>
      <x:c r="D163" s="1" t="n">
        <x:v>1</x:v>
      </x:c>
      <x:c r="E163" s="7" t="n">
        <x:f>'月度收益'!H1981</x:f>
        <x:v>-0.10930248336822967</x:v>
      </x:c>
      <x:c r="F163" s="1" t="str">
        <x:v>2018-10-31</x:v>
      </x:c>
      <x:c r="G163" s="1" t="str">
        <x:v>2018-11-01</x:v>
      </x:c>
      <x:c r="H163" s="1" t="str">
        <x:v>2019-02-01</x:v>
      </x:c>
      <x:c r="I163" s="1" t="str">
        <x:v>2019-02-01</x:v>
      </x:c>
      <x:c r="J163" s="5" t="n">
        <x:v>7568.2</x:v>
      </x:c>
      <x:c r="K163" s="5" t="n">
        <x:v>7524.67</x:v>
      </x:c>
      <x:c r="L163" s="7" t="n">
        <x:f>K163/J163-1</x:f>
        <x:v>-0.005751697893818797</x:v>
      </x:c>
      <x:c r="M163" s="1" t="str">
        <x:v>已完成</x:v>
      </x:c>
      <x:c r="N163" s="1" t="n">
        <x:v>64</x:v>
      </x:c>
      <x:c r="O163" s="1" t="n">
        <x:v>92</x:v>
      </x:c>
      <x:c r="P163" s="7" t="n">
        <x:v>-0.12571573034400696</x:v>
      </x:c>
      <x:c r="Q163" s="7" t="n">
        <x:v>-0.0735802436510663</x:v>
      </x:c>
      <x:c r="R163" s="1" t="str">
        <x:v>2018-11-19</x:v>
      </x:c>
      <x:c r="S163" s="1" t="str">
        <x:v>2019-01-03</x:v>
      </x:c>
    </x:row>
    <x:row r="164" ht="25" customHeight="1">
      <x:c r="A164" s="1" t="str">
        <x:v>sz399001</x:v>
      </x:c>
      <x:c r="B164" s="1" t="str">
        <x:v>深证成指</x:v>
      </x:c>
      <x:c r="C164" s="1" t="str">
        <x:v>2022-01</x:v>
      </x:c>
      <x:c r="D164" s="1" t="n">
        <x:v>1</x:v>
      </x:c>
      <x:c r="E164" s="7" t="n">
        <x:f>'月度收益'!H2020</x:f>
        <x:v>-0.10293154566594986</x:v>
      </x:c>
      <x:c r="F164" s="1" t="str">
        <x:v>2022-01-28</x:v>
      </x:c>
      <x:c r="G164" s="1" t="str">
        <x:v>2022-02-07</x:v>
      </x:c>
      <x:c r="H164" s="1" t="str">
        <x:v>2022-05-07</x:v>
      </x:c>
      <x:c r="I164" s="1" t="str">
        <x:v>2022-05-09</x:v>
      </x:c>
      <x:c r="J164" s="5" t="n">
        <x:v>13558.95</x:v>
      </x:c>
      <x:c r="K164" s="5" t="n">
        <x:v>10743.03</x:v>
      </x:c>
      <x:c r="L164" s="7" t="n">
        <x:f>K164/J164-1</x:f>
        <x:v>-0.20767979821446347</x:v>
      </x:c>
      <x:c r="M164" s="1" t="str">
        <x:v>已完成</x:v>
      </x:c>
      <x:c r="N164" s="1" t="n">
        <x:v>60</x:v>
      </x:c>
      <x:c r="O164" s="1" t="n">
        <x:v>91</x:v>
      </x:c>
      <x:c r="P164" s="7" t="n">
        <x:v>-0.24723964613779104</x:v>
      </x:c>
      <x:c r="Q164" s="7" t="n">
        <x:v>-0.2560242496653502</x:v>
      </x:c>
      <x:c r="R164" s="1" t="str">
        <x:v>2022-02-07</x:v>
      </x:c>
      <x:c r="S164" s="1" t="str">
        <x:v>2022-04-26</x:v>
      </x:c>
    </x:row>
    <x:row r="165" ht="25" customHeight="1">
      <x:c r="A165" s="1" t="str">
        <x:v>sz399001</x:v>
      </x:c>
      <x:c r="B165" s="1" t="str">
        <x:v>深证成指</x:v>
      </x:c>
      <x:c r="C165" s="1" t="str">
        <x:v>2024-01</x:v>
      </x:c>
      <x:c r="D165" s="1" t="n">
        <x:v>1</x:v>
      </x:c>
      <x:c r="E165" s="7" t="n">
        <x:f>'月度收益'!H2044</x:f>
        <x:v>-0.13773046681834267</x:v>
      </x:c>
      <x:c r="F165" s="1" t="str">
        <x:v>2024-01-31</x:v>
      </x:c>
      <x:c r="G165" s="1" t="str">
        <x:v>2024-02-01</x:v>
      </x:c>
      <x:c r="H165" s="1" t="str">
        <x:v>2024-05-01</x:v>
      </x:c>
      <x:c r="I165" s="1" t="str">
        <x:v>2024-05-06</x:v>
      </x:c>
      <x:c r="J165" s="5" t="n">
        <x:v>8172.81</x:v>
      </x:c>
      <x:c r="K165" s="5" t="n">
        <x:v>9735.88</x:v>
      </x:c>
      <x:c r="L165" s="7" t="n">
        <x:f>K165/J165-1</x:f>
        <x:v>0.19125245784497613</x:v>
      </x:c>
      <x:c r="M165" s="1" t="str">
        <x:v>已完成</x:v>
      </x:c>
      <x:c r="N165" s="1" t="n">
        <x:v>56</x:v>
      </x:c>
      <x:c r="O165" s="1" t="n">
        <x:v>95</x:v>
      </x:c>
      <x:c r="P165" s="7" t="n">
        <x:v>-0.06129092786401491</x:v>
      </x:c>
      <x:c r="Q165" s="7" t="n">
        <x:v>-0.05985456654443211</x:v>
      </x:c>
      <x:c r="R165" s="1" t="str">
        <x:v>2024-03-18</x:v>
      </x:c>
      <x:c r="S165" s="1" t="str">
        <x:v>2024-04-16</x:v>
      </x:c>
    </x:row>
    <x:row r="166" ht="25" customHeight="1">
      <x:c r="A166" s="1" t="str">
        <x:v>sz399001</x:v>
      </x:c>
      <x:c r="B166" s="1" t="str">
        <x:v>深证成指</x:v>
      </x:c>
      <x:c r="C166" s="1" t="str">
        <x:v>2026-07</x:v>
      </x:c>
      <x:c r="D166" s="1" t="n">
        <x:v>1</x:v>
      </x:c>
      <x:c r="E166" s="7" t="n">
        <x:f>'月度收益'!H2074</x:f>
        <x:v>-0.1620820261687963</x:v>
      </x:c>
      <x:c r="F166" s="1" t="str">
        <x:v>2026-07-31</x:v>
      </x:c>
      <x:c r="G166" s="1" t="str">
        <x:v>2026-08-03</x:v>
      </x:c>
      <x:c r="H166" s="1" t="str">
        <x:v>2026-11-03</x:v>
      </x:c>
      <x:c r="I166" s="1"/>
      <x:c r="J166" s="5" t="n">
        <x:v>13497.1</x:v>
      </x:c>
      <x:c r="K166" s="5"/>
      <x:c r="L166" s="7" t="str">
        <x:f>"观察中"</x:f>
        <x:v>观察中</x:v>
      </x:c>
      <x:c r="M166" s="1" t="str">
        <x:v>观察中</x:v>
      </x:c>
      <x:c r="N166" s="1" t="n">
        <x:v>44</x:v>
      </x:c>
      <x:c r="O166" s="1"/>
      <x:c r="P166" s="7" t="n">
        <x:v>-0.141685278027894</x:v>
      </x:c>
      <x:c r="Q166" s="7" t="n">
        <x:v>-0.09026531625312106</x:v>
      </x:c>
      <x:c r="R166" s="1" t="str">
        <x:v>2026-08-17</x:v>
      </x:c>
      <x:c r="S166" s="1" t="str">
        <x:v>2026-10-08</x:v>
      </x:c>
    </x:row>
    <x:row r="167" ht="25" customHeight="1">
      <x:c r="A167" s="1" t="str">
        <x:v>sz399006</x:v>
      </x:c>
      <x:c r="B167" s="1" t="str">
        <x:v>创业板指</x:v>
      </x:c>
      <x:c r="C167" s="1" t="str">
        <x:v>2011-09</x:v>
      </x:c>
      <x:c r="D167" s="1" t="n">
        <x:v>1</x:v>
      </x:c>
      <x:c r="E167" s="7" t="n">
        <x:f>'月度收益'!H2093</x:f>
        <x:v>-0.14147585458491585</x:v>
      </x:c>
      <x:c r="F167" s="1" t="str">
        <x:v>2011-09-30</x:v>
      </x:c>
      <x:c r="G167" s="1" t="str">
        <x:v>2011-10-10</x:v>
      </x:c>
      <x:c r="H167" s="1" t="str">
        <x:v>2012-01-10</x:v>
      </x:c>
      <x:c r="I167" s="1" t="str">
        <x:v>2012-01-10</x:v>
      </x:c>
      <x:c r="J167" s="5" t="n">
        <x:v>792.97</x:v>
      </x:c>
      <x:c r="K167" s="5" t="n">
        <x:v>691.65</x:v>
      </x:c>
      <x:c r="L167" s="7" t="n">
        <x:f>K167/J167-1</x:f>
        <x:v>-0.12777280351085163</x:v>
      </x:c>
      <x:c r="M167" s="1" t="str">
        <x:v>已完成</x:v>
      </x:c>
      <x:c r="N167" s="1" t="n">
        <x:v>64</x:v>
      </x:c>
      <x:c r="O167" s="1" t="n">
        <x:v>92</x:v>
      </x:c>
      <x:c r="P167" s="7" t="n">
        <x:v>-0.2758613201298631</x:v>
      </x:c>
      <x:c r="Q167" s="7" t="n">
        <x:v>-0.1855934020202531</x:v>
      </x:c>
      <x:c r="R167" s="1" t="str">
        <x:v>2011-11-15</x:v>
      </x:c>
      <x:c r="S167" s="1" t="str">
        <x:v>2012-01-05</x:v>
      </x:c>
    </x:row>
    <x:row r="168" ht="25" customHeight="1">
      <x:c r="A168" s="1" t="str">
        <x:v>sz399006</x:v>
      </x:c>
      <x:c r="B168" s="1" t="str">
        <x:v>创业板指</x:v>
      </x:c>
      <x:c r="C168" s="1" t="str">
        <x:v>2011-12</x:v>
      </x:c>
      <x:c r="D168" s="1" t="n">
        <x:v>1</x:v>
      </x:c>
      <x:c r="E168" s="7" t="n">
        <x:f>'月度收益'!H2096</x:f>
        <x:v>-0.12958919473577457</x:v>
      </x:c>
      <x:c r="F168" s="1" t="str">
        <x:v>2011-12-30</x:v>
      </x:c>
      <x:c r="G168" s="1" t="str">
        <x:v>2012-01-04</x:v>
      </x:c>
      <x:c r="H168" s="1" t="str">
        <x:v>2012-04-04</x:v>
      </x:c>
      <x:c r="I168" s="1" t="str">
        <x:v>2012-04-05</x:v>
      </x:c>
      <x:c r="J168" s="5" t="n">
        <x:v>734.74</x:v>
      </x:c>
      <x:c r="K168" s="5" t="n">
        <x:v>677.76</x:v>
      </x:c>
      <x:c r="L168" s="7" t="n">
        <x:f>K168/J168-1</x:f>
        <x:v>-0.07755124261643576</x:v>
      </x:c>
      <x:c r="M168" s="1" t="str">
        <x:v>已完成</x:v>
      </x:c>
      <x:c r="N168" s="1" t="n">
        <x:v>58</x:v>
      </x:c>
      <x:c r="O168" s="1" t="n">
        <x:v>92</x:v>
      </x:c>
      <x:c r="P168" s="7" t="n">
        <x:v>-0.1494814492201324</x:v>
      </x:c>
      <x:c r="Q168" s="7" t="n">
        <x:v>-0.16667120341889652</x:v>
      </x:c>
      <x:c r="R168" s="1" t="str">
        <x:v>2012-01-04</x:v>
      </x:c>
      <x:c r="S168" s="1" t="str">
        <x:v>2012-01-18</x:v>
      </x:c>
    </x:row>
    <x:row r="169" ht="25" customHeight="1">
      <x:c r="A169" s="1" t="str">
        <x:v>sz399006</x:v>
      </x:c>
      <x:c r="B169" s="1" t="str">
        <x:v>创业板指</x:v>
      </x:c>
      <x:c r="C169" s="1" t="str">
        <x:v>2012-01</x:v>
      </x:c>
      <x:c r="D169" s="1" t="n">
        <x:v>1</x:v>
      </x:c>
      <x:c r="E169" s="7" t="n">
        <x:f>'月度收益'!H2097</x:f>
        <x:v>-0.11078821110349557</x:v>
      </x:c>
      <x:c r="F169" s="1" t="str">
        <x:v>2012-01-31</x:v>
      </x:c>
      <x:c r="G169" s="1" t="str">
        <x:v>2012-02-01</x:v>
      </x:c>
      <x:c r="H169" s="1" t="str">
        <x:v>2012-05-01</x:v>
      </x:c>
      <x:c r="I169" s="1" t="str">
        <x:v>2012-05-02</x:v>
      </x:c>
      <x:c r="J169" s="5" t="n">
        <x:v>647.49</x:v>
      </x:c>
      <x:c r="K169" s="5" t="n">
        <x:v>692.35</x:v>
      </x:c>
      <x:c r="L169" s="7" t="n">
        <x:f>K169/J169-1</x:f>
        <x:v>0.06928292328839047</x:v>
      </x:c>
      <x:c r="M169" s="1" t="str">
        <x:v>已完成</x:v>
      </x:c>
      <x:c r="N169" s="1" t="n">
        <x:v>60</x:v>
      </x:c>
      <x:c r="O169" s="1" t="n">
        <x:v>91</x:v>
      </x:c>
      <x:c r="P169" s="7" t="n">
        <x:v>-0.14379464398394703</x:v>
      </x:c>
      <x:c r="Q169" s="7" t="n">
        <x:v>-0.0044942779039057745</x:v>
      </x:c>
      <x:c r="R169" s="1" t="str">
        <x:v>2012-03-13</x:v>
      </x:c>
      <x:c r="S169" s="1" t="str">
        <x:v>2012-04-26</x:v>
      </x:c>
    </x:row>
    <x:row r="170" ht="25" customHeight="1">
      <x:c r="A170" s="1" t="str">
        <x:v>sz399006</x:v>
      </x:c>
      <x:c r="B170" s="1" t="str">
        <x:v>创业板指</x:v>
      </x:c>
      <x:c r="C170" s="1" t="str">
        <x:v>2012-11</x:v>
      </x:c>
      <x:c r="D170" s="1" t="n">
        <x:v>1</x:v>
      </x:c>
      <x:c r="E170" s="7" t="n">
        <x:f>'月度收益'!H2107</x:f>
        <x:v>-0.12272102942239571</x:v>
      </x:c>
      <x:c r="F170" s="1" t="str">
        <x:v>2012-11-30</x:v>
      </x:c>
      <x:c r="G170" s="1" t="str">
        <x:v>2012-12-03</x:v>
      </x:c>
      <x:c r="H170" s="1" t="str">
        <x:v>2013-03-03</x:v>
      </x:c>
      <x:c r="I170" s="1" t="str">
        <x:v>2013-03-04</x:v>
      </x:c>
      <x:c r="J170" s="5" t="n">
        <x:v>605.6</x:v>
      </x:c>
      <x:c r="K170" s="5" t="n">
        <x:v>880.25</x:v>
      </x:c>
      <x:c r="L170" s="7" t="n">
        <x:f>K170/J170-1</x:f>
        <x:v>0.45351717305151906</x:v>
      </x:c>
      <x:c r="M170" s="1" t="str">
        <x:v>已完成</x:v>
      </x:c>
      <x:c r="N170" s="1" t="n">
        <x:v>57</x:v>
      </x:c>
      <x:c r="O170" s="1" t="n">
        <x:v>91</x:v>
      </x:c>
      <x:c r="P170" s="7" t="n">
        <x:v>-0.04381781478677771</x:v>
      </x:c>
      <x:c r="Q170" s="7" t="n">
        <x:v>-0.033289299867899524</x:v>
      </x:c>
      <x:c r="R170" s="1" t="str">
        <x:v>2013-01-21</x:v>
      </x:c>
      <x:c r="S170" s="1" t="str">
        <x:v>2013-01-24</x:v>
      </x:c>
    </x:row>
    <x:row r="171" ht="25" customHeight="1">
      <x:c r="A171" s="1" t="str">
        <x:v>sz399006</x:v>
      </x:c>
      <x:c r="B171" s="1" t="str">
        <x:v>创业板指</x:v>
      </x:c>
      <x:c r="C171" s="1" t="str">
        <x:v>2015-06</x:v>
      </x:c>
      <x:c r="D171" s="1" t="n">
        <x:v>1</x:v>
      </x:c>
      <x:c r="E171" s="7" t="n">
        <x:f>'月度收益'!H2138</x:f>
        <x:v>-0.19313036998566124</x:v>
      </x:c>
      <x:c r="F171" s="1" t="str">
        <x:v>2015-06-30</x:v>
      </x:c>
      <x:c r="G171" s="1" t="str">
        <x:v>2015-07-01</x:v>
      </x:c>
      <x:c r="H171" s="1" t="str">
        <x:v>2015-10-01</x:v>
      </x:c>
      <x:c r="I171" s="1" t="str">
        <x:v>2015-10-08</x:v>
      </x:c>
      <x:c r="J171" s="5" t="n">
        <x:v>2842.17</x:v>
      </x:c>
      <x:c r="K171" s="5" t="n">
        <x:v>2153.12</x:v>
      </x:c>
      <x:c r="L171" s="7" t="n">
        <x:f>K171/J171-1</x:f>
        <x:v>-0.24243799631971352</x:v>
      </x:c>
      <x:c r="M171" s="1" t="str">
        <x:v>已完成</x:v>
      </x:c>
      <x:c r="N171" s="1" t="n">
        <x:v>64</x:v>
      </x:c>
      <x:c r="O171" s="1" t="n">
        <x:v>99</x:v>
      </x:c>
      <x:c r="P171" s="7" t="n">
        <x:v>-0.3943428966121397</x:v>
      </x:c>
      <x:c r="Q171" s="7" t="n">
        <x:v>-0.3740064809634892</x:v>
      </x:c>
      <x:c r="R171" s="1" t="str">
        <x:v>2015-07-23</x:v>
      </x:c>
      <x:c r="S171" s="1" t="str">
        <x:v>2015-09-15</x:v>
      </x:c>
    </x:row>
    <x:row r="172" ht="25" customHeight="1">
      <x:c r="A172" s="1" t="str">
        <x:v>sz399006</x:v>
      </x:c>
      <x:c r="B172" s="1" t="str">
        <x:v>创业板指</x:v>
      </x:c>
      <x:c r="C172" s="1" t="str">
        <x:v>2015-07</x:v>
      </x:c>
      <x:c r="D172" s="1" t="n">
        <x:v>1</x:v>
      </x:c>
      <x:c r="E172" s="7" t="n">
        <x:f>'月度收益'!H2139</x:f>
        <x:v>-0.11151223846554792</x:v>
      </x:c>
      <x:c r="F172" s="1" t="str">
        <x:v>2015-07-31</x:v>
      </x:c>
      <x:c r="G172" s="1" t="str">
        <x:v>2015-08-03</x:v>
      </x:c>
      <x:c r="H172" s="1" t="str">
        <x:v>2015-11-03</x:v>
      </x:c>
      <x:c r="I172" s="1" t="str">
        <x:v>2015-11-03</x:v>
      </x:c>
      <x:c r="J172" s="5" t="n">
        <x:v>2475.33</x:v>
      </x:c>
      <x:c r="K172" s="5" t="n">
        <x:v>2444.05</x:v>
      </x:c>
      <x:c r="L172" s="7" t="n">
        <x:f>K172/J172-1</x:f>
        <x:v>-0.012636698945191038</x:v>
      </x:c>
      <x:c r="M172" s="1" t="str">
        <x:v>已完成</x:v>
      </x:c>
      <x:c r="N172" s="1" t="n">
        <x:v>59</x:v>
      </x:c>
      <x:c r="O172" s="1" t="n">
        <x:v>92</x:v>
      </x:c>
      <x:c r="P172" s="7" t="n">
        <x:v>-0.33588993320328664</x:v>
      </x:c>
      <x:c r="Q172" s="7" t="n">
        <x:v>-0.2812352292421616</x:v>
      </x:c>
      <x:c r="R172" s="1" t="str">
        <x:v>2015-08-10</x:v>
      </x:c>
      <x:c r="S172" s="1" t="str">
        <x:v>2015-09-15</x:v>
      </x:c>
    </x:row>
    <x:row r="173" ht="25" customHeight="1">
      <x:c r="A173" s="1" t="str">
        <x:v>sz399006</x:v>
      </x:c>
      <x:c r="B173" s="1" t="str">
        <x:v>创业板指</x:v>
      </x:c>
      <x:c r="C173" s="1" t="str">
        <x:v>2015-08</x:v>
      </x:c>
      <x:c r="D173" s="1" t="n">
        <x:v>1</x:v>
      </x:c>
      <x:c r="E173" s="7" t="n">
        <x:f>'月度收益'!H2140</x:f>
        <x:v>-0.21378118306664995</x:v>
      </x:c>
      <x:c r="F173" s="1" t="str">
        <x:v>2015-08-31</x:v>
      </x:c>
      <x:c r="G173" s="1" t="str">
        <x:v>2015-09-01</x:v>
      </x:c>
      <x:c r="H173" s="1" t="str">
        <x:v>2015-12-01</x:v>
      </x:c>
      <x:c r="I173" s="1" t="str">
        <x:v>2015-12-01</x:v>
      </x:c>
      <x:c r="J173" s="5" t="n">
        <x:v>1959.45</x:v>
      </x:c>
      <x:c r="K173" s="5" t="n">
        <x:v>2669.3</x:v>
      </x:c>
      <x:c r="L173" s="7" t="n">
        <x:f>K173/J173-1</x:f>
        <x:v>0.3622700247518438</x:v>
      </x:c>
      <x:c r="M173" s="1" t="str">
        <x:v>已完成</x:v>
      </x:c>
      <x:c r="N173" s="1" t="n">
        <x:v>58</x:v>
      </x:c>
      <x:c r="O173" s="1" t="n">
        <x:v>91</x:v>
      </x:c>
      <x:c r="P173" s="7" t="n">
        <x:v>-0.1323344853551638</x:v>
      </x:c>
      <x:c r="Q173" s="7" t="n">
        <x:v>-0.09200030620837474</x:v>
      </x:c>
      <x:c r="R173" s="1" t="str">
        <x:v>2015-09-09</x:v>
      </x:c>
      <x:c r="S173" s="1" t="str">
        <x:v>2015-09-15</x:v>
      </x:c>
    </x:row>
    <x:row r="174" ht="25" customHeight="1">
      <x:c r="A174" s="1" t="str">
        <x:v>sz399006</x:v>
      </x:c>
      <x:c r="B174" s="1" t="str">
        <x:v>创业板指</x:v>
      </x:c>
      <x:c r="C174" s="1" t="str">
        <x:v>2016-01</x:v>
      </x:c>
      <x:c r="D174" s="1" t="n">
        <x:v>1</x:v>
      </x:c>
      <x:c r="E174" s="7" t="n">
        <x:f>'月度收益'!H2145</x:f>
        <x:v>-0.2652788268454893</x:v>
      </x:c>
      <x:c r="F174" s="1" t="str">
        <x:v>2016-01-29</x:v>
      </x:c>
      <x:c r="G174" s="1" t="str">
        <x:v>2016-02-01</x:v>
      </x:c>
      <x:c r="H174" s="1" t="str">
        <x:v>2016-05-01</x:v>
      </x:c>
      <x:c r="I174" s="1" t="str">
        <x:v>2016-05-03</x:v>
      </x:c>
      <x:c r="J174" s="5" t="n">
        <x:v>1989.21</x:v>
      </x:c>
      <x:c r="K174" s="5" t="n">
        <x:v>2138.96</x:v>
      </x:c>
      <x:c r="L174" s="7" t="n">
        <x:f>K174/J174-1</x:f>
        <x:v>0.07528114175979406</x:v>
      </x:c>
      <x:c r="M174" s="1" t="str">
        <x:v>已完成</x:v>
      </x:c>
      <x:c r="N174" s="1" t="n">
        <x:v>59</x:v>
      </x:c>
      <x:c r="O174" s="1" t="n">
        <x:v>92</x:v>
      </x:c>
      <x:c r="P174" s="7" t="n">
        <x:v>-0.16272555620869622</x:v>
      </x:c>
      <x:c r="Q174" s="7" t="n">
        <x:v>-0.07439636840755881</x:v>
      </x:c>
      <x:c r="R174" s="1" t="str">
        <x:v>2016-02-22</x:v>
      </x:c>
      <x:c r="S174" s="1" t="str">
        <x:v>2016-02-29</x:v>
      </x:c>
    </x:row>
    <x:row r="175" ht="25" customHeight="1">
      <x:c r="A175" s="1" t="str">
        <x:v>sz399006</x:v>
      </x:c>
      <x:c r="B175" s="1" t="str">
        <x:v>创业板指</x:v>
      </x:c>
      <x:c r="C175" s="1" t="str">
        <x:v>2016-12</x:v>
      </x:c>
      <x:c r="D175" s="1" t="n">
        <x:v>1</x:v>
      </x:c>
      <x:c r="E175" s="7" t="n">
        <x:f>'月度收益'!H2156</x:f>
        <x:v>-0.10122993060168128</x:v>
      </x:c>
      <x:c r="F175" s="1" t="str">
        <x:v>2016-12-30</x:v>
      </x:c>
      <x:c r="G175" s="1" t="str">
        <x:v>2017-01-03</x:v>
      </x:c>
      <x:c r="H175" s="1" t="str">
        <x:v>2017-04-03</x:v>
      </x:c>
      <x:c r="I175" s="1" t="str">
        <x:v>2017-04-05</x:v>
      </x:c>
      <x:c r="J175" s="5" t="n">
        <x:v>1965.04</x:v>
      </x:c>
      <x:c r="K175" s="5" t="n">
        <x:v>1914.91</x:v>
      </x:c>
      <x:c r="L175" s="7" t="n">
        <x:f>K175/J175-1</x:f>
        <x:v>-0.02551093107519431</x:v>
      </x:c>
      <x:c r="M175" s="1" t="str">
        <x:v>已完成</x:v>
      </x:c>
      <x:c r="N175" s="1" t="n">
        <x:v>59</x:v>
      </x:c>
      <x:c r="O175" s="1" t="n">
        <x:v>92</x:v>
      </x:c>
      <x:c r="P175" s="7" t="n">
        <x:v>-0.08070015113704265</x:v>
      </x:c>
      <x:c r="Q175" s="7" t="n">
        <x:v>-0.09226275292106012</x:v>
      </x:c>
      <x:c r="R175" s="1" t="str">
        <x:v>2017-01-04</x:v>
      </x:c>
      <x:c r="S175" s="1" t="str">
        <x:v>2017-01-16</x:v>
      </x:c>
    </x:row>
    <x:row r="176" ht="25" customHeight="1">
      <x:c r="A176" s="1" t="str">
        <x:v>sz399006</x:v>
      </x:c>
      <x:c r="B176" s="1" t="str">
        <x:v>创业板指</x:v>
      </x:c>
      <x:c r="C176" s="1" t="str">
        <x:v>2022-01</x:v>
      </x:c>
      <x:c r="D176" s="1" t="n">
        <x:v>1</x:v>
      </x:c>
      <x:c r="E176" s="7" t="n">
        <x:f>'月度收益'!H2217</x:f>
        <x:v>-0.12451432131388318</x:v>
      </x:c>
      <x:c r="F176" s="1" t="str">
        <x:v>2022-01-28</x:v>
      </x:c>
      <x:c r="G176" s="1" t="str">
        <x:v>2022-02-07</x:v>
      </x:c>
      <x:c r="H176" s="1" t="str">
        <x:v>2022-05-07</x:v>
      </x:c>
      <x:c r="I176" s="1" t="str">
        <x:v>2022-05-09</x:v>
      </x:c>
      <x:c r="J176" s="5" t="n">
        <x:v>2972.19</x:v>
      </x:c>
      <x:c r="K176" s="5" t="n">
        <x:v>2236.17</x:v>
      </x:c>
      <x:c r="L176" s="7" t="n">
        <x:f>K176/J176-1</x:f>
        <x:v>-0.24763558184369105</x:v>
      </x:c>
      <x:c r="M176" s="1" t="str">
        <x:v>已完成</x:v>
      </x:c>
      <x:c r="N176" s="1" t="n">
        <x:v>60</x:v>
      </x:c>
      <x:c r="O176" s="1" t="n">
        <x:v>91</x:v>
      </x:c>
      <x:c r="P176" s="7" t="n">
        <x:v>-0.276456081206114</x:v>
      </x:c>
      <x:c r="Q176" s="7" t="n">
        <x:v>-0.285940670011002</x:v>
      </x:c>
      <x:c r="R176" s="1" t="str">
        <x:v>2022-02-07</x:v>
      </x:c>
      <x:c r="S176" s="1" t="str">
        <x:v>2022-04-26</x:v>
      </x:c>
    </x:row>
    <x:row r="177" ht="25" customHeight="1">
      <x:c r="A177" s="1" t="str">
        <x:v>sz399006</x:v>
      </x:c>
      <x:c r="B177" s="1" t="str">
        <x:v>创业板指</x:v>
      </x:c>
      <x:c r="C177" s="1" t="str">
        <x:v>2022-04</x:v>
      </x:c>
      <x:c r="D177" s="1" t="n">
        <x:v>1</x:v>
      </x:c>
      <x:c r="E177" s="7" t="n">
        <x:f>'月度收益'!H2220</x:f>
        <x:v>-0.12797566450710474</x:v>
      </x:c>
      <x:c r="F177" s="1" t="str">
        <x:v>2022-04-29</x:v>
      </x:c>
      <x:c r="G177" s="1" t="str">
        <x:v>2022-05-05</x:v>
      </x:c>
      <x:c r="H177" s="1" t="str">
        <x:v>2022-08-05</x:v>
      </x:c>
      <x:c r="I177" s="1" t="str">
        <x:v>2022-08-05</x:v>
      </x:c>
      <x:c r="J177" s="5" t="n">
        <x:v>2263.92</x:v>
      </x:c>
      <x:c r="K177" s="5" t="n">
        <x:v>2648.05</x:v>
      </x:c>
      <x:c r="L177" s="7" t="n">
        <x:f>K177/J177-1</x:f>
        <x:v>0.16967472348846258</x:v>
      </x:c>
      <x:c r="M177" s="1" t="str">
        <x:v>已完成</x:v>
      </x:c>
      <x:c r="N177" s="1" t="n">
        <x:v>65</x:v>
      </x:c>
      <x:c r="O177" s="1" t="n">
        <x:v>92</x:v>
      </x:c>
      <x:c r="P177" s="7" t="n">
        <x:v>-0.077513150460924</x:v>
      </x:c>
      <x:c r="Q177" s="7" t="n">
        <x:v>-0.0337821124421358</x:v>
      </x:c>
      <x:c r="R177" s="1" t="str">
        <x:v>2022-07-07</x:v>
      </x:c>
      <x:c r="S177" s="1" t="str">
        <x:v>2022-08-03</x:v>
      </x:c>
    </x:row>
    <x:row r="178" ht="25" customHeight="1">
      <x:c r="A178" s="1" t="str">
        <x:v>sz399006</x:v>
      </x:c>
      <x:c r="B178" s="1" t="str">
        <x:v>创业板指</x:v>
      </x:c>
      <x:c r="C178" s="1" t="str">
        <x:v>2022-09</x:v>
      </x:c>
      <x:c r="D178" s="1" t="n">
        <x:v>1</x:v>
      </x:c>
      <x:c r="E178" s="7" t="n">
        <x:f>'月度收益'!H2225</x:f>
        <x:v>-0.10949572443413924</x:v>
      </x:c>
      <x:c r="F178" s="1" t="str">
        <x:v>2022-09-30</x:v>
      </x:c>
      <x:c r="G178" s="1" t="str">
        <x:v>2022-10-10</x:v>
      </x:c>
      <x:c r="H178" s="1" t="str">
        <x:v>2023-01-10</x:v>
      </x:c>
      <x:c r="I178" s="1" t="str">
        <x:v>2023-01-10</x:v>
      </x:c>
      <x:c r="J178" s="5" t="n">
        <x:v>2294.72</x:v>
      </x:c>
      <x:c r="K178" s="5" t="n">
        <x:v>2441.5</x:v>
      </x:c>
      <x:c r="L178" s="7" t="n">
        <x:f>K178/J178-1</x:f>
        <x:v>0.06396423093013537</x:v>
      </x:c>
      <x:c r="M178" s="1" t="str">
        <x:v>已完成</x:v>
      </x:c>
      <x:c r="N178" s="1" t="n">
        <x:v>65</x:v>
      </x:c>
      <x:c r="O178" s="1" t="n">
        <x:v>92</x:v>
      </x:c>
      <x:c r="P178" s="7" t="n">
        <x:v>-0.08027201431998443</x:v>
      </x:c>
      <x:c r="Q178" s="7" t="n">
        <x:v>-0.02914952586807973</x:v>
      </x:c>
      <x:c r="R178" s="1" t="str">
        <x:v>2022-10-18</x:v>
      </x:c>
      <x:c r="S178" s="1" t="str">
        <x:v>2022-10-28</x:v>
      </x:c>
    </x:row>
    <x:row r="179" ht="25" customHeight="1">
      <x:c r="A179" s="1" t="str">
        <x:v>sz399006</x:v>
      </x:c>
      <x:c r="B179" s="1" t="str">
        <x:v>创业板指</x:v>
      </x:c>
      <x:c r="C179" s="1" t="str">
        <x:v>2024-01</x:v>
      </x:c>
      <x:c r="D179" s="1" t="n">
        <x:v>1</x:v>
      </x:c>
      <x:c r="E179" s="7" t="n">
        <x:f>'月度收益'!H2241</x:f>
        <x:v>-0.1681320947249877</x:v>
      </x:c>
      <x:c r="F179" s="1" t="str">
        <x:v>2024-01-31</x:v>
      </x:c>
      <x:c r="G179" s="1" t="str">
        <x:v>2024-02-01</x:v>
      </x:c>
      <x:c r="H179" s="1" t="str">
        <x:v>2024-05-01</x:v>
      </x:c>
      <x:c r="I179" s="1" t="str">
        <x:v>2024-05-06</x:v>
      </x:c>
      <x:c r="J179" s="5" t="n">
        <x:v>1567.83</x:v>
      </x:c>
      <x:c r="K179" s="5" t="n">
        <x:v>1896.84</x:v>
      </x:c>
      <x:c r="L179" s="7" t="n">
        <x:f>K179/J179-1</x:f>
        <x:v>0.20985055777731</x:v>
      </x:c>
      <x:c r="M179" s="1" t="str">
        <x:v>已完成</x:v>
      </x:c>
      <x:c r="N179" s="1" t="n">
        <x:v>56</x:v>
      </x:c>
      <x:c r="O179" s="1" t="n">
        <x:v>95</x:v>
      </x:c>
      <x:c r="P179" s="7" t="n">
        <x:v>-0.09133098006644524</x:v>
      </x:c>
      <x:c r="Q179" s="7" t="n">
        <x:v>-0.054113009701306836</x:v>
      </x:c>
      <x:c r="R179" s="1" t="str">
        <x:v>2024-03-18</x:v>
      </x:c>
      <x:c r="S179" s="1" t="str">
        <x:v>2024-04-22</x:v>
      </x:c>
    </x:row>
    <x:row r="180" ht="25" customHeight="1">
      <x:c r="A180" s="1" t="str">
        <x:v>sz399006</x:v>
      </x:c>
      <x:c r="B180" s="1" t="str">
        <x:v>创业板指</x:v>
      </x:c>
      <x:c r="C180" s="1" t="str">
        <x:v>2026-07</x:v>
      </x:c>
      <x:c r="D180" s="1" t="n">
        <x:v>1</x:v>
      </x:c>
      <x:c r="E180" s="7" t="n">
        <x:f>'月度收益'!H2271</x:f>
        <x:v>-0.22998312113864383</x:v>
      </x:c>
      <x:c r="F180" s="1" t="str">
        <x:v>2026-07-31</x:v>
      </x:c>
      <x:c r="G180" s="1" t="str">
        <x:v>2026-08-03</x:v>
      </x:c>
      <x:c r="H180" s="1" t="str">
        <x:v>2026-11-03</x:v>
      </x:c>
      <x:c r="I180" s="1"/>
      <x:c r="J180" s="5" t="n">
        <x:v>3320.09</x:v>
      </x:c>
      <x:c r="K180" s="5"/>
      <x:c r="L180" s="7" t="str">
        <x:f>"观察中"</x:f>
        <x:v>观察中</x:v>
      </x:c>
      <x:c r="M180" s="1" t="str">
        <x:v>观察中</x:v>
      </x:c>
      <x:c r="N180" s="1" t="n">
        <x:v>44</x:v>
      </x:c>
      <x:c r="O180" s="1"/>
      <x:c r="P180" s="7" t="n">
        <x:v>-0.18809355749486656</x:v>
      </x:c>
      <x:c r="Q180" s="7" t="n">
        <x:v>-0.11665045224677639</x:v>
      </x:c>
      <x:c r="R180" s="1" t="str">
        <x:v>2026-08-17</x:v>
      </x:c>
      <x:c r="S180" s="1" t="str">
        <x:v>2026-10-08</x:v>
      </x:c>
    </x:row>
    <x:row r="181" ht="25" customHeight="1">
      <x:c r="A181" s="1" t="str">
        <x:v>sh000922</x:v>
      </x:c>
      <x:c r="B181" s="1" t="str">
        <x:v>中证红利</x:v>
      </x:c>
      <x:c r="C181" s="1" t="str">
        <x:v>2007-11</x:v>
      </x:c>
      <x:c r="D181" s="1" t="n">
        <x:v>0</x:v>
      </x:c>
      <x:c r="E181" s="7" t="n">
        <x:f>'月度收益'!H2309</x:f>
        <x:v>-0.17744053783535152</x:v>
      </x:c>
      <x:c r="F181" s="1" t="str">
        <x:v>2007-11-30</x:v>
      </x:c>
      <x:c r="G181" s="1" t="str">
        <x:v>2007-12-03</x:v>
      </x:c>
      <x:c r="H181" s="1" t="str">
        <x:v>2008-03-03</x:v>
      </x:c>
      <x:c r="I181" s="1" t="str">
        <x:v>2008-03-03</x:v>
      </x:c>
      <x:c r="J181" s="5" t="n">
        <x:v>4251</x:v>
      </x:c>
      <x:c r="K181" s="5" t="n">
        <x:v>4798.36</x:v>
      </x:c>
      <x:c r="L181" s="7" t="n">
        <x:f>K181/J181-1</x:f>
        <x:v>0.1287602916960715</x:v>
      </x:c>
      <x:c r="M181" s="1" t="str">
        <x:v>已完成</x:v>
      </x:c>
      <x:c r="N181" s="1" t="n">
        <x:v>58</x:v>
      </x:c>
      <x:c r="O181" s="1" t="n">
        <x:v>91</x:v>
      </x:c>
      <x:c r="P181" s="7" t="n">
        <x:v>-0.19686882180069454</x:v>
      </x:c>
      <x:c r="Q181" s="7" t="n">
        <x:v>-0.0023429781227946034</x:v>
      </x:c>
      <x:c r="R181" s="1" t="str">
        <x:v>2008-01-15</x:v>
      </x:c>
      <x:c r="S181" s="1" t="str">
        <x:v>2008-02-01</x:v>
      </x:c>
    </x:row>
    <x:row r="182" ht="25" customHeight="1">
      <x:c r="A182" s="1" t="str">
        <x:v>sh000922</x:v>
      </x:c>
      <x:c r="B182" s="1" t="str">
        <x:v>中证红利</x:v>
      </x:c>
      <x:c r="C182" s="1" t="str">
        <x:v>2008-01</x:v>
      </x:c>
      <x:c r="D182" s="1" t="n">
        <x:v>0</x:v>
      </x:c>
      <x:c r="E182" s="7" t="n">
        <x:f>'月度收益'!H2311</x:f>
        <x:v>-0.1006682605628283</x:v>
      </x:c>
      <x:c r="F182" s="1" t="str">
        <x:v>2008-01-31</x:v>
      </x:c>
      <x:c r="G182" s="1" t="str">
        <x:v>2008-02-01</x:v>
      </x:c>
      <x:c r="H182" s="1" t="str">
        <x:v>2008-05-01</x:v>
      </x:c>
      <x:c r="I182" s="1" t="str">
        <x:v>2008-05-05</x:v>
      </x:c>
      <x:c r="J182" s="5" t="n">
        <x:v>4580.73</x:v>
      </x:c>
      <x:c r="K182" s="5" t="n">
        <x:v>4027.36</x:v>
      </x:c>
      <x:c r="L182" s="7" t="n">
        <x:f>K182/J182-1</x:f>
        <x:v>-0.12080388933641573</x:v>
      </x:c>
      <x:c r="M182" s="1" t="str">
        <x:v>已完成</x:v>
      </x:c>
      <x:c r="N182" s="1" t="n">
        <x:v>58</x:v>
      </x:c>
      <x:c r="O182" s="1" t="n">
        <x:v>94</x:v>
      </x:c>
      <x:c r="P182" s="7" t="n">
        <x:v>-0.3581381869225947</x:v>
      </x:c>
      <x:c r="Q182" s="7" t="n">
        <x:v>-0.3213112320525331</x:v>
      </x:c>
      <x:c r="R182" s="1" t="str">
        <x:v>2008-02-19</x:v>
      </x:c>
      <x:c r="S182" s="1" t="str">
        <x:v>2008-04-21</x:v>
      </x:c>
    </x:row>
    <x:row r="183" ht="25" customHeight="1">
      <x:c r="A183" s="1" t="str">
        <x:v>sh000922</x:v>
      </x:c>
      <x:c r="B183" s="1" t="str">
        <x:v>中证红利</x:v>
      </x:c>
      <x:c r="C183" s="1" t="str">
        <x:v>2008-03</x:v>
      </x:c>
      <x:c r="D183" s="1" t="n">
        <x:v>0</x:v>
      </x:c>
      <x:c r="E183" s="7" t="n">
        <x:f>'月度收益'!H2313</x:f>
        <x:v>-0.2097310284158811</x:v>
      </x:c>
      <x:c r="F183" s="1" t="str">
        <x:v>2008-03-31</x:v>
      </x:c>
      <x:c r="G183" s="1" t="str">
        <x:v>2008-04-01</x:v>
      </x:c>
      <x:c r="H183" s="1" t="str">
        <x:v>2008-07-01</x:v>
      </x:c>
      <x:c r="I183" s="1" t="str">
        <x:v>2008-07-01</x:v>
      </x:c>
      <x:c r="J183" s="5" t="n">
        <x:v>3794.89</x:v>
      </x:c>
      <x:c r="K183" s="5" t="n">
        <x:v>2801.26</x:v>
      </x:c>
      <x:c r="L183" s="7" t="n">
        <x:f>K183/J183-1</x:f>
        <x:v>-0.26183367633844457</x:v>
      </x:c>
      <x:c r="M183" s="1" t="str">
        <x:v>已完成</x:v>
      </x:c>
      <x:c r="N183" s="1" t="n">
        <x:v>61</x:v>
      </x:c>
      <x:c r="O183" s="1" t="n">
        <x:v>91</x:v>
      </x:c>
      <x:c r="P183" s="7" t="n">
        <x:v>-0.32336291624414015</x:v>
      </x:c>
      <x:c r="Q183" s="7" t="n">
        <x:v>-0.2744005755107526</x:v>
      </x:c>
      <x:c r="R183" s="1" t="str">
        <x:v>2008-05-14</x:v>
      </x:c>
      <x:c r="S183" s="1" t="str">
        <x:v>2008-06-30</x:v>
      </x:c>
    </x:row>
    <x:row r="184" ht="25" customHeight="1">
      <x:c r="A184" s="1" t="str">
        <x:v>sh000922</x:v>
      </x:c>
      <x:c r="B184" s="1" t="str">
        <x:v>中证红利</x:v>
      </x:c>
      <x:c r="C184" s="1" t="str">
        <x:v>2008-06</x:v>
      </x:c>
      <x:c r="D184" s="1" t="n">
        <x:v>1</x:v>
      </x:c>
      <x:c r="E184" s="7" t="n">
        <x:f>'月度收益'!H2316</x:f>
        <x:v>-0.25126138189609004</x:v>
      </x:c>
      <x:c r="F184" s="1" t="str">
        <x:v>2008-06-30</x:v>
      </x:c>
      <x:c r="G184" s="1" t="str">
        <x:v>2008-07-01</x:v>
      </x:c>
      <x:c r="H184" s="1" t="str">
        <x:v>2008-10-01</x:v>
      </x:c>
      <x:c r="I184" s="1" t="str">
        <x:v>2008-10-06</x:v>
      </x:c>
      <x:c r="J184" s="5" t="n">
        <x:v>2801.26</x:v>
      </x:c>
      <x:c r="K184" s="5" t="n">
        <x:v>2161.4</x:v>
      </x:c>
      <x:c r="L184" s="7" t="n">
        <x:f>K184/J184-1</x:f>
        <x:v>-0.22841864018334612</x:v>
      </x:c>
      <x:c r="M184" s="1" t="str">
        <x:v>已完成</x:v>
      </x:c>
      <x:c r="N184" s="1" t="n">
        <x:v>63</x:v>
      </x:c>
      <x:c r="O184" s="1" t="n">
        <x:v>97</x:v>
      </x:c>
      <x:c r="P184" s="7" t="n">
        <x:v>-0.37407769434210214</x:v>
      </x:c>
      <x:c r="Q184" s="7" t="n">
        <x:v>-0.3454873878183389</x:v>
      </x:c>
      <x:c r="R184" s="1" t="str">
        <x:v>2008-07-09</x:v>
      </x:c>
      <x:c r="S184" s="1" t="str">
        <x:v>2008-09-18</x:v>
      </x:c>
    </x:row>
    <x:row r="185" ht="25" customHeight="1">
      <x:c r="A185" s="1" t="str">
        <x:v>sh000922</x:v>
      </x:c>
      <x:c r="B185" s="1" t="str">
        <x:v>中证红利</x:v>
      </x:c>
      <x:c r="C185" s="1" t="str">
        <x:v>2008-08</x:v>
      </x:c>
      <x:c r="D185" s="1" t="n">
        <x:v>1</x:v>
      </x:c>
      <x:c r="E185" s="7" t="n">
        <x:f>'月度收益'!H2318</x:f>
        <x:v>-0.1976748781215084</x:v>
      </x:c>
      <x:c r="F185" s="1" t="str">
        <x:v>2008-08-29</x:v>
      </x:c>
      <x:c r="G185" s="1" t="str">
        <x:v>2008-09-01</x:v>
      </x:c>
      <x:c r="H185" s="1" t="str">
        <x:v>2008-12-01</x:v>
      </x:c>
      <x:c r="I185" s="1" t="str">
        <x:v>2008-12-01</x:v>
      </x:c>
      <x:c r="J185" s="5" t="n">
        <x:v>2217.11</x:v>
      </x:c>
      <x:c r="K185" s="5" t="n">
        <x:v>1792.59</x:v>
      </x:c>
      <x:c r="L185" s="7" t="n">
        <x:f>K185/J185-1</x:f>
        <x:v>-0.19147448705747583</x:v>
      </x:c>
      <x:c r="M185" s="1" t="str">
        <x:v>已完成</x:v>
      </x:c>
      <x:c r="N185" s="1" t="n">
        <x:v>59</x:v>
      </x:c>
      <x:c r="O185" s="1" t="n">
        <x:v>91</x:v>
      </x:c>
      <x:c r="P185" s="7" t="n">
        <x:v>-0.29240317350063827</x:v>
      </x:c>
      <x:c r="Q185" s="7" t="n">
        <x:v>-0.2984696293823943</x:v>
      </x:c>
      <x:c r="R185" s="1" t="str">
        <x:v>2008-09-01</x:v>
      </x:c>
      <x:c r="S185" s="1" t="str">
        <x:v>2008-11-04</x:v>
      </x:c>
    </x:row>
    <x:row r="186" ht="25" customHeight="1">
      <x:c r="A186" s="1" t="str">
        <x:v>sh000922</x:v>
      </x:c>
      <x:c r="B186" s="1" t="str">
        <x:v>中证红利</x:v>
      </x:c>
      <x:c r="C186" s="1" t="str">
        <x:v>2008-10</x:v>
      </x:c>
      <x:c r="D186" s="1" t="n">
        <x:v>1</x:v>
      </x:c>
      <x:c r="E186" s="7" t="n">
        <x:f>'月度收益'!H2320</x:f>
        <x:v>-0.26666787711525897</x:v>
      </x:c>
      <x:c r="F186" s="1" t="str">
        <x:v>2008-10-31</x:v>
      </x:c>
      <x:c r="G186" s="1" t="str">
        <x:v>2008-11-03</x:v>
      </x:c>
      <x:c r="H186" s="1" t="str">
        <x:v>2009-02-03</x:v>
      </x:c>
      <x:c r="I186" s="1" t="str">
        <x:v>2009-02-03</x:v>
      </x:c>
      <x:c r="J186" s="5" t="n">
        <x:v>1606.79</x:v>
      </x:c>
      <x:c r="K186" s="5" t="n">
        <x:v>1957.8</x:v>
      </x:c>
      <x:c r="L186" s="7" t="n">
        <x:f>K186/J186-1</x:f>
        <x:v>0.21845418505218483</x:v>
      </x:c>
      <x:c r="M186" s="1" t="str">
        <x:v>已完成</x:v>
      </x:c>
      <x:c r="N186" s="1" t="n">
        <x:v>59</x:v>
      </x:c>
      <x:c r="O186" s="1" t="n">
        <x:v>92</x:v>
      </x:c>
      <x:c r="P186" s="7" t="n">
        <x:v>-0.16093977569745144</x:v>
      </x:c>
      <x:c r="Q186" s="7" t="n">
        <x:v>-0.03200169281611165</x:v>
      </x:c>
      <x:c r="R186" s="1" t="str">
        <x:v>2008-12-08</x:v>
      </x:c>
      <x:c r="S186" s="1" t="str">
        <x:v>2008-12-31</x:v>
      </x:c>
    </x:row>
    <x:row r="187" ht="25" customHeight="1">
      <x:c r="A187" s="1" t="str">
        <x:v>sh000922</x:v>
      </x:c>
      <x:c r="B187" s="1" t="str">
        <x:v>中证红利</x:v>
      </x:c>
      <x:c r="C187" s="1" t="str">
        <x:v>2009-08</x:v>
      </x:c>
      <x:c r="D187" s="1" t="n">
        <x:v>1</x:v>
      </x:c>
      <x:c r="E187" s="7" t="n">
        <x:f>'月度收益'!H2330</x:f>
        <x:v>-0.2322334744778941</x:v>
      </x:c>
      <x:c r="F187" s="1" t="str">
        <x:v>2009-08-31</x:v>
      </x:c>
      <x:c r="G187" s="1" t="str">
        <x:v>2009-09-01</x:v>
      </x:c>
      <x:c r="H187" s="1" t="str">
        <x:v>2009-12-01</x:v>
      </x:c>
      <x:c r="I187" s="1" t="str">
        <x:v>2009-12-01</x:v>
      </x:c>
      <x:c r="J187" s="5" t="n">
        <x:v>2739.62</x:v>
      </x:c>
      <x:c r="K187" s="5" t="n">
        <x:v>3522.48</x:v>
      </x:c>
      <x:c r="L187" s="7" t="n">
        <x:f>K187/J187-1</x:f>
        <x:v>0.2857549587169024</x:v>
      </x:c>
      <x:c r="M187" s="1" t="str">
        <x:v>已完成</x:v>
      </x:c>
      <x:c r="N187" s="1" t="n">
        <x:v>59</x:v>
      </x:c>
      <x:c r="O187" s="1" t="n">
        <x:v>91</x:v>
      </x:c>
      <x:c r="P187" s="7" t="n">
        <x:v>-0.1373128880282365</x:v>
      </x:c>
      <x:c r="Q187" s="7" t="n">
        <x:v>-0.011545396806856512</x:v>
      </x:c>
      <x:c r="R187" s="1" t="str">
        <x:v>2009-09-17</x:v>
      </x:c>
      <x:c r="S187" s="1" t="str">
        <x:v>2009-09-29</x:v>
      </x:c>
    </x:row>
    <x:row r="188" ht="25" customHeight="1">
      <x:c r="A188" s="1" t="str">
        <x:v>sh000922</x:v>
      </x:c>
      <x:c r="B188" s="1" t="str">
        <x:v>中证红利</x:v>
      </x:c>
      <x:c r="C188" s="1" t="str">
        <x:v>2010-01</x:v>
      </x:c>
      <x:c r="D188" s="1" t="n">
        <x:v>1</x:v>
      </x:c>
      <x:c r="E188" s="7" t="n">
        <x:f>'月度收益'!H2335</x:f>
        <x:v>-0.10331116171076693</x:v>
      </x:c>
      <x:c r="F188" s="1" t="str">
        <x:v>2010-01-29</x:v>
      </x:c>
      <x:c r="G188" s="1" t="str">
        <x:v>2010-02-01</x:v>
      </x:c>
      <x:c r="H188" s="1" t="str">
        <x:v>2010-05-01</x:v>
      </x:c>
      <x:c r="I188" s="1" t="str">
        <x:v>2010-05-04</x:v>
      </x:c>
      <x:c r="J188" s="5" t="n">
        <x:v>3189.6</x:v>
      </x:c>
      <x:c r="K188" s="5" t="n">
        <x:v>2975.02</x:v>
      </x:c>
      <x:c r="L188" s="7" t="n">
        <x:f>K188/J188-1</x:f>
        <x:v>-0.06727489340356152</x:v>
      </x:c>
      <x:c r="M188" s="1" t="str">
        <x:v>已完成</x:v>
      </x:c>
      <x:c r="N188" s="1" t="n">
        <x:v>59</x:v>
      </x:c>
      <x:c r="O188" s="1" t="n">
        <x:v>92</x:v>
      </x:c>
      <x:c r="P188" s="7" t="n">
        <x:v>-0.11718117101050174</x:v>
      </x:c>
      <x:c r="Q188" s="7" t="n">
        <x:v>-0.06672937045397531</x:v>
      </x:c>
      <x:c r="R188" s="1" t="str">
        <x:v>2010-04-06</x:v>
      </x:c>
      <x:c r="S188" s="1" t="str">
        <x:v>2010-05-04</x:v>
      </x:c>
    </x:row>
    <x:row r="189" ht="25" customHeight="1">
      <x:c r="A189" s="1" t="str">
        <x:v>sh000922</x:v>
      </x:c>
      <x:c r="B189" s="1" t="str">
        <x:v>中证红利</x:v>
      </x:c>
      <x:c r="C189" s="1" t="str">
        <x:v>2013-06</x:v>
      </x:c>
      <x:c r="D189" s="1" t="n">
        <x:v>1</x:v>
      </x:c>
      <x:c r="E189" s="7" t="n">
        <x:f>'月度收益'!H2376</x:f>
        <x:v>-0.16458224902795204</x:v>
      </x:c>
      <x:c r="F189" s="1" t="str">
        <x:v>2013-06-28</x:v>
      </x:c>
      <x:c r="G189" s="1" t="str">
        <x:v>2013-07-01</x:v>
      </x:c>
      <x:c r="H189" s="1" t="str">
        <x:v>2013-10-01</x:v>
      </x:c>
      <x:c r="I189" s="1" t="str">
        <x:v>2013-10-08</x:v>
      </x:c>
      <x:c r="J189" s="5" t="n">
        <x:v>2170.54</x:v>
      </x:c>
      <x:c r="K189" s="5" t="n">
        <x:v>2360.65</x:v>
      </x:c>
      <x:c r="L189" s="7" t="n">
        <x:f>K189/J189-1</x:f>
        <x:v>0.08758649921217776</x:v>
      </x:c>
      <x:c r="M189" s="1" t="str">
        <x:v>已完成</x:v>
      </x:c>
      <x:c r="N189" s="1" t="n">
        <x:v>64</x:v>
      </x:c>
      <x:c r="O189" s="1" t="n">
        <x:v>99</x:v>
      </x:c>
      <x:c r="P189" s="7" t="n">
        <x:v>-0.07731476670476978</x:v>
      </x:c>
      <x:c r="Q189" s="7" t="n">
        <x:v>-0.02331217116477924</x:v>
      </x:c>
      <x:c r="R189" s="1" t="str">
        <x:v>2013-07-11</x:v>
      </x:c>
      <x:c r="S189" s="1" t="str">
        <x:v>2013-07-29</x:v>
      </x:c>
    </x:row>
    <x:row r="190" ht="25" customHeight="1">
      <x:c r="A190" s="1" t="str">
        <x:v>sh000922</x:v>
      </x:c>
      <x:c r="B190" s="1" t="str">
        <x:v>中证红利</x:v>
      </x:c>
      <x:c r="C190" s="1" t="str">
        <x:v>2015-07</x:v>
      </x:c>
      <x:c r="D190" s="1" t="n">
        <x:v>1</x:v>
      </x:c>
      <x:c r="E190" s="7" t="n">
        <x:f>'月度收益'!H2401</x:f>
        <x:v>-0.15075026376460465</x:v>
      </x:c>
      <x:c r="F190" s="1" t="str">
        <x:v>2015-07-31</x:v>
      </x:c>
      <x:c r="G190" s="1" t="str">
        <x:v>2015-08-03</x:v>
      </x:c>
      <x:c r="H190" s="1" t="str">
        <x:v>2015-11-03</x:v>
      </x:c>
      <x:c r="I190" s="1" t="str">
        <x:v>2015-11-03</x:v>
      </x:c>
      <x:c r="J190" s="5" t="n">
        <x:v>4292.86</x:v>
      </x:c>
      <x:c r="K190" s="5" t="n">
        <x:v>3942.63</x:v>
      </x:c>
      <x:c r="L190" s="7" t="n">
        <x:f>K190/J190-1</x:f>
        <x:v>-0.08158430510195991</x:v>
      </x:c>
      <x:c r="M190" s="1" t="str">
        <x:v>已完成</x:v>
      </x:c>
      <x:c r="N190" s="1" t="n">
        <x:v>59</x:v>
      </x:c>
      <x:c r="O190" s="1" t="n">
        <x:v>92</x:v>
      </x:c>
      <x:c r="P190" s="7" t="n">
        <x:v>-0.29712465952610123</x:v>
      </x:c>
      <x:c r="Q190" s="7" t="n">
        <x:v>-0.21145576608601246</x:v>
      </x:c>
      <x:c r="R190" s="1" t="str">
        <x:v>2015-08-17</x:v>
      </x:c>
      <x:c r="S190" s="1" t="str">
        <x:v>2015-09-15</x:v>
      </x:c>
    </x:row>
    <x:row r="191" ht="25" customHeight="1">
      <x:c r="A191" s="1" t="str">
        <x:v>sh000922</x:v>
      </x:c>
      <x:c r="B191" s="1" t="str">
        <x:v>中证红利</x:v>
      </x:c>
      <x:c r="C191" s="1" t="str">
        <x:v>2015-08</x:v>
      </x:c>
      <x:c r="D191" s="1" t="n">
        <x:v>1</x:v>
      </x:c>
      <x:c r="E191" s="7" t="n">
        <x:f>'月度收益'!H2402</x:f>
        <x:v>-0.12942440465372018</x:v>
      </x:c>
      <x:c r="F191" s="1" t="str">
        <x:v>2015-08-31</x:v>
      </x:c>
      <x:c r="G191" s="1" t="str">
        <x:v>2015-09-01</x:v>
      </x:c>
      <x:c r="H191" s="1" t="str">
        <x:v>2015-12-01</x:v>
      </x:c>
      <x:c r="I191" s="1" t="str">
        <x:v>2015-12-01</x:v>
      </x:c>
      <x:c r="J191" s="5" t="n">
        <x:v>3713.01</x:v>
      </x:c>
      <x:c r="K191" s="5" t="n">
        <x:v>4229.63</x:v>
      </x:c>
      <x:c r="L191" s="7" t="n">
        <x:f>K191/J191-1</x:f>
        <x:v>0.13913778847888914</x:v>
      </x:c>
      <x:c r="M191" s="1" t="str">
        <x:v>已完成</x:v>
      </x:c>
      <x:c r="N191" s="1" t="n">
        <x:v>58</x:v>
      </x:c>
      <x:c r="O191" s="1" t="n">
        <x:v>91</x:v>
      </x:c>
      <x:c r="P191" s="7" t="n">
        <x:v>-0.10127709272211638</x:v>
      </x:c>
      <x:c r="Q191" s="7" t="n">
        <x:v>-0.07960387933240154</x:v>
      </x:c>
      <x:c r="R191" s="1" t="str">
        <x:v>2015-09-09</x:v>
      </x:c>
      <x:c r="S191" s="1" t="str">
        <x:v>2015-09-15</x:v>
      </x:c>
    </x:row>
    <x:row r="192" ht="25" customHeight="1">
      <x:c r="A192" s="1" t="str">
        <x:v>sh000922</x:v>
      </x:c>
      <x:c r="B192" s="1" t="str">
        <x:v>中证红利</x:v>
      </x:c>
      <x:c r="C192" s="1" t="str">
        <x:v>2016-01</x:v>
      </x:c>
      <x:c r="D192" s="1" t="n">
        <x:v>1</x:v>
      </x:c>
      <x:c r="E192" s="7" t="n">
        <x:f>'月度收益'!H2407</x:f>
        <x:v>-0.2158316134001651</x:v>
      </x:c>
      <x:c r="F192" s="1" t="str">
        <x:v>2016-01-29</x:v>
      </x:c>
      <x:c r="G192" s="1" t="str">
        <x:v>2016-02-01</x:v>
      </x:c>
      <x:c r="H192" s="1" t="str">
        <x:v>2016-05-01</x:v>
      </x:c>
      <x:c r="I192" s="1" t="str">
        <x:v>2016-05-03</x:v>
      </x:c>
      <x:c r="J192" s="5" t="n">
        <x:v>3423.94</x:v>
      </x:c>
      <x:c r="K192" s="5" t="n">
        <x:v>3753.64</x:v>
      </x:c>
      <x:c r="L192" s="7" t="n">
        <x:f>K192/J192-1</x:f>
        <x:v>0.09629257522036005</x:v>
      </x:c>
      <x:c r="M192" s="1" t="str">
        <x:v>已完成</x:v>
      </x:c>
      <x:c r="N192" s="1" t="n">
        <x:v>59</x:v>
      </x:c>
      <x:c r="O192" s="1" t="n">
        <x:v>92</x:v>
      </x:c>
      <x:c r="P192" s="7" t="n">
        <x:v>-0.07635342672220302</x:v>
      </x:c>
      <x:c r="Q192" s="7" t="n">
        <x:v>-0.025090977061513864</x:v>
      </x:c>
      <x:c r="R192" s="1" t="str">
        <x:v>2016-02-24</x:v>
      </x:c>
      <x:c r="S192" s="1" t="str">
        <x:v>2016-02-29</x:v>
      </x:c>
    </x:row>
    <x:row r="193" ht="25" customHeight="1">
      <x:c r="A193" s="1" t="str">
        <x:v>sh000688</x:v>
      </x:c>
      <x:c r="B193" s="1" t="str">
        <x:v>科创50</x:v>
      </x:c>
      <x:c r="C193" s="1" t="str">
        <x:v>2020-03</x:v>
      </x:c>
      <x:c r="D193" s="1" t="n">
        <x:v>0</x:v>
      </x:c>
      <x:c r="E193" s="7" t="n">
        <x:f>'月度收益'!H2540</x:f>
        <x:v>-0.13542672431887826</x:v>
      </x:c>
      <x:c r="F193" s="1" t="str">
        <x:v>2020-03-31</x:v>
      </x:c>
      <x:c r="G193" s="1" t="str">
        <x:v>2020-04-01</x:v>
      </x:c>
      <x:c r="H193" s="1" t="str">
        <x:v>2020-07-01</x:v>
      </x:c>
      <x:c r="I193" s="1" t="str">
        <x:v>2020-07-01</x:v>
      </x:c>
      <x:c r="J193" s="5" t="n">
        <x:v>1026.58</x:v>
      </x:c>
      <x:c r="K193" s="5" t="n">
        <x:v>1453.25</x:v>
      </x:c>
      <x:c r="L193" s="7" t="n">
        <x:f>K193/J193-1</x:f>
        <x:v>0.41562274737477845</x:v>
      </x:c>
      <x:c r="M193" s="1" t="str">
        <x:v>已完成</x:v>
      </x:c>
      <x:c r="N193" s="1" t="n">
        <x:v>59</x:v>
      </x:c>
      <x:c r="O193" s="1" t="n">
        <x:v>91</x:v>
      </x:c>
      <x:c r="P193" s="7" t="n">
        <x:v>-0.084814484831096</x:v>
      </x:c>
      <x:c r="Q193" s="7" t="n">
        <x:v>0</x:v>
      </x:c>
      <x:c r="R193" s="1" t="str">
        <x:v>2020-05-19</x:v>
      </x:c>
      <x:c r="S193" s="1" t="str">
        <x:v>2020-05-25</x:v>
      </x:c>
    </x:row>
    <x:row r="194" ht="25" customHeight="1">
      <x:c r="A194" s="1" t="str">
        <x:v>sh000688</x:v>
      </x:c>
      <x:c r="B194" s="1" t="str">
        <x:v>科创50</x:v>
      </x:c>
      <x:c r="C194" s="1" t="str">
        <x:v>2022-01</x:v>
      </x:c>
      <x:c r="D194" s="1" t="n">
        <x:v>1</x:v>
      </x:c>
      <x:c r="E194" s="7" t="n">
        <x:f>'月度收益'!H2562</x:f>
        <x:v>-0.12084909776210673</x:v>
      </x:c>
      <x:c r="F194" s="1" t="str">
        <x:v>2022-01-28</x:v>
      </x:c>
      <x:c r="G194" s="1" t="str">
        <x:v>2022-02-07</x:v>
      </x:c>
      <x:c r="H194" s="1" t="str">
        <x:v>2022-05-07</x:v>
      </x:c>
      <x:c r="I194" s="1" t="str">
        <x:v>2022-05-09</x:v>
      </x:c>
      <x:c r="J194" s="5" t="n">
        <x:v>1247.58</x:v>
      </x:c>
      <x:c r="K194" s="5" t="n">
        <x:v>938.39</x:v>
      </x:c>
      <x:c r="L194" s="7" t="n">
        <x:f>K194/J194-1</x:f>
        <x:v>-0.24783180236938707</x:v>
      </x:c>
      <x:c r="M194" s="1" t="str">
        <x:v>已完成</x:v>
      </x:c>
      <x:c r="N194" s="1" t="n">
        <x:v>60</x:v>
      </x:c>
      <x:c r="O194" s="1" t="n">
        <x:v>91</x:v>
      </x:c>
      <x:c r="P194" s="7" t="n">
        <x:v>-0.30531614369513194</x:v>
      </x:c>
      <x:c r="Q194" s="7" t="n">
        <x:v>-0.31610798505907434</x:v>
      </x:c>
      <x:c r="R194" s="1" t="str">
        <x:v>2022-02-28</x:v>
      </x:c>
      <x:c r="S194" s="1" t="str">
        <x:v>2022-04-26</x:v>
      </x:c>
    </x:row>
    <x:row r="195" ht="25" customHeight="1">
      <x:c r="A195" s="1" t="str">
        <x:v>sh000688</x:v>
      </x:c>
      <x:c r="B195" s="1" t="str">
        <x:v>科创50</x:v>
      </x:c>
      <x:c r="C195" s="1" t="str">
        <x:v>2022-03</x:v>
      </x:c>
      <x:c r="D195" s="1" t="n">
        <x:v>1</x:v>
      </x:c>
      <x:c r="E195" s="7" t="n">
        <x:f>'月度收益'!H2564</x:f>
        <x:v>-0.12686561192071</x:v>
      </x:c>
      <x:c r="F195" s="1" t="str">
        <x:v>2022-03-31</x:v>
      </x:c>
      <x:c r="G195" s="1" t="str">
        <x:v>2022-04-01</x:v>
      </x:c>
      <x:c r="H195" s="1" t="str">
        <x:v>2022-07-01</x:v>
      </x:c>
      <x:c r="I195" s="1" t="str">
        <x:v>2022-07-01</x:v>
      </x:c>
      <x:c r="J195" s="5" t="n">
        <x:v>1085.31</x:v>
      </x:c>
      <x:c r="K195" s="5" t="n">
        <x:v>1105.97</x:v>
      </x:c>
      <x:c r="L195" s="7" t="n">
        <x:f>K195/J195-1</x:f>
        <x:v>0.019036035787010297</x:v>
      </x:c>
      <x:c r="M195" s="1" t="str">
        <x:v>已完成</x:v>
      </x:c>
      <x:c r="N195" s="1" t="n">
        <x:v>59</x:v>
      </x:c>
      <x:c r="O195" s="1" t="n">
        <x:v>91</x:v>
      </x:c>
      <x:c r="P195" s="7" t="n">
        <x:v>-0.20301324837723445</x:v>
      </x:c>
      <x:c r="Q195" s="7" t="n">
        <x:v>-0.21385594899153226</x:v>
      </x:c>
      <x:c r="R195" s="1" t="str">
        <x:v>2022-04-01</x:v>
      </x:c>
      <x:c r="S195" s="1" t="str">
        <x:v>2022-04-26</x:v>
      </x:c>
    </x:row>
    <x:row r="196" ht="25" customHeight="1">
      <x:c r="A196" s="1" t="str">
        <x:v>sh000688</x:v>
      </x:c>
      <x:c r="B196" s="1" t="str">
        <x:v>科创50</x:v>
      </x:c>
      <x:c r="C196" s="1" t="str">
        <x:v>2022-04</x:v>
      </x:c>
      <x:c r="D196" s="1" t="n">
        <x:v>1</x:v>
      </x:c>
      <x:c r="E196" s="7" t="n">
        <x:f>'月度收益'!H2565</x:f>
        <x:v>-0.13189925393653879</x:v>
      </x:c>
      <x:c r="F196" s="1" t="str">
        <x:v>2022-04-29</x:v>
      </x:c>
      <x:c r="G196" s="1" t="str">
        <x:v>2022-05-05</x:v>
      </x:c>
      <x:c r="H196" s="1" t="str">
        <x:v>2022-08-05</x:v>
      </x:c>
      <x:c r="I196" s="1" t="str">
        <x:v>2022-08-05</x:v>
      </x:c>
      <x:c r="J196" s="5" t="n">
        <x:v>944.55</x:v>
      </x:c>
      <x:c r="K196" s="5" t="n">
        <x:v>1115.02</x:v>
      </x:c>
      <x:c r="L196" s="7" t="n">
        <x:f>K196/J196-1</x:f>
        <x:v>0.18047747604679487</x:v>
      </x:c>
      <x:c r="M196" s="1" t="str">
        <x:v>已完成</x:v>
      </x:c>
      <x:c r="N196" s="1" t="n">
        <x:v>65</x:v>
      </x:c>
      <x:c r="O196" s="1" t="n">
        <x:v>92</x:v>
      </x:c>
      <x:c r="P196" s="7" t="n">
        <x:v>-0.06446493214686944</x:v>
      </x:c>
      <x:c r="Q196" s="7" t="n">
        <x:v>-0.015594727648086337</x:v>
      </x:c>
      <x:c r="R196" s="1" t="str">
        <x:v>2022-06-06</x:v>
      </x:c>
      <x:c r="S196" s="1" t="str">
        <x:v>2022-07-12</x:v>
      </x:c>
    </x:row>
    <x:row r="197" ht="25" customHeight="1">
      <x:c r="A197" s="1" t="str">
        <x:v>sh000688</x:v>
      </x:c>
      <x:c r="B197" s="1" t="str">
        <x:v>科创50</x:v>
      </x:c>
      <x:c r="C197" s="1" t="str">
        <x:v>2024-01</x:v>
      </x:c>
      <x:c r="D197" s="1" t="n">
        <x:v>1</x:v>
      </x:c>
      <x:c r="E197" s="7" t="n">
        <x:f>'月度收益'!H2586</x:f>
        <x:v>-0.1961854460093897</x:v>
      </x:c>
      <x:c r="F197" s="1" t="str">
        <x:v>2024-01-31</x:v>
      </x:c>
      <x:c r="G197" s="1" t="str">
        <x:v>2024-02-01</x:v>
      </x:c>
      <x:c r="H197" s="1" t="str">
        <x:v>2024-05-01</x:v>
      </x:c>
      <x:c r="I197" s="1" t="str">
        <x:v>2024-05-06</x:v>
      </x:c>
      <x:c r="J197" s="5" t="n">
        <x:v>680.72</x:v>
      </x:c>
      <x:c r="K197" s="5" t="n">
        <x:v>778.99</x:v>
      </x:c>
      <x:c r="L197" s="7" t="n">
        <x:f>K197/J197-1</x:f>
        <x:v>0.14436185215654018</x:v>
      </x:c>
      <x:c r="M197" s="1" t="str">
        <x:v>已完成</x:v>
      </x:c>
      <x:c r="N197" s="1" t="n">
        <x:v>56</x:v>
      </x:c>
      <x:c r="O197" s="1" t="n">
        <x:v>95</x:v>
      </x:c>
      <x:c r="P197" s="7" t="n">
        <x:v>-0.11818512236491396</x:v>
      </x:c>
      <x:c r="Q197" s="7" t="n">
        <x:v>-0.06607709484075686</x:v>
      </x:c>
      <x:c r="R197" s="1" t="str">
        <x:v>2024-03-18</x:v>
      </x:c>
      <x:c r="S197" s="1" t="str">
        <x:v>2024-04-23</x:v>
      </x:c>
    </x:row>
    <x:row r="198" ht="25" customHeight="1">
      <x:c r="A198" s="1" t="str">
        <x:v>sh000688</x:v>
      </x:c>
      <x:c r="B198" s="1" t="str">
        <x:v>科创50</x:v>
      </x:c>
      <x:c r="C198" s="1" t="str">
        <x:v>2026-03</x:v>
      </x:c>
      <x:c r="D198" s="1" t="n">
        <x:v>1</x:v>
      </x:c>
      <x:c r="E198" s="7" t="n">
        <x:f>'月度收益'!H2612</x:f>
        <x:v>-0.15570355237160793</x:v>
      </x:c>
      <x:c r="F198" s="1" t="str">
        <x:v>2026-03-31</x:v>
      </x:c>
      <x:c r="G198" s="1" t="str">
        <x:v>2026-04-01</x:v>
      </x:c>
      <x:c r="H198" s="1" t="str">
        <x:v>2026-07-01</x:v>
      </x:c>
      <x:c r="I198" s="1" t="str">
        <x:v>2026-07-01</x:v>
      </x:c>
      <x:c r="J198" s="5" t="n">
        <x:v>1290.64</x:v>
      </x:c>
      <x:c r="K198" s="5" t="n">
        <x:v>2205.66</x:v>
      </x:c>
      <x:c r="L198" s="7" t="n">
        <x:f>K198/J198-1</x:f>
        <x:v>0.7089660943407918</x:v>
      </x:c>
      <x:c r="M198" s="1" t="str">
        <x:v>已完成</x:v>
      </x:c>
      <x:c r="N198" s="1" t="n">
        <x:v>60</x:v>
      </x:c>
      <x:c r="O198" s="1" t="n">
        <x:v>91</x:v>
      </x:c>
      <x:c r="P198" s="7" t="n">
        <x:v>-0.15794498006371172</x:v>
      </x:c>
      <x:c r="Q198" s="7" t="n">
        <x:v>-0.02790863447591907</x:v>
      </x:c>
      <x:c r="R198" s="1" t="str">
        <x:v>2026-05-25</x:v>
      </x:c>
      <x:c r="S198" s="1" t="str">
        <x:v>2026-06-08</x:v>
      </x:c>
    </x:row>
    <x:row r="199" ht="25" customHeight="1">
      <x:c r="A199" s="1" t="str">
        <x:v>sh000688</x:v>
      </x:c>
      <x:c r="B199" s="1" t="str">
        <x:v>科创50</x:v>
      </x:c>
      <x:c r="C199" s="1" t="str">
        <x:v>2026-07</x:v>
      </x:c>
      <x:c r="D199" s="1" t="n">
        <x:v>1</x:v>
      </x:c>
      <x:c r="E199" s="7" t="n">
        <x:f>'月度收益'!H2616</x:f>
        <x:v>-0.25902910510630206</x:v>
      </x:c>
      <x:c r="F199" s="1" t="str">
        <x:v>2026-07-31</x:v>
      </x:c>
      <x:c r="G199" s="1" t="str">
        <x:v>2026-08-03</x:v>
      </x:c>
      <x:c r="H199" s="1" t="str">
        <x:v>2026-11-03</x:v>
      </x:c>
      <x:c r="I199" s="1"/>
      <x:c r="J199" s="5" t="n">
        <x:v>1619.29</x:v>
      </x:c>
      <x:c r="K199" s="5"/>
      <x:c r="L199" s="7" t="str">
        <x:f>"观察中"</x:f>
        <x:v>观察中</x:v>
      </x:c>
      <x:c r="M199" s="1" t="str">
        <x:v>观察中</x:v>
      </x:c>
      <x:c r="N199" s="1" t="n">
        <x:v>44</x:v>
      </x:c>
      <x:c r="O199" s="1"/>
      <x:c r="P199" s="7" t="n">
        <x:v>-0.1868086460770464</x:v>
      </x:c>
      <x:c r="Q199" s="7" t="n">
        <x:v>-0.14159909590005493</x:v>
      </x:c>
      <x:c r="R199" s="1" t="str">
        <x:v>2026-08-18</x:v>
      </x:c>
      <x:c r="S199" s="1" t="str">
        <x:v>2026-10-08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</x:cols>
  <x:sheetData>
    <x:row r="1" ht="25" customHeight="1">
      <x:c r="A1" s="10" t="str">
        <x:v>10个指数：自然月收益底稿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42" customHeight="1">
      <x:c r="A2" s="11" t="str">
        <x:v>月收益使用公式；缺上月末或月份未完成不触发，发布前行情另行标记。日行情及每日持有路径见同目录CSV与SQLite。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 ht="25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4" customHeight="1">
      <x:c r="A5" s="4" t="str">
        <x:v>指数代码</x:v>
      </x:c>
      <x:c r="B5" s="4" t="str">
        <x:v>指数名称</x:v>
      </x:c>
      <x:c r="C5" s="4" t="str">
        <x:v>月份</x:v>
      </x:c>
      <x:c r="D5" s="4" t="str">
        <x:v>上月末日期</x:v>
      </x:c>
      <x:c r="E5" s="4" t="str">
        <x:v>上月末收盘</x:v>
      </x:c>
      <x:c r="F5" s="4" t="str">
        <x:v>本月末日期</x:v>
      </x:c>
      <x:c r="G5" s="4" t="str">
        <x:v>本月末收盘</x:v>
      </x:c>
      <x:c r="H5" s="4" t="str">
        <x:v>月收益</x:v>
      </x:c>
      <x:c r="I5" s="4" t="str">
        <x:v>完整月份</x:v>
      </x:c>
      <x:c r="J5" s="4" t="str">
        <x:v>发布后完整月</x:v>
      </x:c>
      <x:c r="K5" s="4" t="str">
        <x:v>主要日行情来源</x:v>
      </x:c>
    </x:row>
    <x:row r="6" ht="25" customHeight="1">
      <x:c r="A6" s="1" t="str">
        <x:v>sh000001</x:v>
      </x:c>
      <x:c r="B6" s="1" t="str">
        <x:v>上证综指</x:v>
      </x:c>
      <x:c r="C6" s="1" t="str">
        <x:v>1990-12</x:v>
      </x:c>
      <x:c r="D6" s="1"/>
      <x:c r="E6" s="5"/>
      <x:c r="F6" s="6" t="str">
        <x:v>1990-12-31</x:v>
      </x:c>
      <x:c r="G6" s="5" t="n">
        <x:v>127.61</x:v>
      </x:c>
      <x:c r="H6" s="7" t="str">
        <x:f>"n.a."</x:f>
        <x:v>n.a.</x:v>
      </x:c>
      <x:c r="I6" s="1" t="n">
        <x:v>1</x:v>
      </x:c>
      <x:c r="J6" s="1" t="n">
        <x:v>0</x:v>
      </x:c>
      <x:c r="K6" s="1" t="str">
        <x:v>中证官方优先</x:v>
      </x:c>
    </x:row>
    <x:row r="7" ht="25" customHeight="1">
      <x:c r="A7" s="1" t="str">
        <x:v>sh000001</x:v>
      </x:c>
      <x:c r="B7" s="1" t="str">
        <x:v>上证综指</x:v>
      </x:c>
      <x:c r="C7" s="1" t="str">
        <x:v>1991-01</x:v>
      </x:c>
      <x:c r="D7" s="1" t="str">
        <x:v>1990-12-31</x:v>
      </x:c>
      <x:c r="E7" s="5" t="n">
        <x:v>127.61</x:v>
      </x:c>
      <x:c r="F7" s="6" t="str">
        <x:v>1991-01-31</x:v>
      </x:c>
      <x:c r="G7" s="5" t="n">
        <x:v>129.97</x:v>
      </x:c>
      <x:c r="H7" s="7" t="n">
        <x:f>G7/E7-1</x:f>
        <x:v>0.01849384844447921</x:v>
      </x:c>
      <x:c r="I7" s="1" t="n">
        <x:v>1</x:v>
      </x:c>
      <x:c r="J7" s="1" t="n">
        <x:v>0</x:v>
      </x:c>
      <x:c r="K7" s="1" t="str">
        <x:v>中证官方优先</x:v>
      </x:c>
    </x:row>
    <x:row r="8" ht="25" customHeight="1">
      <x:c r="A8" s="1" t="str">
        <x:v>sh000001</x:v>
      </x:c>
      <x:c r="B8" s="1" t="str">
        <x:v>上证综指</x:v>
      </x:c>
      <x:c r="C8" s="1" t="str">
        <x:v>1991-02</x:v>
      </x:c>
      <x:c r="D8" s="1" t="str">
        <x:v>1991-01-31</x:v>
      </x:c>
      <x:c r="E8" s="5" t="n">
        <x:v>129.97</x:v>
      </x:c>
      <x:c r="F8" s="6" t="str">
        <x:v>1991-02-28</x:v>
      </x:c>
      <x:c r="G8" s="5" t="n">
        <x:v>133.01</x:v>
      </x:c>
      <x:c r="H8" s="7" t="n">
        <x:f>G8/E8-1</x:f>
        <x:v>0.023390013079941374</x:v>
      </x:c>
      <x:c r="I8" s="1" t="n">
        <x:v>1</x:v>
      </x:c>
      <x:c r="J8" s="1" t="n">
        <x:v>0</x:v>
      </x:c>
      <x:c r="K8" s="1" t="str">
        <x:v>中证官方优先</x:v>
      </x:c>
    </x:row>
    <x:row r="9" ht="25" customHeight="1">
      <x:c r="A9" s="1" t="str">
        <x:v>sh000001</x:v>
      </x:c>
      <x:c r="B9" s="1" t="str">
        <x:v>上证综指</x:v>
      </x:c>
      <x:c r="C9" s="1" t="str">
        <x:v>1991-03</x:v>
      </x:c>
      <x:c r="D9" s="1" t="str">
        <x:v>1991-02-28</x:v>
      </x:c>
      <x:c r="E9" s="5" t="n">
        <x:v>133.01</x:v>
      </x:c>
      <x:c r="F9" s="6" t="str">
        <x:v>1991-03-29</x:v>
      </x:c>
      <x:c r="G9" s="5" t="n">
        <x:v>120.19</x:v>
      </x:c>
      <x:c r="H9" s="7" t="n">
        <x:f>G9/E9-1</x:f>
        <x:v>-0.09638373054657545</x:v>
      </x:c>
      <x:c r="I9" s="1" t="n">
        <x:v>1</x:v>
      </x:c>
      <x:c r="J9" s="1" t="n">
        <x:v>0</x:v>
      </x:c>
      <x:c r="K9" s="1" t="str">
        <x:v>中证官方优先</x:v>
      </x:c>
    </x:row>
    <x:row r="10" ht="25" customHeight="1">
      <x:c r="A10" s="1" t="str">
        <x:v>sh000001</x:v>
      </x:c>
      <x:c r="B10" s="1" t="str">
        <x:v>上证综指</x:v>
      </x:c>
      <x:c r="C10" s="1" t="str">
        <x:v>1991-04</x:v>
      </x:c>
      <x:c r="D10" s="1" t="str">
        <x:v>1991-03-29</x:v>
      </x:c>
      <x:c r="E10" s="5" t="n">
        <x:v>120.19</x:v>
      </x:c>
      <x:c r="F10" s="6" t="str">
        <x:v>1991-04-30</x:v>
      </x:c>
      <x:c r="G10" s="5" t="n">
        <x:v>113.94</x:v>
      </x:c>
      <x:c r="H10" s="7" t="n">
        <x:f>G10/E10-1</x:f>
        <x:v>-0.05200099841916961</x:v>
      </x:c>
      <x:c r="I10" s="1" t="n">
        <x:v>1</x:v>
      </x:c>
      <x:c r="J10" s="1" t="n">
        <x:v>0</x:v>
      </x:c>
      <x:c r="K10" s="1" t="str">
        <x:v>中证官方优先</x:v>
      </x:c>
    </x:row>
    <x:row r="11" ht="25" customHeight="1">
      <x:c r="A11" s="1" t="str">
        <x:v>sh000001</x:v>
      </x:c>
      <x:c r="B11" s="1" t="str">
        <x:v>上证综指</x:v>
      </x:c>
      <x:c r="C11" s="1" t="str">
        <x:v>1991-05</x:v>
      </x:c>
      <x:c r="D11" s="1" t="str">
        <x:v>1991-04-30</x:v>
      </x:c>
      <x:c r="E11" s="5" t="n">
        <x:v>113.94</x:v>
      </x:c>
      <x:c r="F11" s="6" t="str">
        <x:v>1991-05-31</x:v>
      </x:c>
      <x:c r="G11" s="5" t="n">
        <x:v>114.83</x:v>
      </x:c>
      <x:c r="H11" s="7" t="n">
        <x:f>G11/E11-1</x:f>
        <x:v>0.007811128664209299</x:v>
      </x:c>
      <x:c r="I11" s="1" t="n">
        <x:v>1</x:v>
      </x:c>
      <x:c r="J11" s="1" t="n">
        <x:v>0</x:v>
      </x:c>
      <x:c r="K11" s="1" t="str">
        <x:v>中证官方优先</x:v>
      </x:c>
    </x:row>
    <x:row r="12" ht="25" customHeight="1">
      <x:c r="A12" s="1" t="str">
        <x:v>sh000001</x:v>
      </x:c>
      <x:c r="B12" s="1" t="str">
        <x:v>上证综指</x:v>
      </x:c>
      <x:c r="C12" s="1" t="str">
        <x:v>1991-06</x:v>
      </x:c>
      <x:c r="D12" s="1" t="str">
        <x:v>1991-05-31</x:v>
      </x:c>
      <x:c r="E12" s="5" t="n">
        <x:v>114.83</x:v>
      </x:c>
      <x:c r="F12" s="6" t="str">
        <x:v>1991-06-28</x:v>
      </x:c>
      <x:c r="G12" s="5" t="n">
        <x:v>137.56</x:v>
      </x:c>
      <x:c r="H12" s="7" t="n">
        <x:f>G12/E12-1</x:f>
        <x:v>0.19794478794740056</x:v>
      </x:c>
      <x:c r="I12" s="1" t="n">
        <x:v>1</x:v>
      </x:c>
      <x:c r="J12" s="1" t="n">
        <x:v>0</x:v>
      </x:c>
      <x:c r="K12" s="1" t="str">
        <x:v>中证官方优先</x:v>
      </x:c>
    </x:row>
    <x:row r="13" ht="25" customHeight="1">
      <x:c r="A13" s="1" t="str">
        <x:v>sh000001</x:v>
      </x:c>
      <x:c r="B13" s="1" t="str">
        <x:v>上证综指</x:v>
      </x:c>
      <x:c r="C13" s="1" t="str">
        <x:v>1991-07</x:v>
      </x:c>
      <x:c r="D13" s="1" t="str">
        <x:v>1991-06-28</x:v>
      </x:c>
      <x:c r="E13" s="5" t="n">
        <x:v>137.56</x:v>
      </x:c>
      <x:c r="F13" s="6" t="str">
        <x:v>1991-07-31</x:v>
      </x:c>
      <x:c r="G13" s="5" t="n">
        <x:v>143.8</x:v>
      </x:c>
      <x:c r="H13" s="7" t="n">
        <x:f>G13/E13-1</x:f>
        <x:v>0.045362023844140786</x:v>
      </x:c>
      <x:c r="I13" s="1" t="n">
        <x:v>1</x:v>
      </x:c>
      <x:c r="J13" s="1" t="n">
        <x:v>0</x:v>
      </x:c>
      <x:c r="K13" s="1" t="str">
        <x:v>中证官方优先</x:v>
      </x:c>
    </x:row>
    <x:row r="14" ht="25" customHeight="1">
      <x:c r="A14" s="1" t="str">
        <x:v>sh000001</x:v>
      </x:c>
      <x:c r="B14" s="1" t="str">
        <x:v>上证综指</x:v>
      </x:c>
      <x:c r="C14" s="1" t="str">
        <x:v>1991-08</x:v>
      </x:c>
      <x:c r="D14" s="1" t="str">
        <x:v>1991-07-31</x:v>
      </x:c>
      <x:c r="E14" s="5" t="n">
        <x:v>143.8</x:v>
      </x:c>
      <x:c r="F14" s="6" t="str">
        <x:v>1991-08-30</x:v>
      </x:c>
      <x:c r="G14" s="5" t="n">
        <x:v>178.43</x:v>
      </x:c>
      <x:c r="H14" s="7" t="n">
        <x:f>G14/E14-1</x:f>
        <x:v>0.24082058414464536</x:v>
      </x:c>
      <x:c r="I14" s="1" t="n">
        <x:v>1</x:v>
      </x:c>
      <x:c r="J14" s="1" t="n">
        <x:v>1</x:v>
      </x:c>
      <x:c r="K14" s="1" t="str">
        <x:v>中证官方优先</x:v>
      </x:c>
    </x:row>
    <x:row r="15" ht="25" customHeight="1">
      <x:c r="A15" s="1" t="str">
        <x:v>sh000001</x:v>
      </x:c>
      <x:c r="B15" s="1" t="str">
        <x:v>上证综指</x:v>
      </x:c>
      <x:c r="C15" s="1" t="str">
        <x:v>1991-09</x:v>
      </x:c>
      <x:c r="D15" s="1" t="str">
        <x:v>1991-08-30</x:v>
      </x:c>
      <x:c r="E15" s="5" t="n">
        <x:v>178.43</x:v>
      </x:c>
      <x:c r="F15" s="6" t="str">
        <x:v>1991-09-30</x:v>
      </x:c>
      <x:c r="G15" s="5" t="n">
        <x:v>180.92</x:v>
      </x:c>
      <x:c r="H15" s="7" t="n">
        <x:f>G15/E15-1</x:f>
        <x:v>0.013955052401501966</x:v>
      </x:c>
      <x:c r="I15" s="1" t="n">
        <x:v>1</x:v>
      </x:c>
      <x:c r="J15" s="1" t="n">
        <x:v>1</x:v>
      </x:c>
      <x:c r="K15" s="1" t="str">
        <x:v>中证官方优先</x:v>
      </x:c>
    </x:row>
    <x:row r="16" ht="25" customHeight="1">
      <x:c r="A16" s="1" t="str">
        <x:v>sh000001</x:v>
      </x:c>
      <x:c r="B16" s="1" t="str">
        <x:v>上证综指</x:v>
      </x:c>
      <x:c r="C16" s="1" t="str">
        <x:v>1991-10</x:v>
      </x:c>
      <x:c r="D16" s="1" t="str">
        <x:v>1991-09-30</x:v>
      </x:c>
      <x:c r="E16" s="5" t="n">
        <x:v>180.92</x:v>
      </x:c>
      <x:c r="F16" s="6" t="str">
        <x:v>1991-10-31</x:v>
      </x:c>
      <x:c r="G16" s="5" t="n">
        <x:v>218.6</x:v>
      </x:c>
      <x:c r="H16" s="7" t="n">
        <x:f>G16/E16-1</x:f>
        <x:v>0.20826884810966173</x:v>
      </x:c>
      <x:c r="I16" s="1" t="n">
        <x:v>1</x:v>
      </x:c>
      <x:c r="J16" s="1" t="n">
        <x:v>1</x:v>
      </x:c>
      <x:c r="K16" s="1" t="str">
        <x:v>中证官方优先</x:v>
      </x:c>
    </x:row>
    <x:row r="17" ht="25" customHeight="1">
      <x:c r="A17" s="1" t="str">
        <x:v>sh000001</x:v>
      </x:c>
      <x:c r="B17" s="1" t="str">
        <x:v>上证综指</x:v>
      </x:c>
      <x:c r="C17" s="1" t="str">
        <x:v>1991-11</x:v>
      </x:c>
      <x:c r="D17" s="1" t="str">
        <x:v>1991-10-31</x:v>
      </x:c>
      <x:c r="E17" s="5" t="n">
        <x:v>218.6</x:v>
      </x:c>
      <x:c r="F17" s="6" t="str">
        <x:v>1991-11-29</x:v>
      </x:c>
      <x:c r="G17" s="5" t="n">
        <x:v>259.6</x:v>
      </x:c>
      <x:c r="H17" s="7" t="n">
        <x:f>G17/E17-1</x:f>
        <x:v>0.18755718206770378</x:v>
      </x:c>
      <x:c r="I17" s="1" t="n">
        <x:v>1</x:v>
      </x:c>
      <x:c r="J17" s="1" t="n">
        <x:v>1</x:v>
      </x:c>
      <x:c r="K17" s="1" t="str">
        <x:v>中证官方优先</x:v>
      </x:c>
    </x:row>
    <x:row r="18" ht="25" customHeight="1">
      <x:c r="A18" s="1" t="str">
        <x:v>sh000001</x:v>
      </x:c>
      <x:c r="B18" s="1" t="str">
        <x:v>上证综指</x:v>
      </x:c>
      <x:c r="C18" s="1" t="str">
        <x:v>1991-12</x:v>
      </x:c>
      <x:c r="D18" s="1" t="str">
        <x:v>1991-11-29</x:v>
      </x:c>
      <x:c r="E18" s="5" t="n">
        <x:v>259.6</x:v>
      </x:c>
      <x:c r="F18" s="6" t="str">
        <x:v>1991-12-31</x:v>
      </x:c>
      <x:c r="G18" s="5" t="n">
        <x:v>292.75</x:v>
      </x:c>
      <x:c r="H18" s="7" t="n">
        <x:f>G18/E18-1</x:f>
        <x:v>0.12769645608628655</x:v>
      </x:c>
      <x:c r="I18" s="1" t="n">
        <x:v>1</x:v>
      </x:c>
      <x:c r="J18" s="1" t="n">
        <x:v>1</x:v>
      </x:c>
      <x:c r="K18" s="1" t="str">
        <x:v>中证官方优先</x:v>
      </x:c>
    </x:row>
    <x:row r="19" ht="25" customHeight="1">
      <x:c r="A19" s="1" t="str">
        <x:v>sh000001</x:v>
      </x:c>
      <x:c r="B19" s="1" t="str">
        <x:v>上证综指</x:v>
      </x:c>
      <x:c r="C19" s="1" t="str">
        <x:v>1992-01</x:v>
      </x:c>
      <x:c r="D19" s="1" t="str">
        <x:v>1991-12-31</x:v>
      </x:c>
      <x:c r="E19" s="5" t="n">
        <x:v>292.75</x:v>
      </x:c>
      <x:c r="F19" s="6" t="str">
        <x:v>1992-01-31</x:v>
      </x:c>
      <x:c r="G19" s="5" t="n">
        <x:v>313.24</x:v>
      </x:c>
      <x:c r="H19" s="7" t="n">
        <x:f>G19/E19-1</x:f>
        <x:v>0.0699914602903502</x:v>
      </x:c>
      <x:c r="I19" s="1" t="n">
        <x:v>1</x:v>
      </x:c>
      <x:c r="J19" s="1" t="n">
        <x:v>1</x:v>
      </x:c>
      <x:c r="K19" s="1" t="str">
        <x:v>中证官方优先</x:v>
      </x:c>
    </x:row>
    <x:row r="20" ht="25" customHeight="1">
      <x:c r="A20" s="1" t="str">
        <x:v>sh000001</x:v>
      </x:c>
      <x:c r="B20" s="1" t="str">
        <x:v>上证综指</x:v>
      </x:c>
      <x:c r="C20" s="1" t="str">
        <x:v>1992-02</x:v>
      </x:c>
      <x:c r="D20" s="1" t="str">
        <x:v>1992-01-31</x:v>
      </x:c>
      <x:c r="E20" s="5" t="n">
        <x:v>313.24</x:v>
      </x:c>
      <x:c r="F20" s="6" t="str">
        <x:v>1992-02-28</x:v>
      </x:c>
      <x:c r="G20" s="5" t="n">
        <x:v>364.66</x:v>
      </x:c>
      <x:c r="H20" s="7" t="n">
        <x:f>G20/E20-1</x:f>
        <x:v>0.16415528029625848</x:v>
      </x:c>
      <x:c r="I20" s="1" t="n">
        <x:v>1</x:v>
      </x:c>
      <x:c r="J20" s="1" t="n">
        <x:v>1</x:v>
      </x:c>
      <x:c r="K20" s="1" t="str">
        <x:v>中证官方优先</x:v>
      </x:c>
    </x:row>
    <x:row r="21" ht="25" customHeight="1">
      <x:c r="A21" s="1" t="str">
        <x:v>sh000001</x:v>
      </x:c>
      <x:c r="B21" s="1" t="str">
        <x:v>上证综指</x:v>
      </x:c>
      <x:c r="C21" s="1" t="str">
        <x:v>1992-03</x:v>
      </x:c>
      <x:c r="D21" s="1" t="str">
        <x:v>1992-02-28</x:v>
      </x:c>
      <x:c r="E21" s="5" t="n">
        <x:v>364.66</x:v>
      </x:c>
      <x:c r="F21" s="6" t="str">
        <x:v>1992-03-31</x:v>
      </x:c>
      <x:c r="G21" s="5" t="n">
        <x:v>381.24</x:v>
      </x:c>
      <x:c r="H21" s="7" t="n">
        <x:f>G21/E21-1</x:f>
        <x:v>0.045467010365820126</x:v>
      </x:c>
      <x:c r="I21" s="1" t="n">
        <x:v>1</x:v>
      </x:c>
      <x:c r="J21" s="1" t="n">
        <x:v>1</x:v>
      </x:c>
      <x:c r="K21" s="1" t="str">
        <x:v>中证官方优先</x:v>
      </x:c>
    </x:row>
    <x:row r="22" ht="25" customHeight="1">
      <x:c r="A22" s="1" t="str">
        <x:v>sh000001</x:v>
      </x:c>
      <x:c r="B22" s="1" t="str">
        <x:v>上证综指</x:v>
      </x:c>
      <x:c r="C22" s="1" t="str">
        <x:v>1992-04</x:v>
      </x:c>
      <x:c r="D22" s="1" t="str">
        <x:v>1992-03-31</x:v>
      </x:c>
      <x:c r="E22" s="5" t="n">
        <x:v>381.24</x:v>
      </x:c>
      <x:c r="F22" s="6" t="str">
        <x:v>1992-04-30</x:v>
      </x:c>
      <x:c r="G22" s="5" t="n">
        <x:v>445.38</x:v>
      </x:c>
      <x:c r="H22" s="7" t="n">
        <x:f>G22/E22-1</x:f>
        <x:v>0.16824047843877876</x:v>
      </x:c>
      <x:c r="I22" s="1" t="n">
        <x:v>1</x:v>
      </x:c>
      <x:c r="J22" s="1" t="n">
        <x:v>1</x:v>
      </x:c>
      <x:c r="K22" s="1" t="str">
        <x:v>中证官方优先</x:v>
      </x:c>
    </x:row>
    <x:row r="23" ht="25" customHeight="1">
      <x:c r="A23" s="1" t="str">
        <x:v>sh000001</x:v>
      </x:c>
      <x:c r="B23" s="1" t="str">
        <x:v>上证综指</x:v>
      </x:c>
      <x:c r="C23" s="1" t="str">
        <x:v>1992-05</x:v>
      </x:c>
      <x:c r="D23" s="1" t="str">
        <x:v>1992-04-30</x:v>
      </x:c>
      <x:c r="E23" s="5" t="n">
        <x:v>445.38</x:v>
      </x:c>
      <x:c r="F23" s="6" t="str">
        <x:v>1992-05-29</x:v>
      </x:c>
      <x:c r="G23" s="5" t="n">
        <x:v>1234.71</x:v>
      </x:c>
      <x:c r="H23" s="7" t="n">
        <x:f>G23/E23-1</x:f>
        <x:v>1.7722618887242354</x:v>
      </x:c>
      <x:c r="I23" s="1" t="n">
        <x:v>1</x:v>
      </x:c>
      <x:c r="J23" s="1" t="n">
        <x:v>1</x:v>
      </x:c>
      <x:c r="K23" s="1" t="str">
        <x:v>中证官方优先</x:v>
      </x:c>
    </x:row>
    <x:row r="24" ht="25" customHeight="1">
      <x:c r="A24" s="1" t="str">
        <x:v>sh000001</x:v>
      </x:c>
      <x:c r="B24" s="1" t="str">
        <x:v>上证综指</x:v>
      </x:c>
      <x:c r="C24" s="1" t="str">
        <x:v>1992-06</x:v>
      </x:c>
      <x:c r="D24" s="1" t="str">
        <x:v>1992-05-29</x:v>
      </x:c>
      <x:c r="E24" s="5" t="n">
        <x:v>1234.71</x:v>
      </x:c>
      <x:c r="F24" s="6" t="str">
        <x:v>1992-06-30</x:v>
      </x:c>
      <x:c r="G24" s="5" t="n">
        <x:v>1191.19</x:v>
      </x:c>
      <x:c r="H24" s="7" t="n">
        <x:f>G24/E24-1</x:f>
        <x:v>-0.03524714305383447</x:v>
      </x:c>
      <x:c r="I24" s="1" t="n">
        <x:v>1</x:v>
      </x:c>
      <x:c r="J24" s="1" t="n">
        <x:v>1</x:v>
      </x:c>
      <x:c r="K24" s="1" t="str">
        <x:v>中证官方优先</x:v>
      </x:c>
    </x:row>
    <x:row r="25" ht="25" customHeight="1">
      <x:c r="A25" s="1" t="str">
        <x:v>sh000001</x:v>
      </x:c>
      <x:c r="B25" s="1" t="str">
        <x:v>上证综指</x:v>
      </x:c>
      <x:c r="C25" s="1" t="str">
        <x:v>1992-07</x:v>
      </x:c>
      <x:c r="D25" s="1" t="str">
        <x:v>1992-06-30</x:v>
      </x:c>
      <x:c r="E25" s="5" t="n">
        <x:v>1191.19</x:v>
      </x:c>
      <x:c r="F25" s="6" t="str">
        <x:v>1992-07-31</x:v>
      </x:c>
      <x:c r="G25" s="5" t="n">
        <x:v>1052.07</x:v>
      </x:c>
      <x:c r="H25" s="7" t="n">
        <x:f>G25/E25-1</x:f>
        <x:v>-0.1167907722529572</x:v>
      </x:c>
      <x:c r="I25" s="1" t="n">
        <x:v>1</x:v>
      </x:c>
      <x:c r="J25" s="1" t="n">
        <x:v>1</x:v>
      </x:c>
      <x:c r="K25" s="1" t="str">
        <x:v>中证官方优先</x:v>
      </x:c>
    </x:row>
    <x:row r="26" ht="25" customHeight="1">
      <x:c r="A26" s="1" t="str">
        <x:v>sh000001</x:v>
      </x:c>
      <x:c r="B26" s="1" t="str">
        <x:v>上证综指</x:v>
      </x:c>
      <x:c r="C26" s="1" t="str">
        <x:v>1992-08</x:v>
      </x:c>
      <x:c r="D26" s="1" t="str">
        <x:v>1992-07-31</x:v>
      </x:c>
      <x:c r="E26" s="5" t="n">
        <x:v>1052.07</x:v>
      </x:c>
      <x:c r="F26" s="6" t="str">
        <x:v>1992-08-31</x:v>
      </x:c>
      <x:c r="G26" s="5" t="n">
        <x:v>823.27</x:v>
      </x:c>
      <x:c r="H26" s="7" t="n">
        <x:f>G26/E26-1</x:f>
        <x:v>-0.21747602345851513</x:v>
      </x:c>
      <x:c r="I26" s="1" t="n">
        <x:v>1</x:v>
      </x:c>
      <x:c r="J26" s="1" t="n">
        <x:v>1</x:v>
      </x:c>
      <x:c r="K26" s="1" t="str">
        <x:v>中证官方优先</x:v>
      </x:c>
    </x:row>
    <x:row r="27" ht="25" customHeight="1">
      <x:c r="A27" s="1" t="str">
        <x:v>sh000001</x:v>
      </x:c>
      <x:c r="B27" s="1" t="str">
        <x:v>上证综指</x:v>
      </x:c>
      <x:c r="C27" s="1" t="str">
        <x:v>1992-09</x:v>
      </x:c>
      <x:c r="D27" s="1" t="str">
        <x:v>1992-08-31</x:v>
      </x:c>
      <x:c r="E27" s="5" t="n">
        <x:v>823.27</x:v>
      </x:c>
      <x:c r="F27" s="6" t="str">
        <x:v>1992-09-30</x:v>
      </x:c>
      <x:c r="G27" s="5" t="n">
        <x:v>702.32</x:v>
      </x:c>
      <x:c r="H27" s="7" t="n">
        <x:f>G27/E27-1</x:f>
        <x:v>-0.14691413509541207</x:v>
      </x:c>
      <x:c r="I27" s="1" t="n">
        <x:v>1</x:v>
      </x:c>
      <x:c r="J27" s="1" t="n">
        <x:v>1</x:v>
      </x:c>
      <x:c r="K27" s="1" t="str">
        <x:v>中证官方优先</x:v>
      </x:c>
    </x:row>
    <x:row r="28" ht="25" customHeight="1">
      <x:c r="A28" s="1" t="str">
        <x:v>sh000001</x:v>
      </x:c>
      <x:c r="B28" s="1" t="str">
        <x:v>上证综指</x:v>
      </x:c>
      <x:c r="C28" s="1" t="str">
        <x:v>1992-10</x:v>
      </x:c>
      <x:c r="D28" s="1" t="str">
        <x:v>1992-09-30</x:v>
      </x:c>
      <x:c r="E28" s="5" t="n">
        <x:v>702.32</x:v>
      </x:c>
      <x:c r="F28" s="6" t="str">
        <x:v>1992-10-30</x:v>
      </x:c>
      <x:c r="G28" s="5" t="n">
        <x:v>507.25</x:v>
      </x:c>
      <x:c r="H28" s="7" t="n">
        <x:f>G28/E28-1</x:f>
        <x:v>-0.2777508827884726</x:v>
      </x:c>
      <x:c r="I28" s="1" t="n">
        <x:v>1</x:v>
      </x:c>
      <x:c r="J28" s="1" t="n">
        <x:v>1</x:v>
      </x:c>
      <x:c r="K28" s="1" t="str">
        <x:v>中证官方优先</x:v>
      </x:c>
    </x:row>
    <x:row r="29" ht="25" customHeight="1">
      <x:c r="A29" s="1" t="str">
        <x:v>sh000001</x:v>
      </x:c>
      <x:c r="B29" s="1" t="str">
        <x:v>上证综指</x:v>
      </x:c>
      <x:c r="C29" s="1" t="str">
        <x:v>1992-11</x:v>
      </x:c>
      <x:c r="D29" s="1" t="str">
        <x:v>1992-10-30</x:v>
      </x:c>
      <x:c r="E29" s="5" t="n">
        <x:v>507.25</x:v>
      </x:c>
      <x:c r="F29" s="6" t="str">
        <x:v>1992-11-30</x:v>
      </x:c>
      <x:c r="G29" s="5" t="n">
        <x:v>724.6</x:v>
      </x:c>
      <x:c r="H29" s="7" t="n">
        <x:f>G29/E29-1</x:f>
        <x:v>0.4284869393790045</x:v>
      </x:c>
      <x:c r="I29" s="1" t="n">
        <x:v>1</x:v>
      </x:c>
      <x:c r="J29" s="1" t="n">
        <x:v>1</x:v>
      </x:c>
      <x:c r="K29" s="1" t="str">
        <x:v>中证官方优先</x:v>
      </x:c>
    </x:row>
    <x:row r="30" ht="25" customHeight="1">
      <x:c r="A30" s="1" t="str">
        <x:v>sh000001</x:v>
      </x:c>
      <x:c r="B30" s="1" t="str">
        <x:v>上证综指</x:v>
      </x:c>
      <x:c r="C30" s="1" t="str">
        <x:v>1992-12</x:v>
      </x:c>
      <x:c r="D30" s="1" t="str">
        <x:v>1992-11-30</x:v>
      </x:c>
      <x:c r="E30" s="5" t="n">
        <x:v>724.6</x:v>
      </x:c>
      <x:c r="F30" s="6" t="str">
        <x:v>1992-12-31</x:v>
      </x:c>
      <x:c r="G30" s="5" t="n">
        <x:v>780.39</x:v>
      </x:c>
      <x:c r="H30" s="7" t="n">
        <x:f>G30/E30-1</x:f>
        <x:v>0.07699420369859222</x:v>
      </x:c>
      <x:c r="I30" s="1" t="n">
        <x:v>1</x:v>
      </x:c>
      <x:c r="J30" s="1" t="n">
        <x:v>1</x:v>
      </x:c>
      <x:c r="K30" s="1" t="str">
        <x:v>中证官方优先</x:v>
      </x:c>
    </x:row>
    <x:row r="31" ht="25" customHeight="1">
      <x:c r="A31" s="1" t="str">
        <x:v>sh000001</x:v>
      </x:c>
      <x:c r="B31" s="1" t="str">
        <x:v>上证综指</x:v>
      </x:c>
      <x:c r="C31" s="1" t="str">
        <x:v>1993-01</x:v>
      </x:c>
      <x:c r="D31" s="1" t="str">
        <x:v>1992-12-31</x:v>
      </x:c>
      <x:c r="E31" s="5" t="n">
        <x:v>780.39</x:v>
      </x:c>
      <x:c r="F31" s="6" t="str">
        <x:v>1993-01-29</x:v>
      </x:c>
      <x:c r="G31" s="5" t="n">
        <x:v>1198.48</x:v>
      </x:c>
      <x:c r="H31" s="7" t="n">
        <x:f>G31/E31-1</x:f>
        <x:v>0.5357449480388012</x:v>
      </x:c>
      <x:c r="I31" s="1" t="n">
        <x:v>1</x:v>
      </x:c>
      <x:c r="J31" s="1" t="n">
        <x:v>1</x:v>
      </x:c>
      <x:c r="K31" s="1" t="str">
        <x:v>中证官方优先</x:v>
      </x:c>
    </x:row>
    <x:row r="32" ht="25" customHeight="1">
      <x:c r="A32" s="1" t="str">
        <x:v>sh000001</x:v>
      </x:c>
      <x:c r="B32" s="1" t="str">
        <x:v>上证综指</x:v>
      </x:c>
      <x:c r="C32" s="1" t="str">
        <x:v>1993-02</x:v>
      </x:c>
      <x:c r="D32" s="1" t="str">
        <x:v>1993-01-29</x:v>
      </x:c>
      <x:c r="E32" s="5" t="n">
        <x:v>1198.48</x:v>
      </x:c>
      <x:c r="F32" s="6" t="str">
        <x:v>1993-02-26</x:v>
      </x:c>
      <x:c r="G32" s="5" t="n">
        <x:v>1339.88</x:v>
      </x:c>
      <x:c r="H32" s="7" t="n">
        <x:f>G32/E32-1</x:f>
        <x:v>0.11798277818570191</x:v>
      </x:c>
      <x:c r="I32" s="1" t="n">
        <x:v>1</x:v>
      </x:c>
      <x:c r="J32" s="1" t="n">
        <x:v>1</x:v>
      </x:c>
      <x:c r="K32" s="1" t="str">
        <x:v>中证官方优先</x:v>
      </x:c>
    </x:row>
    <x:row r="33" ht="25" customHeight="1">
      <x:c r="A33" s="1" t="str">
        <x:v>sh000001</x:v>
      </x:c>
      <x:c r="B33" s="1" t="str">
        <x:v>上证综指</x:v>
      </x:c>
      <x:c r="C33" s="1" t="str">
        <x:v>1993-03</x:v>
      </x:c>
      <x:c r="D33" s="1" t="str">
        <x:v>1993-02-26</x:v>
      </x:c>
      <x:c r="E33" s="5" t="n">
        <x:v>1339.88</x:v>
      </x:c>
      <x:c r="F33" s="6" t="str">
        <x:v>1993-03-31</x:v>
      </x:c>
      <x:c r="G33" s="5" t="n">
        <x:v>925.91</x:v>
      </x:c>
      <x:c r="H33" s="7" t="n">
        <x:f>G33/E33-1</x:f>
        <x:v>-0.3089605039257247</x:v>
      </x:c>
      <x:c r="I33" s="1" t="n">
        <x:v>1</x:v>
      </x:c>
      <x:c r="J33" s="1" t="n">
        <x:v>1</x:v>
      </x:c>
      <x:c r="K33" s="1" t="str">
        <x:v>中证官方优先</x:v>
      </x:c>
    </x:row>
    <x:row r="34" ht="25" customHeight="1">
      <x:c r="A34" s="1" t="str">
        <x:v>sh000001</x:v>
      </x:c>
      <x:c r="B34" s="1" t="str">
        <x:v>上证综指</x:v>
      </x:c>
      <x:c r="C34" s="1" t="str">
        <x:v>1993-04</x:v>
      </x:c>
      <x:c r="D34" s="1" t="str">
        <x:v>1993-03-31</x:v>
      </x:c>
      <x:c r="E34" s="5" t="n">
        <x:v>925.91</x:v>
      </x:c>
      <x:c r="F34" s="6" t="str">
        <x:v>1993-04-30</x:v>
      </x:c>
      <x:c r="G34" s="5" t="n">
        <x:v>1358.78</x:v>
      </x:c>
      <x:c r="H34" s="7" t="n">
        <x:f>G34/E34-1</x:f>
        <x:v>0.4675076411314274</x:v>
      </x:c>
      <x:c r="I34" s="1" t="n">
        <x:v>1</x:v>
      </x:c>
      <x:c r="J34" s="1" t="n">
        <x:v>1</x:v>
      </x:c>
      <x:c r="K34" s="1" t="str">
        <x:v>中证官方优先</x:v>
      </x:c>
    </x:row>
    <x:row r="35" ht="25" customHeight="1">
      <x:c r="A35" s="1" t="str">
        <x:v>sh000001</x:v>
      </x:c>
      <x:c r="B35" s="1" t="str">
        <x:v>上证综指</x:v>
      </x:c>
      <x:c r="C35" s="1" t="str">
        <x:v>1993-05</x:v>
      </x:c>
      <x:c r="D35" s="1" t="str">
        <x:v>1993-04-30</x:v>
      </x:c>
      <x:c r="E35" s="5" t="n">
        <x:v>1358.78</x:v>
      </x:c>
      <x:c r="F35" s="6" t="str">
        <x:v>1993-05-31</x:v>
      </x:c>
      <x:c r="G35" s="5" t="n">
        <x:v>935.48</x:v>
      </x:c>
      <x:c r="H35" s="7" t="n">
        <x:f>G35/E35-1</x:f>
        <x:v>-0.3115294602511076</x:v>
      </x:c>
      <x:c r="I35" s="1" t="n">
        <x:v>1</x:v>
      </x:c>
      <x:c r="J35" s="1" t="n">
        <x:v>1</x:v>
      </x:c>
      <x:c r="K35" s="1" t="str">
        <x:v>中证官方优先</x:v>
      </x:c>
    </x:row>
    <x:row r="36" ht="25" customHeight="1">
      <x:c r="A36" s="1" t="str">
        <x:v>sh000001</x:v>
      </x:c>
      <x:c r="B36" s="1" t="str">
        <x:v>上证综指</x:v>
      </x:c>
      <x:c r="C36" s="1" t="str">
        <x:v>1993-06</x:v>
      </x:c>
      <x:c r="D36" s="1" t="str">
        <x:v>1993-05-31</x:v>
      </x:c>
      <x:c r="E36" s="5" t="n">
        <x:v>935.48</x:v>
      </x:c>
      <x:c r="F36" s="6" t="str">
        <x:v>1993-06-30</x:v>
      </x:c>
      <x:c r="G36" s="5" t="n">
        <x:v>1007.05</x:v>
      </x:c>
      <x:c r="H36" s="7" t="n">
        <x:f>G36/E36-1</x:f>
        <x:v>0.07650617864625642</x:v>
      </x:c>
      <x:c r="I36" s="1" t="n">
        <x:v>1</x:v>
      </x:c>
      <x:c r="J36" s="1" t="n">
        <x:v>1</x:v>
      </x:c>
      <x:c r="K36" s="1" t="str">
        <x:v>中证官方优先</x:v>
      </x:c>
    </x:row>
    <x:row r="37" ht="25" customHeight="1">
      <x:c r="A37" s="1" t="str">
        <x:v>sh000001</x:v>
      </x:c>
      <x:c r="B37" s="1" t="str">
        <x:v>上证综指</x:v>
      </x:c>
      <x:c r="C37" s="1" t="str">
        <x:v>1993-07</x:v>
      </x:c>
      <x:c r="D37" s="1" t="str">
        <x:v>1993-06-30</x:v>
      </x:c>
      <x:c r="E37" s="5" t="n">
        <x:v>1007.05</x:v>
      </x:c>
      <x:c r="F37" s="6" t="str">
        <x:v>1993-07-30</x:v>
      </x:c>
      <x:c r="G37" s="5" t="n">
        <x:v>881.07</x:v>
      </x:c>
      <x:c r="H37" s="7" t="n">
        <x:f>G37/E37-1</x:f>
        <x:v>-0.12509805868626178</x:v>
      </x:c>
      <x:c r="I37" s="1" t="n">
        <x:v>1</x:v>
      </x:c>
      <x:c r="J37" s="1" t="n">
        <x:v>1</x:v>
      </x:c>
      <x:c r="K37" s="1" t="str">
        <x:v>中证官方优先</x:v>
      </x:c>
    </x:row>
    <x:row r="38" ht="25" customHeight="1">
      <x:c r="A38" s="1" t="str">
        <x:v>sh000001</x:v>
      </x:c>
      <x:c r="B38" s="1" t="str">
        <x:v>上证综指</x:v>
      </x:c>
      <x:c r="C38" s="1" t="str">
        <x:v>1993-08</x:v>
      </x:c>
      <x:c r="D38" s="1" t="str">
        <x:v>1993-07-30</x:v>
      </x:c>
      <x:c r="E38" s="5" t="n">
        <x:v>881.07</x:v>
      </x:c>
      <x:c r="F38" s="6" t="str">
        <x:v>1993-08-31</x:v>
      </x:c>
      <x:c r="G38" s="5" t="n">
        <x:v>895.68</x:v>
      </x:c>
      <x:c r="H38" s="7" t="n">
        <x:f>G38/E38-1</x:f>
        <x:v>0.016582110388504878</x:v>
      </x:c>
      <x:c r="I38" s="1" t="n">
        <x:v>1</x:v>
      </x:c>
      <x:c r="J38" s="1" t="n">
        <x:v>1</x:v>
      </x:c>
      <x:c r="K38" s="1" t="str">
        <x:v>中证官方优先</x:v>
      </x:c>
    </x:row>
    <x:row r="39" ht="25" customHeight="1">
      <x:c r="A39" s="1" t="str">
        <x:v>sh000001</x:v>
      </x:c>
      <x:c r="B39" s="1" t="str">
        <x:v>上证综指</x:v>
      </x:c>
      <x:c r="C39" s="1" t="str">
        <x:v>1993-09</x:v>
      </x:c>
      <x:c r="D39" s="1" t="str">
        <x:v>1993-08-31</x:v>
      </x:c>
      <x:c r="E39" s="5" t="n">
        <x:v>895.68</x:v>
      </x:c>
      <x:c r="F39" s="6" t="str">
        <x:v>1993-09-30</x:v>
      </x:c>
      <x:c r="G39" s="5" t="n">
        <x:v>890.27</x:v>
      </x:c>
      <x:c r="H39" s="7" t="n">
        <x:f>G39/E39-1</x:f>
        <x:v>-0.006040103608431546</x:v>
      </x:c>
      <x:c r="I39" s="1" t="n">
        <x:v>1</x:v>
      </x:c>
      <x:c r="J39" s="1" t="n">
        <x:v>1</x:v>
      </x:c>
      <x:c r="K39" s="1" t="str">
        <x:v>中证官方优先</x:v>
      </x:c>
    </x:row>
    <x:row r="40" ht="25" customHeight="1">
      <x:c r="A40" s="1" t="str">
        <x:v>sh000001</x:v>
      </x:c>
      <x:c r="B40" s="1" t="str">
        <x:v>上证综指</x:v>
      </x:c>
      <x:c r="C40" s="1" t="str">
        <x:v>1993-10</x:v>
      </x:c>
      <x:c r="D40" s="1" t="str">
        <x:v>1993-09-30</x:v>
      </x:c>
      <x:c r="E40" s="5" t="n">
        <x:v>890.27</x:v>
      </x:c>
      <x:c r="F40" s="6" t="str">
        <x:v>1993-10-29</x:v>
      </x:c>
      <x:c r="G40" s="5" t="n">
        <x:v>814.82</x:v>
      </x:c>
      <x:c r="H40" s="7" t="n">
        <x:f>G40/E40-1</x:f>
        <x:v>-0.0847495703550607</x:v>
      </x:c>
      <x:c r="I40" s="1" t="n">
        <x:v>1</x:v>
      </x:c>
      <x:c r="J40" s="1" t="n">
        <x:v>1</x:v>
      </x:c>
      <x:c r="K40" s="1" t="str">
        <x:v>中证官方优先</x:v>
      </x:c>
    </x:row>
    <x:row r="41" ht="25" customHeight="1">
      <x:c r="A41" s="1" t="str">
        <x:v>sh000001</x:v>
      </x:c>
      <x:c r="B41" s="1" t="str">
        <x:v>上证综指</x:v>
      </x:c>
      <x:c r="C41" s="1" t="str">
        <x:v>1993-11</x:v>
      </x:c>
      <x:c r="D41" s="1" t="str">
        <x:v>1993-10-29</x:v>
      </x:c>
      <x:c r="E41" s="5" t="n">
        <x:v>814.82</x:v>
      </x:c>
      <x:c r="F41" s="6" t="str">
        <x:v>1993-11-30</x:v>
      </x:c>
      <x:c r="G41" s="5" t="n">
        <x:v>984.93</x:v>
      </x:c>
      <x:c r="H41" s="7" t="n">
        <x:f>G41/E41-1</x:f>
        <x:v>0.20877003509977654</x:v>
      </x:c>
      <x:c r="I41" s="1" t="n">
        <x:v>1</x:v>
      </x:c>
      <x:c r="J41" s="1" t="n">
        <x:v>1</x:v>
      </x:c>
      <x:c r="K41" s="1" t="str">
        <x:v>中证官方优先</x:v>
      </x:c>
    </x:row>
    <x:row r="42" ht="25" customHeight="1">
      <x:c r="A42" s="1" t="str">
        <x:v>sh000001</x:v>
      </x:c>
      <x:c r="B42" s="1" t="str">
        <x:v>上证综指</x:v>
      </x:c>
      <x:c r="C42" s="1" t="str">
        <x:v>1993-12</x:v>
      </x:c>
      <x:c r="D42" s="1" t="str">
        <x:v>1993-11-30</x:v>
      </x:c>
      <x:c r="E42" s="5" t="n">
        <x:v>984.93</x:v>
      </x:c>
      <x:c r="F42" s="6" t="str">
        <x:v>1993-12-31</x:v>
      </x:c>
      <x:c r="G42" s="5" t="n">
        <x:v>833.8</x:v>
      </x:c>
      <x:c r="H42" s="7" t="n">
        <x:f>G42/E42-1</x:f>
        <x:v>-0.153442376615597</x:v>
      </x:c>
      <x:c r="I42" s="1" t="n">
        <x:v>1</x:v>
      </x:c>
      <x:c r="J42" s="1" t="n">
        <x:v>1</x:v>
      </x:c>
      <x:c r="K42" s="1" t="str">
        <x:v>中证官方优先</x:v>
      </x:c>
    </x:row>
    <x:row r="43" ht="25" customHeight="1">
      <x:c r="A43" s="1" t="str">
        <x:v>sh000001</x:v>
      </x:c>
      <x:c r="B43" s="1" t="str">
        <x:v>上证综指</x:v>
      </x:c>
      <x:c r="C43" s="1" t="str">
        <x:v>1994-01</x:v>
      </x:c>
      <x:c r="D43" s="1" t="str">
        <x:v>1993-12-31</x:v>
      </x:c>
      <x:c r="E43" s="5" t="n">
        <x:v>833.8</x:v>
      </x:c>
      <x:c r="F43" s="6" t="str">
        <x:v>1994-01-31</x:v>
      </x:c>
      <x:c r="G43" s="5" t="n">
        <x:v>770.25</x:v>
      </x:c>
      <x:c r="H43" s="7" t="n">
        <x:f>G43/E43-1</x:f>
        <x:v>-0.07621731830175094</x:v>
      </x:c>
      <x:c r="I43" s="1" t="n">
        <x:v>1</x:v>
      </x:c>
      <x:c r="J43" s="1" t="n">
        <x:v>1</x:v>
      </x:c>
      <x:c r="K43" s="1" t="str">
        <x:v>中证官方优先</x:v>
      </x:c>
    </x:row>
    <x:row r="44" ht="25" customHeight="1">
      <x:c r="A44" s="1" t="str">
        <x:v>sh000001</x:v>
      </x:c>
      <x:c r="B44" s="1" t="str">
        <x:v>上证综指</x:v>
      </x:c>
      <x:c r="C44" s="1" t="str">
        <x:v>1994-02</x:v>
      </x:c>
      <x:c r="D44" s="1" t="str">
        <x:v>1994-01-31</x:v>
      </x:c>
      <x:c r="E44" s="5" t="n">
        <x:v>770.25</x:v>
      </x:c>
      <x:c r="F44" s="6" t="str">
        <x:v>1994-02-28</x:v>
      </x:c>
      <x:c r="G44" s="5" t="n">
        <x:v>770.98</x:v>
      </x:c>
      <x:c r="H44" s="7" t="n">
        <x:f>G44/E44-1</x:f>
        <x:v>0.0009477442388834412</x:v>
      </x:c>
      <x:c r="I44" s="1" t="n">
        <x:v>1</x:v>
      </x:c>
      <x:c r="J44" s="1" t="n">
        <x:v>1</x:v>
      </x:c>
      <x:c r="K44" s="1" t="str">
        <x:v>中证官方优先</x:v>
      </x:c>
    </x:row>
    <x:row r="45" ht="25" customHeight="1">
      <x:c r="A45" s="1" t="str">
        <x:v>sh000001</x:v>
      </x:c>
      <x:c r="B45" s="1" t="str">
        <x:v>上证综指</x:v>
      </x:c>
      <x:c r="C45" s="1" t="str">
        <x:v>1994-03</x:v>
      </x:c>
      <x:c r="D45" s="1" t="str">
        <x:v>1994-02-28</x:v>
      </x:c>
      <x:c r="E45" s="5" t="n">
        <x:v>770.98</x:v>
      </x:c>
      <x:c r="F45" s="6" t="str">
        <x:v>1994-03-31</x:v>
      </x:c>
      <x:c r="G45" s="5" t="n">
        <x:v>704.46</x:v>
      </x:c>
      <x:c r="H45" s="7" t="n">
        <x:f>G45/E45-1</x:f>
        <x:v>-0.08627979973540167</x:v>
      </x:c>
      <x:c r="I45" s="1" t="n">
        <x:v>1</x:v>
      </x:c>
      <x:c r="J45" s="1" t="n">
        <x:v>1</x:v>
      </x:c>
      <x:c r="K45" s="1" t="str">
        <x:v>中证官方优先</x:v>
      </x:c>
    </x:row>
    <x:row r="46" ht="25" customHeight="1">
      <x:c r="A46" s="1" t="str">
        <x:v>sh000001</x:v>
      </x:c>
      <x:c r="B46" s="1" t="str">
        <x:v>上证综指</x:v>
      </x:c>
      <x:c r="C46" s="1" t="str">
        <x:v>1994-04</x:v>
      </x:c>
      <x:c r="D46" s="1" t="str">
        <x:v>1994-03-31</x:v>
      </x:c>
      <x:c r="E46" s="5" t="n">
        <x:v>704.46</x:v>
      </x:c>
      <x:c r="F46" s="6" t="str">
        <x:v>1994-04-29</x:v>
      </x:c>
      <x:c r="G46" s="5" t="n">
        <x:v>592.56</x:v>
      </x:c>
      <x:c r="H46" s="7" t="n">
        <x:f>G46/E46-1</x:f>
        <x:v>-0.15884507282173588</x:v>
      </x:c>
      <x:c r="I46" s="1" t="n">
        <x:v>1</x:v>
      </x:c>
      <x:c r="J46" s="1" t="n">
        <x:v>1</x:v>
      </x:c>
      <x:c r="K46" s="1" t="str">
        <x:v>中证官方优先</x:v>
      </x:c>
    </x:row>
    <x:row r="47" ht="25" customHeight="1">
      <x:c r="A47" s="1" t="str">
        <x:v>sh000001</x:v>
      </x:c>
      <x:c r="B47" s="1" t="str">
        <x:v>上证综指</x:v>
      </x:c>
      <x:c r="C47" s="1" t="str">
        <x:v>1994-05</x:v>
      </x:c>
      <x:c r="D47" s="1" t="str">
        <x:v>1994-04-29</x:v>
      </x:c>
      <x:c r="E47" s="5" t="n">
        <x:v>592.56</x:v>
      </x:c>
      <x:c r="F47" s="6" t="str">
        <x:v>1994-05-31</x:v>
      </x:c>
      <x:c r="G47" s="5" t="n">
        <x:v>556.26</x:v>
      </x:c>
      <x:c r="H47" s="7" t="n">
        <x:f>G47/E47-1</x:f>
        <x:v>-0.06125961927906032</x:v>
      </x:c>
      <x:c r="I47" s="1" t="n">
        <x:v>1</x:v>
      </x:c>
      <x:c r="J47" s="1" t="n">
        <x:v>1</x:v>
      </x:c>
      <x:c r="K47" s="1" t="str">
        <x:v>中证官方优先</x:v>
      </x:c>
    </x:row>
    <x:row r="48" ht="25" customHeight="1">
      <x:c r="A48" s="1" t="str">
        <x:v>sh000001</x:v>
      </x:c>
      <x:c r="B48" s="1" t="str">
        <x:v>上证综指</x:v>
      </x:c>
      <x:c r="C48" s="1" t="str">
        <x:v>1994-06</x:v>
      </x:c>
      <x:c r="D48" s="1" t="str">
        <x:v>1994-05-31</x:v>
      </x:c>
      <x:c r="E48" s="5" t="n">
        <x:v>556.26</x:v>
      </x:c>
      <x:c r="F48" s="6" t="str">
        <x:v>1994-06-30</x:v>
      </x:c>
      <x:c r="G48" s="5" t="n">
        <x:v>469.29</x:v>
      </x:c>
      <x:c r="H48" s="7" t="n">
        <x:f>G48/E48-1</x:f>
        <x:v>-0.15634775105166643</x:v>
      </x:c>
      <x:c r="I48" s="1" t="n">
        <x:v>1</x:v>
      </x:c>
      <x:c r="J48" s="1" t="n">
        <x:v>1</x:v>
      </x:c>
      <x:c r="K48" s="1" t="str">
        <x:v>中证官方优先</x:v>
      </x:c>
    </x:row>
    <x:row r="49" ht="25" customHeight="1">
      <x:c r="A49" s="1" t="str">
        <x:v>sh000001</x:v>
      </x:c>
      <x:c r="B49" s="1" t="str">
        <x:v>上证综指</x:v>
      </x:c>
      <x:c r="C49" s="1" t="str">
        <x:v>1994-07</x:v>
      </x:c>
      <x:c r="D49" s="1" t="str">
        <x:v>1994-06-30</x:v>
      </x:c>
      <x:c r="E49" s="5" t="n">
        <x:v>469.29</x:v>
      </x:c>
      <x:c r="F49" s="6" t="str">
        <x:v>1994-07-29</x:v>
      </x:c>
      <x:c r="G49" s="5" t="n">
        <x:v>333.92</x:v>
      </x:c>
      <x:c r="H49" s="7" t="n">
        <x:f>G49/E49-1</x:f>
        <x:v>-0.2884570308338128</x:v>
      </x:c>
      <x:c r="I49" s="1" t="n">
        <x:v>1</x:v>
      </x:c>
      <x:c r="J49" s="1" t="n">
        <x:v>1</x:v>
      </x:c>
      <x:c r="K49" s="1" t="str">
        <x:v>中证官方优先</x:v>
      </x:c>
    </x:row>
    <x:row r="50" ht="25" customHeight="1">
      <x:c r="A50" s="1" t="str">
        <x:v>sh000001</x:v>
      </x:c>
      <x:c r="B50" s="1" t="str">
        <x:v>上证综指</x:v>
      </x:c>
      <x:c r="C50" s="1" t="str">
        <x:v>1994-08</x:v>
      </x:c>
      <x:c r="D50" s="1" t="str">
        <x:v>1994-07-29</x:v>
      </x:c>
      <x:c r="E50" s="5" t="n">
        <x:v>333.92</x:v>
      </x:c>
      <x:c r="F50" s="6" t="str">
        <x:v>1994-08-31</x:v>
      </x:c>
      <x:c r="G50" s="5" t="n">
        <x:v>785.33</x:v>
      </x:c>
      <x:c r="H50" s="7" t="n">
        <x:f>G50/E50-1</x:f>
        <x:v>1.3518507426928608</x:v>
      </x:c>
      <x:c r="I50" s="1" t="n">
        <x:v>1</x:v>
      </x:c>
      <x:c r="J50" s="1" t="n">
        <x:v>1</x:v>
      </x:c>
      <x:c r="K50" s="1" t="str">
        <x:v>中证官方优先</x:v>
      </x:c>
    </x:row>
    <x:row r="51" ht="25" customHeight="1">
      <x:c r="A51" s="1" t="str">
        <x:v>sh000001</x:v>
      </x:c>
      <x:c r="B51" s="1" t="str">
        <x:v>上证综指</x:v>
      </x:c>
      <x:c r="C51" s="1" t="str">
        <x:v>1994-09</x:v>
      </x:c>
      <x:c r="D51" s="1" t="str">
        <x:v>1994-08-31</x:v>
      </x:c>
      <x:c r="E51" s="5" t="n">
        <x:v>785.33</x:v>
      </x:c>
      <x:c r="F51" s="6" t="str">
        <x:v>1994-09-30</x:v>
      </x:c>
      <x:c r="G51" s="5" t="n">
        <x:v>791.15</x:v>
      </x:c>
      <x:c r="H51" s="7" t="n">
        <x:f>G51/E51-1</x:f>
        <x:v>0.007410897329784838</x:v>
      </x:c>
      <x:c r="I51" s="1" t="n">
        <x:v>1</x:v>
      </x:c>
      <x:c r="J51" s="1" t="n">
        <x:v>1</x:v>
      </x:c>
      <x:c r="K51" s="1" t="str">
        <x:v>中证官方优先</x:v>
      </x:c>
    </x:row>
    <x:row r="52" ht="25" customHeight="1">
      <x:c r="A52" s="1" t="str">
        <x:v>sh000001</x:v>
      </x:c>
      <x:c r="B52" s="1" t="str">
        <x:v>上证综指</x:v>
      </x:c>
      <x:c r="C52" s="1" t="str">
        <x:v>1994-10</x:v>
      </x:c>
      <x:c r="D52" s="1" t="str">
        <x:v>1994-09-30</x:v>
      </x:c>
      <x:c r="E52" s="5" t="n">
        <x:v>791.15</x:v>
      </x:c>
      <x:c r="F52" s="6" t="str">
        <x:v>1994-10-31</x:v>
      </x:c>
      <x:c r="G52" s="5" t="n">
        <x:v>654.98</x:v>
      </x:c>
      <x:c r="H52" s="7" t="n">
        <x:f>G52/E52-1</x:f>
        <x:v>-0.17211653921506664</x:v>
      </x:c>
      <x:c r="I52" s="1" t="n">
        <x:v>1</x:v>
      </x:c>
      <x:c r="J52" s="1" t="n">
        <x:v>1</x:v>
      </x:c>
      <x:c r="K52" s="1" t="str">
        <x:v>中证官方优先</x:v>
      </x:c>
    </x:row>
    <x:row r="53" ht="25" customHeight="1">
      <x:c r="A53" s="1" t="str">
        <x:v>sh000001</x:v>
      </x:c>
      <x:c r="B53" s="1" t="str">
        <x:v>上证综指</x:v>
      </x:c>
      <x:c r="C53" s="1" t="str">
        <x:v>1994-11</x:v>
      </x:c>
      <x:c r="D53" s="1" t="str">
        <x:v>1994-10-31</x:v>
      </x:c>
      <x:c r="E53" s="5" t="n">
        <x:v>654.98</x:v>
      </x:c>
      <x:c r="F53" s="6" t="str">
        <x:v>1994-11-30</x:v>
      </x:c>
      <x:c r="G53" s="5" t="n">
        <x:v>683.59</x:v>
      </x:c>
      <x:c r="H53" s="7" t="n">
        <x:f>G53/E53-1</x:f>
        <x:v>0.04368072307551385</x:v>
      </x:c>
      <x:c r="I53" s="1" t="n">
        <x:v>1</x:v>
      </x:c>
      <x:c r="J53" s="1" t="n">
        <x:v>1</x:v>
      </x:c>
      <x:c r="K53" s="1" t="str">
        <x:v>中证官方优先</x:v>
      </x:c>
    </x:row>
    <x:row r="54" ht="25" customHeight="1">
      <x:c r="A54" s="1" t="str">
        <x:v>sh000001</x:v>
      </x:c>
      <x:c r="B54" s="1" t="str">
        <x:v>上证综指</x:v>
      </x:c>
      <x:c r="C54" s="1" t="str">
        <x:v>1994-12</x:v>
      </x:c>
      <x:c r="D54" s="1" t="str">
        <x:v>1994-11-30</x:v>
      </x:c>
      <x:c r="E54" s="5" t="n">
        <x:v>683.59</x:v>
      </x:c>
      <x:c r="F54" s="6" t="str">
        <x:v>1994-12-30</x:v>
      </x:c>
      <x:c r="G54" s="5" t="n">
        <x:v>647.87</x:v>
      </x:c>
      <x:c r="H54" s="7" t="n">
        <x:f>G54/E54-1</x:f>
        <x:v>-0.052253543790868884</x:v>
      </x:c>
      <x:c r="I54" s="1" t="n">
        <x:v>1</x:v>
      </x:c>
      <x:c r="J54" s="1" t="n">
        <x:v>1</x:v>
      </x:c>
      <x:c r="K54" s="1" t="str">
        <x:v>中证官方优先</x:v>
      </x:c>
    </x:row>
    <x:row r="55" ht="25" customHeight="1">
      <x:c r="A55" s="1" t="str">
        <x:v>sh000001</x:v>
      </x:c>
      <x:c r="B55" s="1" t="str">
        <x:v>上证综指</x:v>
      </x:c>
      <x:c r="C55" s="1" t="str">
        <x:v>1995-01</x:v>
      </x:c>
      <x:c r="D55" s="1" t="str">
        <x:v>1994-12-30</x:v>
      </x:c>
      <x:c r="E55" s="5" t="n">
        <x:v>647.87</x:v>
      </x:c>
      <x:c r="F55" s="6" t="str">
        <x:v>1995-01-27</x:v>
      </x:c>
      <x:c r="G55" s="5" t="n">
        <x:v>562.59</x:v>
      </x:c>
      <x:c r="H55" s="7" t="n">
        <x:f>G55/E55-1</x:f>
        <x:v>-0.13163134579468094</x:v>
      </x:c>
      <x:c r="I55" s="1" t="n">
        <x:v>1</x:v>
      </x:c>
      <x:c r="J55" s="1" t="n">
        <x:v>1</x:v>
      </x:c>
      <x:c r="K55" s="1" t="str">
        <x:v>中证官方优先</x:v>
      </x:c>
    </x:row>
    <x:row r="56" ht="25" customHeight="1">
      <x:c r="A56" s="1" t="str">
        <x:v>sh000001</x:v>
      </x:c>
      <x:c r="B56" s="1" t="str">
        <x:v>上证综指</x:v>
      </x:c>
      <x:c r="C56" s="1" t="str">
        <x:v>1995-02</x:v>
      </x:c>
      <x:c r="D56" s="1" t="str">
        <x:v>1995-01-27</x:v>
      </x:c>
      <x:c r="E56" s="5" t="n">
        <x:v>562.59</x:v>
      </x:c>
      <x:c r="F56" s="6" t="str">
        <x:v>1995-02-28</x:v>
      </x:c>
      <x:c r="G56" s="5" t="n">
        <x:v>549.26</x:v>
      </x:c>
      <x:c r="H56" s="7" t="n">
        <x:f>G56/E56-1</x:f>
        <x:v>-0.02369398673989942</x:v>
      </x:c>
      <x:c r="I56" s="1" t="n">
        <x:v>1</x:v>
      </x:c>
      <x:c r="J56" s="1" t="n">
        <x:v>1</x:v>
      </x:c>
      <x:c r="K56" s="1" t="str">
        <x:v>中证官方优先</x:v>
      </x:c>
    </x:row>
    <x:row r="57" ht="25" customHeight="1">
      <x:c r="A57" s="1" t="str">
        <x:v>sh000001</x:v>
      </x:c>
      <x:c r="B57" s="1" t="str">
        <x:v>上证综指</x:v>
      </x:c>
      <x:c r="C57" s="1" t="str">
        <x:v>1995-03</x:v>
      </x:c>
      <x:c r="D57" s="1" t="str">
        <x:v>1995-02-28</x:v>
      </x:c>
      <x:c r="E57" s="5" t="n">
        <x:v>549.26</x:v>
      </x:c>
      <x:c r="F57" s="6" t="str">
        <x:v>1995-03-31</x:v>
      </x:c>
      <x:c r="G57" s="5" t="n">
        <x:v>646.92</x:v>
      </x:c>
      <x:c r="H57" s="7" t="n">
        <x:f>G57/E57-1</x:f>
        <x:v>0.1778028620325529</x:v>
      </x:c>
      <x:c r="I57" s="1" t="n">
        <x:v>1</x:v>
      </x:c>
      <x:c r="J57" s="1" t="n">
        <x:v>1</x:v>
      </x:c>
      <x:c r="K57" s="1" t="str">
        <x:v>中证官方优先</x:v>
      </x:c>
    </x:row>
    <x:row r="58" ht="25" customHeight="1">
      <x:c r="A58" s="1" t="str">
        <x:v>sh000001</x:v>
      </x:c>
      <x:c r="B58" s="1" t="str">
        <x:v>上证综指</x:v>
      </x:c>
      <x:c r="C58" s="1" t="str">
        <x:v>1995-04</x:v>
      </x:c>
      <x:c r="D58" s="1" t="str">
        <x:v>1995-03-31</x:v>
      </x:c>
      <x:c r="E58" s="5" t="n">
        <x:v>646.92</x:v>
      </x:c>
      <x:c r="F58" s="6" t="str">
        <x:v>1995-04-28</x:v>
      </x:c>
      <x:c r="G58" s="5" t="n">
        <x:v>579.93</x:v>
      </x:c>
      <x:c r="H58" s="7" t="n">
        <x:f>G58/E58-1</x:f>
        <x:v>-0.103552216657392</x:v>
      </x:c>
      <x:c r="I58" s="1" t="n">
        <x:v>1</x:v>
      </x:c>
      <x:c r="J58" s="1" t="n">
        <x:v>1</x:v>
      </x:c>
      <x:c r="K58" s="1" t="str">
        <x:v>中证官方优先</x:v>
      </x:c>
    </x:row>
    <x:row r="59" ht="25" customHeight="1">
      <x:c r="A59" s="1" t="str">
        <x:v>sh000001</x:v>
      </x:c>
      <x:c r="B59" s="1" t="str">
        <x:v>上证综指</x:v>
      </x:c>
      <x:c r="C59" s="1" t="str">
        <x:v>1995-05</x:v>
      </x:c>
      <x:c r="D59" s="1" t="str">
        <x:v>1995-04-28</x:v>
      </x:c>
      <x:c r="E59" s="5" t="n">
        <x:v>579.93</x:v>
      </x:c>
      <x:c r="F59" s="6" t="str">
        <x:v>1995-05-31</x:v>
      </x:c>
      <x:c r="G59" s="5" t="n">
        <x:v>700.51</x:v>
      </x:c>
      <x:c r="H59" s="7" t="n">
        <x:f>G59/E59-1</x:f>
        <x:v>0.20792164571586236</x:v>
      </x:c>
      <x:c r="I59" s="1" t="n">
        <x:v>1</x:v>
      </x:c>
      <x:c r="J59" s="1" t="n">
        <x:v>1</x:v>
      </x:c>
      <x:c r="K59" s="1" t="str">
        <x:v>中证官方优先</x:v>
      </x:c>
    </x:row>
    <x:row r="60" ht="25" customHeight="1">
      <x:c r="A60" s="1" t="str">
        <x:v>sh000001</x:v>
      </x:c>
      <x:c r="B60" s="1" t="str">
        <x:v>上证综指</x:v>
      </x:c>
      <x:c r="C60" s="1" t="str">
        <x:v>1995-06</x:v>
      </x:c>
      <x:c r="D60" s="1" t="str">
        <x:v>1995-05-31</x:v>
      </x:c>
      <x:c r="E60" s="5" t="n">
        <x:v>700.51</x:v>
      </x:c>
      <x:c r="F60" s="6" t="str">
        <x:v>1995-06-30</x:v>
      </x:c>
      <x:c r="G60" s="5" t="n">
        <x:v>630.58</x:v>
      </x:c>
      <x:c r="H60" s="7" t="n">
        <x:f>G60/E60-1</x:f>
        <x:v>-0.09982726870422975</x:v>
      </x:c>
      <x:c r="I60" s="1" t="n">
        <x:v>1</x:v>
      </x:c>
      <x:c r="J60" s="1" t="n">
        <x:v>1</x:v>
      </x:c>
      <x:c r="K60" s="1" t="str">
        <x:v>中证官方优先</x:v>
      </x:c>
    </x:row>
    <x:row r="61" ht="25" customHeight="1">
      <x:c r="A61" s="1" t="str">
        <x:v>sh000001</x:v>
      </x:c>
      <x:c r="B61" s="1" t="str">
        <x:v>上证综指</x:v>
      </x:c>
      <x:c r="C61" s="1" t="str">
        <x:v>1995-07</x:v>
      </x:c>
      <x:c r="D61" s="1" t="str">
        <x:v>1995-06-30</x:v>
      </x:c>
      <x:c r="E61" s="5" t="n">
        <x:v>630.58</x:v>
      </x:c>
      <x:c r="F61" s="6" t="str">
        <x:v>1995-07-31</x:v>
      </x:c>
      <x:c r="G61" s="5" t="n">
        <x:v>695.55</x:v>
      </x:c>
      <x:c r="H61" s="7" t="n">
        <x:f>G61/E61-1</x:f>
        <x:v>0.10303212915094018</x:v>
      </x:c>
      <x:c r="I61" s="1" t="n">
        <x:v>1</x:v>
      </x:c>
      <x:c r="J61" s="1" t="n">
        <x:v>1</x:v>
      </x:c>
      <x:c r="K61" s="1" t="str">
        <x:v>中证官方优先</x:v>
      </x:c>
    </x:row>
    <x:row r="62" ht="25" customHeight="1">
      <x:c r="A62" s="1" t="str">
        <x:v>sh000001</x:v>
      </x:c>
      <x:c r="B62" s="1" t="str">
        <x:v>上证综指</x:v>
      </x:c>
      <x:c r="C62" s="1" t="str">
        <x:v>1995-08</x:v>
      </x:c>
      <x:c r="D62" s="1" t="str">
        <x:v>1995-07-31</x:v>
      </x:c>
      <x:c r="E62" s="5" t="n">
        <x:v>695.55</x:v>
      </x:c>
      <x:c r="F62" s="6" t="str">
        <x:v>1995-08-31</x:v>
      </x:c>
      <x:c r="G62" s="5" t="n">
        <x:v>723.87</x:v>
      </x:c>
      <x:c r="H62" s="7" t="n">
        <x:f>G62/E62-1</x:f>
        <x:v>0.040715980159585996</x:v>
      </x:c>
      <x:c r="I62" s="1" t="n">
        <x:v>1</x:v>
      </x:c>
      <x:c r="J62" s="1" t="n">
        <x:v>1</x:v>
      </x:c>
      <x:c r="K62" s="1" t="str">
        <x:v>中证官方优先</x:v>
      </x:c>
    </x:row>
    <x:row r="63" ht="25" customHeight="1">
      <x:c r="A63" s="1" t="str">
        <x:v>sh000001</x:v>
      </x:c>
      <x:c r="B63" s="1" t="str">
        <x:v>上证综指</x:v>
      </x:c>
      <x:c r="C63" s="1" t="str">
        <x:v>1995-09</x:v>
      </x:c>
      <x:c r="D63" s="1" t="str">
        <x:v>1995-08-31</x:v>
      </x:c>
      <x:c r="E63" s="5" t="n">
        <x:v>723.87</x:v>
      </x:c>
      <x:c r="F63" s="6" t="str">
        <x:v>1995-09-29</x:v>
      </x:c>
      <x:c r="G63" s="5" t="n">
        <x:v>722.43</x:v>
      </x:c>
      <x:c r="H63" s="7" t="n">
        <x:f>G63/E63-1</x:f>
        <x:v>-0.001989307472336277</x:v>
      </x:c>
      <x:c r="I63" s="1" t="n">
        <x:v>1</x:v>
      </x:c>
      <x:c r="J63" s="1" t="n">
        <x:v>1</x:v>
      </x:c>
      <x:c r="K63" s="1" t="str">
        <x:v>中证官方优先</x:v>
      </x:c>
    </x:row>
    <x:row r="64" ht="25" customHeight="1">
      <x:c r="A64" s="1" t="str">
        <x:v>sh000001</x:v>
      </x:c>
      <x:c r="B64" s="1" t="str">
        <x:v>上证综指</x:v>
      </x:c>
      <x:c r="C64" s="1" t="str">
        <x:v>1995-10</x:v>
      </x:c>
      <x:c r="D64" s="1" t="str">
        <x:v>1995-09-29</x:v>
      </x:c>
      <x:c r="E64" s="5" t="n">
        <x:v>722.43</x:v>
      </x:c>
      <x:c r="F64" s="6" t="str">
        <x:v>1995-10-31</x:v>
      </x:c>
      <x:c r="G64" s="5" t="n">
        <x:v>717.32</x:v>
      </x:c>
      <x:c r="H64" s="7" t="n">
        <x:f>G64/E64-1</x:f>
        <x:v>-0.0070733496670956075</x:v>
      </x:c>
      <x:c r="I64" s="1" t="n">
        <x:v>1</x:v>
      </x:c>
      <x:c r="J64" s="1" t="n">
        <x:v>1</x:v>
      </x:c>
      <x:c r="K64" s="1" t="str">
        <x:v>中证官方优先</x:v>
      </x:c>
    </x:row>
    <x:row r="65" ht="25" customHeight="1">
      <x:c r="A65" s="1" t="str">
        <x:v>sh000001</x:v>
      </x:c>
      <x:c r="B65" s="1" t="str">
        <x:v>上证综指</x:v>
      </x:c>
      <x:c r="C65" s="1" t="str">
        <x:v>1995-11</x:v>
      </x:c>
      <x:c r="D65" s="1" t="str">
        <x:v>1995-10-31</x:v>
      </x:c>
      <x:c r="E65" s="5" t="n">
        <x:v>717.32</x:v>
      </x:c>
      <x:c r="F65" s="6" t="str">
        <x:v>1995-11-30</x:v>
      </x:c>
      <x:c r="G65" s="5" t="n">
        <x:v>641.14</x:v>
      </x:c>
      <x:c r="H65" s="7" t="n">
        <x:f>G65/E65-1</x:f>
        <x:v>-0.10620085875202145</x:v>
      </x:c>
      <x:c r="I65" s="1" t="n">
        <x:v>1</x:v>
      </x:c>
      <x:c r="J65" s="1" t="n">
        <x:v>1</x:v>
      </x:c>
      <x:c r="K65" s="1" t="str">
        <x:v>中证官方优先</x:v>
      </x:c>
    </x:row>
    <x:row r="66" ht="25" customHeight="1">
      <x:c r="A66" s="1" t="str">
        <x:v>sh000001</x:v>
      </x:c>
      <x:c r="B66" s="1" t="str">
        <x:v>上证综指</x:v>
      </x:c>
      <x:c r="C66" s="1" t="str">
        <x:v>1995-12</x:v>
      </x:c>
      <x:c r="D66" s="1" t="str">
        <x:v>1995-11-30</x:v>
      </x:c>
      <x:c r="E66" s="5" t="n">
        <x:v>641.14</x:v>
      </x:c>
      <x:c r="F66" s="6" t="str">
        <x:v>1995-12-29</x:v>
      </x:c>
      <x:c r="G66" s="5" t="n">
        <x:v>555.29</x:v>
      </x:c>
      <x:c r="H66" s="7" t="n">
        <x:f>G66/E66-1</x:f>
        <x:v>-0.13390211186324363</x:v>
      </x:c>
      <x:c r="I66" s="1" t="n">
        <x:v>1</x:v>
      </x:c>
      <x:c r="J66" s="1" t="n">
        <x:v>1</x:v>
      </x:c>
      <x:c r="K66" s="1" t="str">
        <x:v>中证官方优先</x:v>
      </x:c>
    </x:row>
    <x:row r="67" ht="25" customHeight="1">
      <x:c r="A67" s="1" t="str">
        <x:v>sh000001</x:v>
      </x:c>
      <x:c r="B67" s="1" t="str">
        <x:v>上证综指</x:v>
      </x:c>
      <x:c r="C67" s="1" t="str">
        <x:v>1996-01</x:v>
      </x:c>
      <x:c r="D67" s="1" t="str">
        <x:v>1995-12-29</x:v>
      </x:c>
      <x:c r="E67" s="5" t="n">
        <x:v>555.29</x:v>
      </x:c>
      <x:c r="F67" s="6" t="str">
        <x:v>1996-01-31</x:v>
      </x:c>
      <x:c r="G67" s="5" t="n">
        <x:v>537.35</x:v>
      </x:c>
      <x:c r="H67" s="7" t="n">
        <x:f>G67/E67-1</x:f>
        <x:v>-0.03230744295773369</x:v>
      </x:c>
      <x:c r="I67" s="1" t="n">
        <x:v>1</x:v>
      </x:c>
      <x:c r="J67" s="1" t="n">
        <x:v>1</x:v>
      </x:c>
      <x:c r="K67" s="1" t="str">
        <x:v>中证官方优先</x:v>
      </x:c>
    </x:row>
    <x:row r="68" ht="25" customHeight="1">
      <x:c r="A68" s="1" t="str">
        <x:v>sh000001</x:v>
      </x:c>
      <x:c r="B68" s="1" t="str">
        <x:v>上证综指</x:v>
      </x:c>
      <x:c r="C68" s="1" t="str">
        <x:v>1996-02</x:v>
      </x:c>
      <x:c r="D68" s="1" t="str">
        <x:v>1996-01-31</x:v>
      </x:c>
      <x:c r="E68" s="5" t="n">
        <x:v>537.35</x:v>
      </x:c>
      <x:c r="F68" s="6" t="str">
        <x:v>1996-02-16</x:v>
      </x:c>
      <x:c r="G68" s="5" t="n">
        <x:v>552.94</x:v>
      </x:c>
      <x:c r="H68" s="7" t="n">
        <x:f>G68/E68-1</x:f>
        <x:v>0.029012747743556444</x:v>
      </x:c>
      <x:c r="I68" s="1" t="n">
        <x:v>1</x:v>
      </x:c>
      <x:c r="J68" s="1" t="n">
        <x:v>1</x:v>
      </x:c>
      <x:c r="K68" s="1" t="str">
        <x:v>中证官方优先</x:v>
      </x:c>
    </x:row>
    <x:row r="69" ht="25" customHeight="1">
      <x:c r="A69" s="1" t="str">
        <x:v>sh000001</x:v>
      </x:c>
      <x:c r="B69" s="1" t="str">
        <x:v>上证综指</x:v>
      </x:c>
      <x:c r="C69" s="1" t="str">
        <x:v>1996-03</x:v>
      </x:c>
      <x:c r="D69" s="1" t="str">
        <x:v>1996-02-16</x:v>
      </x:c>
      <x:c r="E69" s="5" t="n">
        <x:v>552.94</x:v>
      </x:c>
      <x:c r="F69" s="6" t="str">
        <x:v>1996-03-29</x:v>
      </x:c>
      <x:c r="G69" s="5" t="n">
        <x:v>556.39</x:v>
      </x:c>
      <x:c r="H69" s="7" t="n">
        <x:f>G69/E69-1</x:f>
        <x:v>0.006239374977393464</x:v>
      </x:c>
      <x:c r="I69" s="1" t="n">
        <x:v>1</x:v>
      </x:c>
      <x:c r="J69" s="1" t="n">
        <x:v>1</x:v>
      </x:c>
      <x:c r="K69" s="1" t="str">
        <x:v>中证官方优先</x:v>
      </x:c>
    </x:row>
    <x:row r="70" ht="25" customHeight="1">
      <x:c r="A70" s="1" t="str">
        <x:v>sh000001</x:v>
      </x:c>
      <x:c r="B70" s="1" t="str">
        <x:v>上证综指</x:v>
      </x:c>
      <x:c r="C70" s="1" t="str">
        <x:v>1996-04</x:v>
      </x:c>
      <x:c r="D70" s="1" t="str">
        <x:v>1996-03-29</x:v>
      </x:c>
      <x:c r="E70" s="5" t="n">
        <x:v>556.39</x:v>
      </x:c>
      <x:c r="F70" s="6" t="str">
        <x:v>1996-04-30</x:v>
      </x:c>
      <x:c r="G70" s="5" t="n">
        <x:v>681.16</x:v>
      </x:c>
      <x:c r="H70" s="7" t="n">
        <x:f>G70/E70-1</x:f>
        <x:v>0.22424917773504194</x:v>
      </x:c>
      <x:c r="I70" s="1" t="n">
        <x:v>1</x:v>
      </x:c>
      <x:c r="J70" s="1" t="n">
        <x:v>1</x:v>
      </x:c>
      <x:c r="K70" s="1" t="str">
        <x:v>中证官方优先</x:v>
      </x:c>
    </x:row>
    <x:row r="71" ht="25" customHeight="1">
      <x:c r="A71" s="1" t="str">
        <x:v>sh000001</x:v>
      </x:c>
      <x:c r="B71" s="1" t="str">
        <x:v>上证综指</x:v>
      </x:c>
      <x:c r="C71" s="1" t="str">
        <x:v>1996-05</x:v>
      </x:c>
      <x:c r="D71" s="1" t="str">
        <x:v>1996-04-30</x:v>
      </x:c>
      <x:c r="E71" s="5" t="n">
        <x:v>681.16</x:v>
      </x:c>
      <x:c r="F71" s="6" t="str">
        <x:v>1996-05-31</x:v>
      </x:c>
      <x:c r="G71" s="5" t="n">
        <x:v>643.65</x:v>
      </x:c>
      <x:c r="H71" s="7" t="n">
        <x:f>G71/E71-1</x:f>
        <x:v>-0.05506782547419109</x:v>
      </x:c>
      <x:c r="I71" s="1" t="n">
        <x:v>1</x:v>
      </x:c>
      <x:c r="J71" s="1" t="n">
        <x:v>1</x:v>
      </x:c>
      <x:c r="K71" s="1" t="str">
        <x:v>中证官方优先</x:v>
      </x:c>
    </x:row>
    <x:row r="72" ht="25" customHeight="1">
      <x:c r="A72" s="1" t="str">
        <x:v>sh000001</x:v>
      </x:c>
      <x:c r="B72" s="1" t="str">
        <x:v>上证综指</x:v>
      </x:c>
      <x:c r="C72" s="1" t="str">
        <x:v>1996-06</x:v>
      </x:c>
      <x:c r="D72" s="1" t="str">
        <x:v>1996-05-31</x:v>
      </x:c>
      <x:c r="E72" s="5" t="n">
        <x:v>643.65</x:v>
      </x:c>
      <x:c r="F72" s="6" t="str">
        <x:v>1996-06-28</x:v>
      </x:c>
      <x:c r="G72" s="5" t="n">
        <x:v>804.25</x:v>
      </x:c>
      <x:c r="H72" s="7" t="n">
        <x:f>G72/E72-1</x:f>
        <x:v>0.2495144876874078</x:v>
      </x:c>
      <x:c r="I72" s="1" t="n">
        <x:v>1</x:v>
      </x:c>
      <x:c r="J72" s="1" t="n">
        <x:v>1</x:v>
      </x:c>
      <x:c r="K72" s="1" t="str">
        <x:v>中证官方优先</x:v>
      </x:c>
    </x:row>
    <x:row r="73" ht="25" customHeight="1">
      <x:c r="A73" s="1" t="str">
        <x:v>sh000001</x:v>
      </x:c>
      <x:c r="B73" s="1" t="str">
        <x:v>上证综指</x:v>
      </x:c>
      <x:c r="C73" s="1" t="str">
        <x:v>1996-07</x:v>
      </x:c>
      <x:c r="D73" s="1" t="str">
        <x:v>1996-06-28</x:v>
      </x:c>
      <x:c r="E73" s="5" t="n">
        <x:v>804.25</x:v>
      </x:c>
      <x:c r="F73" s="6" t="str">
        <x:v>1996-07-31</x:v>
      </x:c>
      <x:c r="G73" s="5" t="n">
        <x:v>822.48</x:v>
      </x:c>
      <x:c r="H73" s="7" t="n">
        <x:f>G73/E73-1</x:f>
        <x:v>0.022667081131489075</x:v>
      </x:c>
      <x:c r="I73" s="1" t="n">
        <x:v>1</x:v>
      </x:c>
      <x:c r="J73" s="1" t="n">
        <x:v>1</x:v>
      </x:c>
      <x:c r="K73" s="1" t="str">
        <x:v>中证官方优先</x:v>
      </x:c>
    </x:row>
    <x:row r="74" ht="25" customHeight="1">
      <x:c r="A74" s="1" t="str">
        <x:v>sh000001</x:v>
      </x:c>
      <x:c r="B74" s="1" t="str">
        <x:v>上证综指</x:v>
      </x:c>
      <x:c r="C74" s="1" t="str">
        <x:v>1996-08</x:v>
      </x:c>
      <x:c r="D74" s="1" t="str">
        <x:v>1996-07-31</x:v>
      </x:c>
      <x:c r="E74" s="5" t="n">
        <x:v>822.48</x:v>
      </x:c>
      <x:c r="F74" s="6" t="str">
        <x:v>1996-08-30</x:v>
      </x:c>
      <x:c r="G74" s="5" t="n">
        <x:v>809.94</x:v>
      </x:c>
      <x:c r="H74" s="7" t="n">
        <x:f>G74/E74-1</x:f>
        <x:v>-0.0152465713451998</x:v>
      </x:c>
      <x:c r="I74" s="1" t="n">
        <x:v>1</x:v>
      </x:c>
      <x:c r="J74" s="1" t="n">
        <x:v>1</x:v>
      </x:c>
      <x:c r="K74" s="1" t="str">
        <x:v>中证官方优先</x:v>
      </x:c>
    </x:row>
    <x:row r="75" ht="25" customHeight="1">
      <x:c r="A75" s="1" t="str">
        <x:v>sh000001</x:v>
      </x:c>
      <x:c r="B75" s="1" t="str">
        <x:v>上证综指</x:v>
      </x:c>
      <x:c r="C75" s="1" t="str">
        <x:v>1996-09</x:v>
      </x:c>
      <x:c r="D75" s="1" t="str">
        <x:v>1996-08-30</x:v>
      </x:c>
      <x:c r="E75" s="5" t="n">
        <x:v>809.94</x:v>
      </x:c>
      <x:c r="F75" s="6" t="str">
        <x:v>1996-09-27</x:v>
      </x:c>
      <x:c r="G75" s="5" t="n">
        <x:v>875.53</x:v>
      </x:c>
      <x:c r="H75" s="7" t="n">
        <x:f>G75/E75-1</x:f>
        <x:v>0.08098130725732755</x:v>
      </x:c>
      <x:c r="I75" s="1" t="n">
        <x:v>1</x:v>
      </x:c>
      <x:c r="J75" s="1" t="n">
        <x:v>1</x:v>
      </x:c>
      <x:c r="K75" s="1" t="str">
        <x:v>中证官方优先</x:v>
      </x:c>
    </x:row>
    <x:row r="76" ht="25" customHeight="1">
      <x:c r="A76" s="1" t="str">
        <x:v>sh000001</x:v>
      </x:c>
      <x:c r="B76" s="1" t="str">
        <x:v>上证综指</x:v>
      </x:c>
      <x:c r="C76" s="1" t="str">
        <x:v>1996-10</x:v>
      </x:c>
      <x:c r="D76" s="1" t="str">
        <x:v>1996-09-27</x:v>
      </x:c>
      <x:c r="E76" s="5" t="n">
        <x:v>875.53</x:v>
      </x:c>
      <x:c r="F76" s="6" t="str">
        <x:v>1996-10-31</x:v>
      </x:c>
      <x:c r="G76" s="5" t="n">
        <x:v>976.71</x:v>
      </x:c>
      <x:c r="H76" s="7" t="n">
        <x:f>G76/E76-1</x:f>
        <x:v>0.11556428677486785</x:v>
      </x:c>
      <x:c r="I76" s="1" t="n">
        <x:v>1</x:v>
      </x:c>
      <x:c r="J76" s="1" t="n">
        <x:v>1</x:v>
      </x:c>
      <x:c r="K76" s="1" t="str">
        <x:v>中证官方优先</x:v>
      </x:c>
    </x:row>
    <x:row r="77" ht="25" customHeight="1">
      <x:c r="A77" s="1" t="str">
        <x:v>sh000001</x:v>
      </x:c>
      <x:c r="B77" s="1" t="str">
        <x:v>上证综指</x:v>
      </x:c>
      <x:c r="C77" s="1" t="str">
        <x:v>1996-11</x:v>
      </x:c>
      <x:c r="D77" s="1" t="str">
        <x:v>1996-10-31</x:v>
      </x:c>
      <x:c r="E77" s="5" t="n">
        <x:v>976.71</x:v>
      </x:c>
      <x:c r="F77" s="6" t="str">
        <x:v>1996-11-29</x:v>
      </x:c>
      <x:c r="G77" s="5" t="n">
        <x:v>1032.95</x:v>
      </x:c>
      <x:c r="H77" s="7" t="n">
        <x:f>G77/E77-1</x:f>
        <x:v>0.057581062956251206</x:v>
      </x:c>
      <x:c r="I77" s="1" t="n">
        <x:v>1</x:v>
      </x:c>
      <x:c r="J77" s="1" t="n">
        <x:v>1</x:v>
      </x:c>
      <x:c r="K77" s="1" t="str">
        <x:v>中证官方优先</x:v>
      </x:c>
    </x:row>
    <x:row r="78" ht="25" customHeight="1">
      <x:c r="A78" s="1" t="str">
        <x:v>sh000001</x:v>
      </x:c>
      <x:c r="B78" s="1" t="str">
        <x:v>上证综指</x:v>
      </x:c>
      <x:c r="C78" s="1" t="str">
        <x:v>1996-12</x:v>
      </x:c>
      <x:c r="D78" s="1" t="str">
        <x:v>1996-11-29</x:v>
      </x:c>
      <x:c r="E78" s="5" t="n">
        <x:v>1032.95</x:v>
      </x:c>
      <x:c r="F78" s="6" t="str">
        <x:v>1996-12-31</x:v>
      </x:c>
      <x:c r="G78" s="5" t="n">
        <x:v>917.02</x:v>
      </x:c>
      <x:c r="H78" s="7" t="n">
        <x:f>G78/E78-1</x:f>
        <x:v>-0.11223195701631261</x:v>
      </x:c>
      <x:c r="I78" s="1" t="n">
        <x:v>1</x:v>
      </x:c>
      <x:c r="J78" s="1" t="n">
        <x:v>1</x:v>
      </x:c>
      <x:c r="K78" s="1" t="str">
        <x:v>中证官方优先</x:v>
      </x:c>
    </x:row>
    <x:row r="79" ht="25" customHeight="1">
      <x:c r="A79" s="1" t="str">
        <x:v>sh000001</x:v>
      </x:c>
      <x:c r="B79" s="1" t="str">
        <x:v>上证综指</x:v>
      </x:c>
      <x:c r="C79" s="1" t="str">
        <x:v>1997-01</x:v>
      </x:c>
      <x:c r="D79" s="1" t="str">
        <x:v>1996-12-31</x:v>
      </x:c>
      <x:c r="E79" s="5" t="n">
        <x:v>917.02</x:v>
      </x:c>
      <x:c r="F79" s="6" t="str">
        <x:v>1997-01-31</x:v>
      </x:c>
      <x:c r="G79" s="5" t="n">
        <x:v>964.74</x:v>
      </x:c>
      <x:c r="H79" s="7" t="n">
        <x:f>G79/E79-1</x:f>
        <x:v>0.05203812348694692</x:v>
      </x:c>
      <x:c r="I79" s="1" t="n">
        <x:v>1</x:v>
      </x:c>
      <x:c r="J79" s="1" t="n">
        <x:v>1</x:v>
      </x:c>
      <x:c r="K79" s="1" t="str">
        <x:v>中证官方优先</x:v>
      </x:c>
    </x:row>
    <x:row r="80" ht="25" customHeight="1">
      <x:c r="A80" s="1" t="str">
        <x:v>sh000001</x:v>
      </x:c>
      <x:c r="B80" s="1" t="str">
        <x:v>上证综指</x:v>
      </x:c>
      <x:c r="C80" s="1" t="str">
        <x:v>1997-02</x:v>
      </x:c>
      <x:c r="D80" s="1" t="str">
        <x:v>1997-01-31</x:v>
      </x:c>
      <x:c r="E80" s="5" t="n">
        <x:v>964.74</x:v>
      </x:c>
      <x:c r="F80" s="6" t="str">
        <x:v>1997-02-28</x:v>
      </x:c>
      <x:c r="G80" s="5" t="n">
        <x:v>1040.27</x:v>
      </x:c>
      <x:c r="H80" s="7" t="n">
        <x:f>G80/E80-1</x:f>
        <x:v>0.07829052387171664</x:v>
      </x:c>
      <x:c r="I80" s="1" t="n">
        <x:v>1</x:v>
      </x:c>
      <x:c r="J80" s="1" t="n">
        <x:v>1</x:v>
      </x:c>
      <x:c r="K80" s="1" t="str">
        <x:v>中证官方优先</x:v>
      </x:c>
    </x:row>
    <x:row r="81" ht="25" customHeight="1">
      <x:c r="A81" s="1" t="str">
        <x:v>sh000001</x:v>
      </x:c>
      <x:c r="B81" s="1" t="str">
        <x:v>上证综指</x:v>
      </x:c>
      <x:c r="C81" s="1" t="str">
        <x:v>1997-03</x:v>
      </x:c>
      <x:c r="D81" s="1" t="str">
        <x:v>1997-02-28</x:v>
      </x:c>
      <x:c r="E81" s="5" t="n">
        <x:v>1040.27</x:v>
      </x:c>
      <x:c r="F81" s="6" t="str">
        <x:v>1997-03-31</x:v>
      </x:c>
      <x:c r="G81" s="5" t="n">
        <x:v>1234.62</x:v>
      </x:c>
      <x:c r="H81" s="7" t="n">
        <x:f>G81/E81-1</x:f>
        <x:v>0.18682649696713338</x:v>
      </x:c>
      <x:c r="I81" s="1" t="n">
        <x:v>1</x:v>
      </x:c>
      <x:c r="J81" s="1" t="n">
        <x:v>1</x:v>
      </x:c>
      <x:c r="K81" s="1" t="str">
        <x:v>中证官方优先</x:v>
      </x:c>
    </x:row>
    <x:row r="82" ht="25" customHeight="1">
      <x:c r="A82" s="1" t="str">
        <x:v>sh000001</x:v>
      </x:c>
      <x:c r="B82" s="1" t="str">
        <x:v>上证综指</x:v>
      </x:c>
      <x:c r="C82" s="1" t="str">
        <x:v>1997-04</x:v>
      </x:c>
      <x:c r="D82" s="1" t="str">
        <x:v>1997-03-31</x:v>
      </x:c>
      <x:c r="E82" s="5" t="n">
        <x:v>1234.62</x:v>
      </x:c>
      <x:c r="F82" s="6" t="str">
        <x:v>1997-04-30</x:v>
      </x:c>
      <x:c r="G82" s="5" t="n">
        <x:v>1393.75</x:v>
      </x:c>
      <x:c r="H82" s="7" t="n">
        <x:f>G82/E82-1</x:f>
        <x:v>0.12888986084787235</x:v>
      </x:c>
      <x:c r="I82" s="1" t="n">
        <x:v>1</x:v>
      </x:c>
      <x:c r="J82" s="1" t="n">
        <x:v>1</x:v>
      </x:c>
      <x:c r="K82" s="1" t="str">
        <x:v>中证官方优先</x:v>
      </x:c>
    </x:row>
    <x:row r="83" ht="25" customHeight="1">
      <x:c r="A83" s="1" t="str">
        <x:v>sh000001</x:v>
      </x:c>
      <x:c r="B83" s="1" t="str">
        <x:v>上证综指</x:v>
      </x:c>
      <x:c r="C83" s="1" t="str">
        <x:v>1997-05</x:v>
      </x:c>
      <x:c r="D83" s="1" t="str">
        <x:v>1997-04-30</x:v>
      </x:c>
      <x:c r="E83" s="5" t="n">
        <x:v>1393.75</x:v>
      </x:c>
      <x:c r="F83" s="6" t="str">
        <x:v>1997-05-30</x:v>
      </x:c>
      <x:c r="G83" s="5" t="n">
        <x:v>1285.18</x:v>
      </x:c>
      <x:c r="H83" s="7" t="n">
        <x:f>G83/E83-1</x:f>
        <x:v>-0.07789775784753361</x:v>
      </x:c>
      <x:c r="I83" s="1" t="n">
        <x:v>1</x:v>
      </x:c>
      <x:c r="J83" s="1" t="n">
        <x:v>1</x:v>
      </x:c>
      <x:c r="K83" s="1" t="str">
        <x:v>中证官方优先</x:v>
      </x:c>
    </x:row>
    <x:row r="84" ht="25" customHeight="1">
      <x:c r="A84" s="1" t="str">
        <x:v>sh000001</x:v>
      </x:c>
      <x:c r="B84" s="1" t="str">
        <x:v>上证综指</x:v>
      </x:c>
      <x:c r="C84" s="1" t="str">
        <x:v>1997-06</x:v>
      </x:c>
      <x:c r="D84" s="1" t="str">
        <x:v>1997-05-30</x:v>
      </x:c>
      <x:c r="E84" s="5" t="n">
        <x:v>1285.18</x:v>
      </x:c>
      <x:c r="F84" s="6" t="str">
        <x:v>1997-06-27</x:v>
      </x:c>
      <x:c r="G84" s="5" t="n">
        <x:v>1250.27</x:v>
      </x:c>
      <x:c r="H84" s="7" t="n">
        <x:f>G84/E84-1</x:f>
        <x:v>-0.02716351016978169</x:v>
      </x:c>
      <x:c r="I84" s="1" t="n">
        <x:v>1</x:v>
      </x:c>
      <x:c r="J84" s="1" t="n">
        <x:v>1</x:v>
      </x:c>
      <x:c r="K84" s="1" t="str">
        <x:v>中证官方优先</x:v>
      </x:c>
    </x:row>
    <x:row r="85" ht="25" customHeight="1">
      <x:c r="A85" s="1" t="str">
        <x:v>sh000001</x:v>
      </x:c>
      <x:c r="B85" s="1" t="str">
        <x:v>上证综指</x:v>
      </x:c>
      <x:c r="C85" s="1" t="str">
        <x:v>1997-07</x:v>
      </x:c>
      <x:c r="D85" s="1" t="str">
        <x:v>1997-06-27</x:v>
      </x:c>
      <x:c r="E85" s="5" t="n">
        <x:v>1250.27</x:v>
      </x:c>
      <x:c r="F85" s="6" t="str">
        <x:v>1997-07-31</x:v>
      </x:c>
      <x:c r="G85" s="5" t="n">
        <x:v>1189.76</x:v>
      </x:c>
      <x:c r="H85" s="7" t="n">
        <x:f>G85/E85-1</x:f>
        <x:v>-0.048397546130035884</x:v>
      </x:c>
      <x:c r="I85" s="1" t="n">
        <x:v>1</x:v>
      </x:c>
      <x:c r="J85" s="1" t="n">
        <x:v>1</x:v>
      </x:c>
      <x:c r="K85" s="1" t="str">
        <x:v>中证官方优先</x:v>
      </x:c>
    </x:row>
    <x:row r="86" ht="25" customHeight="1">
      <x:c r="A86" s="1" t="str">
        <x:v>sh000001</x:v>
      </x:c>
      <x:c r="B86" s="1" t="str">
        <x:v>上证综指</x:v>
      </x:c>
      <x:c r="C86" s="1" t="str">
        <x:v>1997-08</x:v>
      </x:c>
      <x:c r="D86" s="1" t="str">
        <x:v>1997-07-31</x:v>
      </x:c>
      <x:c r="E86" s="5" t="n">
        <x:v>1189.76</x:v>
      </x:c>
      <x:c r="F86" s="6" t="str">
        <x:v>1997-08-29</x:v>
      </x:c>
      <x:c r="G86" s="5" t="n">
        <x:v>1221.06</x:v>
      </x:c>
      <x:c r="H86" s="7" t="n">
        <x:f>G86/E86-1</x:f>
        <x:v>0.02630782678859589</x:v>
      </x:c>
      <x:c r="I86" s="1" t="n">
        <x:v>1</x:v>
      </x:c>
      <x:c r="J86" s="1" t="n">
        <x:v>1</x:v>
      </x:c>
      <x:c r="K86" s="1" t="str">
        <x:v>中证官方优先</x:v>
      </x:c>
    </x:row>
    <x:row r="87" ht="25" customHeight="1">
      <x:c r="A87" s="1" t="str">
        <x:v>sh000001</x:v>
      </x:c>
      <x:c r="B87" s="1" t="str">
        <x:v>上证综指</x:v>
      </x:c>
      <x:c r="C87" s="1" t="str">
        <x:v>1997-09</x:v>
      </x:c>
      <x:c r="D87" s="1" t="str">
        <x:v>1997-08-29</x:v>
      </x:c>
      <x:c r="E87" s="5" t="n">
        <x:v>1221.06</x:v>
      </x:c>
      <x:c r="F87" s="6" t="str">
        <x:v>1997-09-30</x:v>
      </x:c>
      <x:c r="G87" s="5" t="n">
        <x:v>1097.38</x:v>
      </x:c>
      <x:c r="H87" s="7" t="n">
        <x:f>G87/E87-1</x:f>
        <x:v>-0.10128904394542437</x:v>
      </x:c>
      <x:c r="I87" s="1" t="n">
        <x:v>1</x:v>
      </x:c>
      <x:c r="J87" s="1" t="n">
        <x:v>1</x:v>
      </x:c>
      <x:c r="K87" s="1" t="str">
        <x:v>中证官方优先</x:v>
      </x:c>
    </x:row>
    <x:row r="88" ht="25" customHeight="1">
      <x:c r="A88" s="1" t="str">
        <x:v>sh000001</x:v>
      </x:c>
      <x:c r="B88" s="1" t="str">
        <x:v>上证综指</x:v>
      </x:c>
      <x:c r="C88" s="1" t="str">
        <x:v>1997-10</x:v>
      </x:c>
      <x:c r="D88" s="1" t="str">
        <x:v>1997-09-30</x:v>
      </x:c>
      <x:c r="E88" s="5" t="n">
        <x:v>1097.38</x:v>
      </x:c>
      <x:c r="F88" s="6" t="str">
        <x:v>1997-10-31</x:v>
      </x:c>
      <x:c r="G88" s="5" t="n">
        <x:v>1180.39</x:v>
      </x:c>
      <x:c r="H88" s="7" t="n">
        <x:f>G88/E88-1</x:f>
        <x:v>0.0756438061564817</x:v>
      </x:c>
      <x:c r="I88" s="1" t="n">
        <x:v>1</x:v>
      </x:c>
      <x:c r="J88" s="1" t="n">
        <x:v>1</x:v>
      </x:c>
      <x:c r="K88" s="1" t="str">
        <x:v>中证官方优先</x:v>
      </x:c>
    </x:row>
    <x:row r="89" ht="25" customHeight="1">
      <x:c r="A89" s="1" t="str">
        <x:v>sh000001</x:v>
      </x:c>
      <x:c r="B89" s="1" t="str">
        <x:v>上证综指</x:v>
      </x:c>
      <x:c r="C89" s="1" t="str">
        <x:v>1997-11</x:v>
      </x:c>
      <x:c r="D89" s="1" t="str">
        <x:v>1997-10-31</x:v>
      </x:c>
      <x:c r="E89" s="5" t="n">
        <x:v>1180.39</x:v>
      </x:c>
      <x:c r="F89" s="6" t="str">
        <x:v>1997-11-28</x:v>
      </x:c>
      <x:c r="G89" s="5" t="n">
        <x:v>1139.63</x:v>
      </x:c>
      <x:c r="H89" s="7" t="n">
        <x:f>G89/E89-1</x:f>
        <x:v>-0.03453096010640555</x:v>
      </x:c>
      <x:c r="I89" s="1" t="n">
        <x:v>1</x:v>
      </x:c>
      <x:c r="J89" s="1" t="n">
        <x:v>1</x:v>
      </x:c>
      <x:c r="K89" s="1" t="str">
        <x:v>中证官方优先</x:v>
      </x:c>
    </x:row>
    <x:row r="90" ht="25" customHeight="1">
      <x:c r="A90" s="1" t="str">
        <x:v>sh000001</x:v>
      </x:c>
      <x:c r="B90" s="1" t="str">
        <x:v>上证综指</x:v>
      </x:c>
      <x:c r="C90" s="1" t="str">
        <x:v>1997-12</x:v>
      </x:c>
      <x:c r="D90" s="1" t="str">
        <x:v>1997-11-28</x:v>
      </x:c>
      <x:c r="E90" s="5" t="n">
        <x:v>1139.63</x:v>
      </x:c>
      <x:c r="F90" s="6" t="str">
        <x:v>1997-12-31</x:v>
      </x:c>
      <x:c r="G90" s="5" t="n">
        <x:v>1194.1</x:v>
      </x:c>
      <x:c r="H90" s="7" t="n">
        <x:f>G90/E90-1</x:f>
        <x:v>0.047796214560866135</x:v>
      </x:c>
      <x:c r="I90" s="1" t="n">
        <x:v>1</x:v>
      </x:c>
      <x:c r="J90" s="1" t="n">
        <x:v>1</x:v>
      </x:c>
      <x:c r="K90" s="1" t="str">
        <x:v>中证官方优先</x:v>
      </x:c>
    </x:row>
    <x:row r="91" ht="25" customHeight="1">
      <x:c r="A91" s="1" t="str">
        <x:v>sh000001</x:v>
      </x:c>
      <x:c r="B91" s="1" t="str">
        <x:v>上证综指</x:v>
      </x:c>
      <x:c r="C91" s="1" t="str">
        <x:v>1998-01</x:v>
      </x:c>
      <x:c r="D91" s="1" t="str">
        <x:v>1997-12-31</x:v>
      </x:c>
      <x:c r="E91" s="5" t="n">
        <x:v>1194.1</x:v>
      </x:c>
      <x:c r="F91" s="6" t="str">
        <x:v>1998-01-23</x:v>
      </x:c>
      <x:c r="G91" s="5" t="n">
        <x:v>1222.91</x:v>
      </x:c>
      <x:c r="H91" s="7" t="n">
        <x:f>G91/E91-1</x:f>
        <x:v>0.02412695754124461</x:v>
      </x:c>
      <x:c r="I91" s="1" t="n">
        <x:v>1</x:v>
      </x:c>
      <x:c r="J91" s="1" t="n">
        <x:v>1</x:v>
      </x:c>
      <x:c r="K91" s="1" t="str">
        <x:v>中证官方优先</x:v>
      </x:c>
    </x:row>
    <x:row r="92" ht="25" customHeight="1">
      <x:c r="A92" s="1" t="str">
        <x:v>sh000001</x:v>
      </x:c>
      <x:c r="B92" s="1" t="str">
        <x:v>上证综指</x:v>
      </x:c>
      <x:c r="C92" s="1" t="str">
        <x:v>1998-02</x:v>
      </x:c>
      <x:c r="D92" s="1" t="str">
        <x:v>1998-01-23</x:v>
      </x:c>
      <x:c r="E92" s="5" t="n">
        <x:v>1222.91</x:v>
      </x:c>
      <x:c r="F92" s="6" t="str">
        <x:v>1998-02-27</x:v>
      </x:c>
      <x:c r="G92" s="5" t="n">
        <x:v>1206.53</x:v>
      </x:c>
      <x:c r="H92" s="7" t="n">
        <x:f>G92/E92-1</x:f>
        <x:v>-0.01339428085468275</x:v>
      </x:c>
      <x:c r="I92" s="1" t="n">
        <x:v>1</x:v>
      </x:c>
      <x:c r="J92" s="1" t="n">
        <x:v>1</x:v>
      </x:c>
      <x:c r="K92" s="1" t="str">
        <x:v>中证官方优先</x:v>
      </x:c>
    </x:row>
    <x:row r="93" ht="25" customHeight="1">
      <x:c r="A93" s="1" t="str">
        <x:v>sh000001</x:v>
      </x:c>
      <x:c r="B93" s="1" t="str">
        <x:v>上证综指</x:v>
      </x:c>
      <x:c r="C93" s="1" t="str">
        <x:v>1998-03</x:v>
      </x:c>
      <x:c r="D93" s="1" t="str">
        <x:v>1998-02-27</x:v>
      </x:c>
      <x:c r="E93" s="5" t="n">
        <x:v>1206.53</x:v>
      </x:c>
      <x:c r="F93" s="6" t="str">
        <x:v>1998-03-31</x:v>
      </x:c>
      <x:c r="G93" s="5" t="n">
        <x:v>1243.02</x:v>
      </x:c>
      <x:c r="H93" s="7" t="n">
        <x:f>G93/E93-1</x:f>
        <x:v>0.030243756889592577</x:v>
      </x:c>
      <x:c r="I93" s="1" t="n">
        <x:v>1</x:v>
      </x:c>
      <x:c r="J93" s="1" t="n">
        <x:v>1</x:v>
      </x:c>
      <x:c r="K93" s="1" t="str">
        <x:v>中证官方优先</x:v>
      </x:c>
    </x:row>
    <x:row r="94" ht="25" customHeight="1">
      <x:c r="A94" s="1" t="str">
        <x:v>sh000001</x:v>
      </x:c>
      <x:c r="B94" s="1" t="str">
        <x:v>上证综指</x:v>
      </x:c>
      <x:c r="C94" s="1" t="str">
        <x:v>1998-04</x:v>
      </x:c>
      <x:c r="D94" s="1" t="str">
        <x:v>1998-03-31</x:v>
      </x:c>
      <x:c r="E94" s="5" t="n">
        <x:v>1243.02</x:v>
      </x:c>
      <x:c r="F94" s="6" t="str">
        <x:v>1998-04-30</x:v>
      </x:c>
      <x:c r="G94" s="5" t="n">
        <x:v>1343.45</x:v>
      </x:c>
      <x:c r="H94" s="7" t="n">
        <x:f>G94/E94-1</x:f>
        <x:v>0.0807951601744139</x:v>
      </x:c>
      <x:c r="I94" s="1" t="n">
        <x:v>1</x:v>
      </x:c>
      <x:c r="J94" s="1" t="n">
        <x:v>1</x:v>
      </x:c>
      <x:c r="K94" s="1" t="str">
        <x:v>中证官方优先</x:v>
      </x:c>
    </x:row>
    <x:row r="95" ht="25" customHeight="1">
      <x:c r="A95" s="1" t="str">
        <x:v>sh000001</x:v>
      </x:c>
      <x:c r="B95" s="1" t="str">
        <x:v>上证综指</x:v>
      </x:c>
      <x:c r="C95" s="1" t="str">
        <x:v>1998-05</x:v>
      </x:c>
      <x:c r="D95" s="1" t="str">
        <x:v>1998-04-30</x:v>
      </x:c>
      <x:c r="E95" s="5" t="n">
        <x:v>1343.45</x:v>
      </x:c>
      <x:c r="F95" s="6" t="str">
        <x:v>1998-05-29</x:v>
      </x:c>
      <x:c r="G95" s="5" t="n">
        <x:v>1411.21</x:v>
      </x:c>
      <x:c r="H95" s="7" t="n">
        <x:f>G95/E95-1</x:f>
        <x:v>0.05043730693364101</x:v>
      </x:c>
      <x:c r="I95" s="1" t="n">
        <x:v>1</x:v>
      </x:c>
      <x:c r="J95" s="1" t="n">
        <x:v>1</x:v>
      </x:c>
      <x:c r="K95" s="1" t="str">
        <x:v>中证官方优先</x:v>
      </x:c>
    </x:row>
    <x:row r="96" ht="25" customHeight="1">
      <x:c r="A96" s="1" t="str">
        <x:v>sh000001</x:v>
      </x:c>
      <x:c r="B96" s="1" t="str">
        <x:v>上证综指</x:v>
      </x:c>
      <x:c r="C96" s="1" t="str">
        <x:v>1998-06</x:v>
      </x:c>
      <x:c r="D96" s="1" t="str">
        <x:v>1998-05-29</x:v>
      </x:c>
      <x:c r="E96" s="5" t="n">
        <x:v>1411.21</x:v>
      </x:c>
      <x:c r="F96" s="6" t="str">
        <x:v>1998-06-30</x:v>
      </x:c>
      <x:c r="G96" s="5" t="n">
        <x:v>1339.2</x:v>
      </x:c>
      <x:c r="H96" s="7" t="n">
        <x:f>G96/E96-1</x:f>
        <x:v>-0.051027132744240755</x:v>
      </x:c>
      <x:c r="I96" s="1" t="n">
        <x:v>1</x:v>
      </x:c>
      <x:c r="J96" s="1" t="n">
        <x:v>1</x:v>
      </x:c>
      <x:c r="K96" s="1" t="str">
        <x:v>中证官方优先</x:v>
      </x:c>
    </x:row>
    <x:row r="97" ht="25" customHeight="1">
      <x:c r="A97" s="1" t="str">
        <x:v>sh000001</x:v>
      </x:c>
      <x:c r="B97" s="1" t="str">
        <x:v>上证综指</x:v>
      </x:c>
      <x:c r="C97" s="1" t="str">
        <x:v>1998-07</x:v>
      </x:c>
      <x:c r="D97" s="1" t="str">
        <x:v>1998-06-30</x:v>
      </x:c>
      <x:c r="E97" s="5" t="n">
        <x:v>1339.2</x:v>
      </x:c>
      <x:c r="F97" s="6" t="str">
        <x:v>1998-07-31</x:v>
      </x:c>
      <x:c r="G97" s="5" t="n">
        <x:v>1316.92</x:v>
      </x:c>
      <x:c r="H97" s="7" t="n">
        <x:f>G97/E97-1</x:f>
        <x:v>-0.01663679808841101</x:v>
      </x:c>
      <x:c r="I97" s="1" t="n">
        <x:v>1</x:v>
      </x:c>
      <x:c r="J97" s="1" t="n">
        <x:v>1</x:v>
      </x:c>
      <x:c r="K97" s="1" t="str">
        <x:v>中证官方优先</x:v>
      </x:c>
    </x:row>
    <x:row r="98" ht="25" customHeight="1">
      <x:c r="A98" s="1" t="str">
        <x:v>sh000001</x:v>
      </x:c>
      <x:c r="B98" s="1" t="str">
        <x:v>上证综指</x:v>
      </x:c>
      <x:c r="C98" s="1" t="str">
        <x:v>1998-08</x:v>
      </x:c>
      <x:c r="D98" s="1" t="str">
        <x:v>1998-07-31</x:v>
      </x:c>
      <x:c r="E98" s="5" t="n">
        <x:v>1316.92</x:v>
      </x:c>
      <x:c r="F98" s="6" t="str">
        <x:v>1998-08-31</x:v>
      </x:c>
      <x:c r="G98" s="5" t="n">
        <x:v>1150.22</x:v>
      </x:c>
      <x:c r="H98" s="7" t="n">
        <x:f>G98/E98-1</x:f>
        <x:v>-0.12658323968046659</x:v>
      </x:c>
      <x:c r="I98" s="1" t="n">
        <x:v>1</x:v>
      </x:c>
      <x:c r="J98" s="1" t="n">
        <x:v>1</x:v>
      </x:c>
      <x:c r="K98" s="1" t="str">
        <x:v>中证官方优先</x:v>
      </x:c>
    </x:row>
    <x:row r="99" ht="25" customHeight="1">
      <x:c r="A99" s="1" t="str">
        <x:v>sh000001</x:v>
      </x:c>
      <x:c r="B99" s="1" t="str">
        <x:v>上证综指</x:v>
      </x:c>
      <x:c r="C99" s="1" t="str">
        <x:v>1998-09</x:v>
      </x:c>
      <x:c r="D99" s="1" t="str">
        <x:v>1998-08-31</x:v>
      </x:c>
      <x:c r="E99" s="5" t="n">
        <x:v>1150.22</x:v>
      </x:c>
      <x:c r="F99" s="6" t="str">
        <x:v>1998-09-30</x:v>
      </x:c>
      <x:c r="G99" s="5" t="n">
        <x:v>1242.9</x:v>
      </x:c>
      <x:c r="H99" s="7" t="n">
        <x:f>G99/E99-1</x:f>
        <x:v>0.08057588982977171</x:v>
      </x:c>
      <x:c r="I99" s="1" t="n">
        <x:v>1</x:v>
      </x:c>
      <x:c r="J99" s="1" t="n">
        <x:v>1</x:v>
      </x:c>
      <x:c r="K99" s="1" t="str">
        <x:v>中证官方优先</x:v>
      </x:c>
    </x:row>
    <x:row r="100" ht="25" customHeight="1">
      <x:c r="A100" s="1" t="str">
        <x:v>sh000001</x:v>
      </x:c>
      <x:c r="B100" s="1" t="str">
        <x:v>上证综指</x:v>
      </x:c>
      <x:c r="C100" s="1" t="str">
        <x:v>1998-10</x:v>
      </x:c>
      <x:c r="D100" s="1" t="str">
        <x:v>1998-09-30</x:v>
      </x:c>
      <x:c r="E100" s="5" t="n">
        <x:v>1242.9</x:v>
      </x:c>
      <x:c r="F100" s="6" t="str">
        <x:v>1998-10-30</x:v>
      </x:c>
      <x:c r="G100" s="5" t="n">
        <x:v>1217.32</x:v>
      </x:c>
      <x:c r="H100" s="7" t="n">
        <x:f>G100/E100-1</x:f>
        <x:v>-0.02058089950921249</x:v>
      </x:c>
      <x:c r="I100" s="1" t="n">
        <x:v>1</x:v>
      </x:c>
      <x:c r="J100" s="1" t="n">
        <x:v>1</x:v>
      </x:c>
      <x:c r="K100" s="1" t="str">
        <x:v>中证官方优先</x:v>
      </x:c>
    </x:row>
    <x:row r="101" ht="25" customHeight="1">
      <x:c r="A101" s="1" t="str">
        <x:v>sh000001</x:v>
      </x:c>
      <x:c r="B101" s="1" t="str">
        <x:v>上证综指</x:v>
      </x:c>
      <x:c r="C101" s="1" t="str">
        <x:v>1998-11</x:v>
      </x:c>
      <x:c r="D101" s="1" t="str">
        <x:v>1998-10-30</x:v>
      </x:c>
      <x:c r="E101" s="5" t="n">
        <x:v>1217.32</x:v>
      </x:c>
      <x:c r="F101" s="6" t="str">
        <x:v>1998-11-30</x:v>
      </x:c>
      <x:c r="G101" s="5" t="n">
        <x:v>1247.42</x:v>
      </x:c>
      <x:c r="H101" s="7" t="n">
        <x:f>G101/E101-1</x:f>
        <x:v>0.024726448263398426</x:v>
      </x:c>
      <x:c r="I101" s="1" t="n">
        <x:v>1</x:v>
      </x:c>
      <x:c r="J101" s="1" t="n">
        <x:v>1</x:v>
      </x:c>
      <x:c r="K101" s="1" t="str">
        <x:v>中证官方优先</x:v>
      </x:c>
    </x:row>
    <x:row r="102" ht="25" customHeight="1">
      <x:c r="A102" s="1" t="str">
        <x:v>sh000001</x:v>
      </x:c>
      <x:c r="B102" s="1" t="str">
        <x:v>上证综指</x:v>
      </x:c>
      <x:c r="C102" s="1" t="str">
        <x:v>1998-12</x:v>
      </x:c>
      <x:c r="D102" s="1" t="str">
        <x:v>1998-11-30</x:v>
      </x:c>
      <x:c r="E102" s="5" t="n">
        <x:v>1247.42</x:v>
      </x:c>
      <x:c r="F102" s="6" t="str">
        <x:v>1998-12-31</x:v>
      </x:c>
      <x:c r="G102" s="5" t="n">
        <x:v>1146.7</x:v>
      </x:c>
      <x:c r="H102" s="7" t="n">
        <x:f>G102/E102-1</x:f>
        <x:v>-0.08074265283545234</x:v>
      </x:c>
      <x:c r="I102" s="1" t="n">
        <x:v>1</x:v>
      </x:c>
      <x:c r="J102" s="1" t="n">
        <x:v>1</x:v>
      </x:c>
      <x:c r="K102" s="1" t="str">
        <x:v>中证官方优先</x:v>
      </x:c>
    </x:row>
    <x:row r="103" ht="25" customHeight="1">
      <x:c r="A103" s="1" t="str">
        <x:v>sh000001</x:v>
      </x:c>
      <x:c r="B103" s="1" t="str">
        <x:v>上证综指</x:v>
      </x:c>
      <x:c r="C103" s="1" t="str">
        <x:v>1999-01</x:v>
      </x:c>
      <x:c r="D103" s="1" t="str">
        <x:v>1998-12-31</x:v>
      </x:c>
      <x:c r="E103" s="5" t="n">
        <x:v>1146.7</x:v>
      </x:c>
      <x:c r="F103" s="6" t="str">
        <x:v>1999-01-29</x:v>
      </x:c>
      <x:c r="G103" s="5" t="n">
        <x:v>1134.67</x:v>
      </x:c>
      <x:c r="H103" s="7" t="n">
        <x:f>G103/E103-1</x:f>
        <x:v>-0.0104909740995901</x:v>
      </x:c>
      <x:c r="I103" s="1" t="n">
        <x:v>1</x:v>
      </x:c>
      <x:c r="J103" s="1" t="n">
        <x:v>1</x:v>
      </x:c>
      <x:c r="K103" s="1" t="str">
        <x:v>中证官方优先</x:v>
      </x:c>
    </x:row>
    <x:row r="104" ht="25" customHeight="1">
      <x:c r="A104" s="1" t="str">
        <x:v>sh000001</x:v>
      </x:c>
      <x:c r="B104" s="1" t="str">
        <x:v>上证综指</x:v>
      </x:c>
      <x:c r="C104" s="1" t="str">
        <x:v>1999-02</x:v>
      </x:c>
      <x:c r="D104" s="1" t="str">
        <x:v>1999-01-29</x:v>
      </x:c>
      <x:c r="E104" s="5" t="n">
        <x:v>1134.67</x:v>
      </x:c>
      <x:c r="F104" s="6" t="str">
        <x:v>1999-02-09</x:v>
      </x:c>
      <x:c r="G104" s="5" t="n">
        <x:v>1090.09</x:v>
      </x:c>
      <x:c r="H104" s="7" t="n">
        <x:f>G104/E104-1</x:f>
        <x:v>-0.039288956260410623</x:v>
      </x:c>
      <x:c r="I104" s="1" t="n">
        <x:v>1</x:v>
      </x:c>
      <x:c r="J104" s="1" t="n">
        <x:v>1</x:v>
      </x:c>
      <x:c r="K104" s="1" t="str">
        <x:v>中证官方优先</x:v>
      </x:c>
    </x:row>
    <x:row r="105" ht="25" customHeight="1">
      <x:c r="A105" s="1" t="str">
        <x:v>sh000001</x:v>
      </x:c>
      <x:c r="B105" s="1" t="str">
        <x:v>上证综指</x:v>
      </x:c>
      <x:c r="C105" s="1" t="str">
        <x:v>1999-03</x:v>
      </x:c>
      <x:c r="D105" s="1" t="str">
        <x:v>1999-02-09</x:v>
      </x:c>
      <x:c r="E105" s="5" t="n">
        <x:v>1090.09</x:v>
      </x:c>
      <x:c r="F105" s="6" t="str">
        <x:v>1999-03-31</x:v>
      </x:c>
      <x:c r="G105" s="5" t="n">
        <x:v>1158.05</x:v>
      </x:c>
      <x:c r="H105" s="7" t="n">
        <x:f>G105/E105-1</x:f>
        <x:v>0.06234347622673364</x:v>
      </x:c>
      <x:c r="I105" s="1" t="n">
        <x:v>1</x:v>
      </x:c>
      <x:c r="J105" s="1" t="n">
        <x:v>1</x:v>
      </x:c>
      <x:c r="K105" s="1" t="str">
        <x:v>中证官方优先</x:v>
      </x:c>
    </x:row>
    <x:row r="106" ht="25" customHeight="1">
      <x:c r="A106" s="1" t="str">
        <x:v>sh000001</x:v>
      </x:c>
      <x:c r="B106" s="1" t="str">
        <x:v>上证综指</x:v>
      </x:c>
      <x:c r="C106" s="1" t="str">
        <x:v>1999-04</x:v>
      </x:c>
      <x:c r="D106" s="1" t="str">
        <x:v>1999-03-31</x:v>
      </x:c>
      <x:c r="E106" s="5" t="n">
        <x:v>1158.05</x:v>
      </x:c>
      <x:c r="F106" s="6" t="str">
        <x:v>1999-04-30</x:v>
      </x:c>
      <x:c r="G106" s="5" t="n">
        <x:v>1120.93</x:v>
      </x:c>
      <x:c r="H106" s="7" t="n">
        <x:f>G106/E106-1</x:f>
        <x:v>-0.032053883683778706</x:v>
      </x:c>
      <x:c r="I106" s="1" t="n">
        <x:v>1</x:v>
      </x:c>
      <x:c r="J106" s="1" t="n">
        <x:v>1</x:v>
      </x:c>
      <x:c r="K106" s="1" t="str">
        <x:v>中证官方优先</x:v>
      </x:c>
    </x:row>
    <x:row r="107" ht="25" customHeight="1">
      <x:c r="A107" s="1" t="str">
        <x:v>sh000001</x:v>
      </x:c>
      <x:c r="B107" s="1" t="str">
        <x:v>上证综指</x:v>
      </x:c>
      <x:c r="C107" s="1" t="str">
        <x:v>1999-05</x:v>
      </x:c>
      <x:c r="D107" s="1" t="str">
        <x:v>1999-04-30</x:v>
      </x:c>
      <x:c r="E107" s="5" t="n">
        <x:v>1120.93</x:v>
      </x:c>
      <x:c r="F107" s="6" t="str">
        <x:v>1999-05-31</x:v>
      </x:c>
      <x:c r="G107" s="5" t="n">
        <x:v>1279.33</x:v>
      </x:c>
      <x:c r="H107" s="7" t="n">
        <x:f>G107/E107-1</x:f>
        <x:v>0.14131123263718504</x:v>
      </x:c>
      <x:c r="I107" s="1" t="n">
        <x:v>1</x:v>
      </x:c>
      <x:c r="J107" s="1" t="n">
        <x:v>1</x:v>
      </x:c>
      <x:c r="K107" s="1" t="str">
        <x:v>中证官方优先</x:v>
      </x:c>
    </x:row>
    <x:row r="108" ht="25" customHeight="1">
      <x:c r="A108" s="1" t="str">
        <x:v>sh000001</x:v>
      </x:c>
      <x:c r="B108" s="1" t="str">
        <x:v>上证综指</x:v>
      </x:c>
      <x:c r="C108" s="1" t="str">
        <x:v>1999-06</x:v>
      </x:c>
      <x:c r="D108" s="1" t="str">
        <x:v>1999-05-31</x:v>
      </x:c>
      <x:c r="E108" s="5" t="n">
        <x:v>1279.33</x:v>
      </x:c>
      <x:c r="F108" s="6" t="str">
        <x:v>1999-06-30</x:v>
      </x:c>
      <x:c r="G108" s="5" t="n">
        <x:v>1689.43</x:v>
      </x:c>
      <x:c r="H108" s="7" t="n">
        <x:f>G108/E108-1</x:f>
        <x:v>0.3205584172965539</x:v>
      </x:c>
      <x:c r="I108" s="1" t="n">
        <x:v>1</x:v>
      </x:c>
      <x:c r="J108" s="1" t="n">
        <x:v>1</x:v>
      </x:c>
      <x:c r="K108" s="1" t="str">
        <x:v>中证官方优先</x:v>
      </x:c>
    </x:row>
    <x:row r="109" ht="25" customHeight="1">
      <x:c r="A109" s="1" t="str">
        <x:v>sh000001</x:v>
      </x:c>
      <x:c r="B109" s="1" t="str">
        <x:v>上证综指</x:v>
      </x:c>
      <x:c r="C109" s="1" t="str">
        <x:v>1999-07</x:v>
      </x:c>
      <x:c r="D109" s="1" t="str">
        <x:v>1999-06-30</x:v>
      </x:c>
      <x:c r="E109" s="5" t="n">
        <x:v>1689.43</x:v>
      </x:c>
      <x:c r="F109" s="6" t="str">
        <x:v>1999-07-30</x:v>
      </x:c>
      <x:c r="G109" s="5" t="n">
        <x:v>1601.46</x:v>
      </x:c>
      <x:c r="H109" s="7" t="n">
        <x:f>G109/E109-1</x:f>
        <x:v>-0.05207081678435921</x:v>
      </x:c>
      <x:c r="I109" s="1" t="n">
        <x:v>1</x:v>
      </x:c>
      <x:c r="J109" s="1" t="n">
        <x:v>1</x:v>
      </x:c>
      <x:c r="K109" s="1" t="str">
        <x:v>中证官方优先</x:v>
      </x:c>
    </x:row>
    <x:row r="110" ht="25" customHeight="1">
      <x:c r="A110" s="1" t="str">
        <x:v>sh000001</x:v>
      </x:c>
      <x:c r="B110" s="1" t="str">
        <x:v>上证综指</x:v>
      </x:c>
      <x:c r="C110" s="1" t="str">
        <x:v>1999-08</x:v>
      </x:c>
      <x:c r="D110" s="1" t="str">
        <x:v>1999-07-30</x:v>
      </x:c>
      <x:c r="E110" s="5" t="n">
        <x:v>1601.46</x:v>
      </x:c>
      <x:c r="F110" s="6" t="str">
        <x:v>1999-08-31</x:v>
      </x:c>
      <x:c r="G110" s="5" t="n">
        <x:v>1627.12</x:v>
      </x:c>
      <x:c r="H110" s="7" t="n">
        <x:f>G110/E110-1</x:f>
        <x:v>0.016022879122800315</x:v>
      </x:c>
      <x:c r="I110" s="1" t="n">
        <x:v>1</x:v>
      </x:c>
      <x:c r="J110" s="1" t="n">
        <x:v>1</x:v>
      </x:c>
      <x:c r="K110" s="1" t="str">
        <x:v>中证官方优先</x:v>
      </x:c>
    </x:row>
    <x:row r="111" ht="25" customHeight="1">
      <x:c r="A111" s="1" t="str">
        <x:v>sh000001</x:v>
      </x:c>
      <x:c r="B111" s="1" t="str">
        <x:v>上证综指</x:v>
      </x:c>
      <x:c r="C111" s="1" t="str">
        <x:v>1999-09</x:v>
      </x:c>
      <x:c r="D111" s="1" t="str">
        <x:v>1999-08-31</x:v>
      </x:c>
      <x:c r="E111" s="5" t="n">
        <x:v>1627.12</x:v>
      </x:c>
      <x:c r="F111" s="6" t="str">
        <x:v>1999-09-30</x:v>
      </x:c>
      <x:c r="G111" s="5" t="n">
        <x:v>1570.7</x:v>
      </x:c>
      <x:c r="H111" s="7" t="n">
        <x:f>G111/E111-1</x:f>
        <x:v>-0.03467476277103099</x:v>
      </x:c>
      <x:c r="I111" s="1" t="n">
        <x:v>1</x:v>
      </x:c>
      <x:c r="J111" s="1" t="n">
        <x:v>1</x:v>
      </x:c>
      <x:c r="K111" s="1" t="str">
        <x:v>中证官方优先</x:v>
      </x:c>
    </x:row>
    <x:row r="112" ht="25" customHeight="1">
      <x:c r="A112" s="1" t="str">
        <x:v>sh000001</x:v>
      </x:c>
      <x:c r="B112" s="1" t="str">
        <x:v>上证综指</x:v>
      </x:c>
      <x:c r="C112" s="1" t="str">
        <x:v>1999-10</x:v>
      </x:c>
      <x:c r="D112" s="1" t="str">
        <x:v>1999-09-30</x:v>
      </x:c>
      <x:c r="E112" s="5" t="n">
        <x:v>1570.7</x:v>
      </x:c>
      <x:c r="F112" s="6" t="str">
        <x:v>1999-10-29</x:v>
      </x:c>
      <x:c r="G112" s="5" t="n">
        <x:v>1504.56</x:v>
      </x:c>
      <x:c r="H112" s="7" t="n">
        <x:f>G112/E112-1</x:f>
        <x:v>-0.04210861399376076</x:v>
      </x:c>
      <x:c r="I112" s="1" t="n">
        <x:v>1</x:v>
      </x:c>
      <x:c r="J112" s="1" t="n">
        <x:v>1</x:v>
      </x:c>
      <x:c r="K112" s="1" t="str">
        <x:v>中证官方优先</x:v>
      </x:c>
    </x:row>
    <x:row r="113" ht="25" customHeight="1">
      <x:c r="A113" s="1" t="str">
        <x:v>sh000001</x:v>
      </x:c>
      <x:c r="B113" s="1" t="str">
        <x:v>上证综指</x:v>
      </x:c>
      <x:c r="C113" s="1" t="str">
        <x:v>1999-11</x:v>
      </x:c>
      <x:c r="D113" s="1" t="str">
        <x:v>1999-10-29</x:v>
      </x:c>
      <x:c r="E113" s="5" t="n">
        <x:v>1504.56</x:v>
      </x:c>
      <x:c r="F113" s="6" t="str">
        <x:v>1999-11-30</x:v>
      </x:c>
      <x:c r="G113" s="5" t="n">
        <x:v>1434.97</x:v>
      </x:c>
      <x:c r="H113" s="7" t="n">
        <x:f>G113/E113-1</x:f>
        <x:v>-0.04625272504918376</x:v>
      </x:c>
      <x:c r="I113" s="1" t="n">
        <x:v>1</x:v>
      </x:c>
      <x:c r="J113" s="1" t="n">
        <x:v>1</x:v>
      </x:c>
      <x:c r="K113" s="1" t="str">
        <x:v>中证官方优先</x:v>
      </x:c>
    </x:row>
    <x:row r="114" ht="25" customHeight="1">
      <x:c r="A114" s="1" t="str">
        <x:v>sh000001</x:v>
      </x:c>
      <x:c r="B114" s="1" t="str">
        <x:v>上证综指</x:v>
      </x:c>
      <x:c r="C114" s="1" t="str">
        <x:v>1999-12</x:v>
      </x:c>
      <x:c r="D114" s="1" t="str">
        <x:v>1999-11-30</x:v>
      </x:c>
      <x:c r="E114" s="5" t="n">
        <x:v>1434.97</x:v>
      </x:c>
      <x:c r="F114" s="6" t="str">
        <x:v>1999-12-30</x:v>
      </x:c>
      <x:c r="G114" s="5" t="n">
        <x:v>1366.58</x:v>
      </x:c>
      <x:c r="H114" s="7" t="n">
        <x:f>G114/E114-1</x:f>
        <x:v>-0.0476595329519085</x:v>
      </x:c>
      <x:c r="I114" s="1" t="n">
        <x:v>1</x:v>
      </x:c>
      <x:c r="J114" s="1" t="n">
        <x:v>1</x:v>
      </x:c>
      <x:c r="K114" s="1" t="str">
        <x:v>中证官方优先</x:v>
      </x:c>
    </x:row>
    <x:row r="115" ht="25" customHeight="1">
      <x:c r="A115" s="1" t="str">
        <x:v>sh000001</x:v>
      </x:c>
      <x:c r="B115" s="1" t="str">
        <x:v>上证综指</x:v>
      </x:c>
      <x:c r="C115" s="1" t="str">
        <x:v>2000-01</x:v>
      </x:c>
      <x:c r="D115" s="1" t="str">
        <x:v>1999-12-30</x:v>
      </x:c>
      <x:c r="E115" s="5" t="n">
        <x:v>1366.58</x:v>
      </x:c>
      <x:c r="F115" s="6" t="str">
        <x:v>2000-01-28</x:v>
      </x:c>
      <x:c r="G115" s="5" t="n">
        <x:v>1535</x:v>
      </x:c>
      <x:c r="H115" s="7" t="n">
        <x:f>G115/E115-1</x:f>
        <x:v>0.12324196168537527</x:v>
      </x:c>
      <x:c r="I115" s="1" t="n">
        <x:v>1</x:v>
      </x:c>
      <x:c r="J115" s="1" t="n">
        <x:v>1</x:v>
      </x:c>
      <x:c r="K115" s="1" t="str">
        <x:v>中证官方优先</x:v>
      </x:c>
    </x:row>
    <x:row r="116" ht="25" customHeight="1">
      <x:c r="A116" s="1" t="str">
        <x:v>sh000001</x:v>
      </x:c>
      <x:c r="B116" s="1" t="str">
        <x:v>上证综指</x:v>
      </x:c>
      <x:c r="C116" s="1" t="str">
        <x:v>2000-02</x:v>
      </x:c>
      <x:c r="D116" s="1" t="str">
        <x:v>2000-01-28</x:v>
      </x:c>
      <x:c r="E116" s="5" t="n">
        <x:v>1535</x:v>
      </x:c>
      <x:c r="F116" s="6" t="str">
        <x:v>2000-02-29</x:v>
      </x:c>
      <x:c r="G116" s="5" t="n">
        <x:v>1714.58</x:v>
      </x:c>
      <x:c r="H116" s="7" t="n">
        <x:f>G116/E116-1</x:f>
        <x:v>0.11699022801302927</x:v>
      </x:c>
      <x:c r="I116" s="1" t="n">
        <x:v>1</x:v>
      </x:c>
      <x:c r="J116" s="1" t="n">
        <x:v>1</x:v>
      </x:c>
      <x:c r="K116" s="1" t="str">
        <x:v>中证官方优先</x:v>
      </x:c>
    </x:row>
    <x:row r="117" ht="25" customHeight="1">
      <x:c r="A117" s="1" t="str">
        <x:v>sh000001</x:v>
      </x:c>
      <x:c r="B117" s="1" t="str">
        <x:v>上证综指</x:v>
      </x:c>
      <x:c r="C117" s="1" t="str">
        <x:v>2000-03</x:v>
      </x:c>
      <x:c r="D117" s="1" t="str">
        <x:v>2000-02-29</x:v>
      </x:c>
      <x:c r="E117" s="5" t="n">
        <x:v>1714.58</x:v>
      </x:c>
      <x:c r="F117" s="6" t="str">
        <x:v>2000-03-31</x:v>
      </x:c>
      <x:c r="G117" s="5" t="n">
        <x:v>1800.23</x:v>
      </x:c>
      <x:c r="H117" s="7" t="n">
        <x:f>G117/E117-1</x:f>
        <x:v>0.04995392457628123</x:v>
      </x:c>
      <x:c r="I117" s="1" t="n">
        <x:v>1</x:v>
      </x:c>
      <x:c r="J117" s="1" t="n">
        <x:v>1</x:v>
      </x:c>
      <x:c r="K117" s="1" t="str">
        <x:v>中证官方优先</x:v>
      </x:c>
    </x:row>
    <x:row r="118" ht="25" customHeight="1">
      <x:c r="A118" s="1" t="str">
        <x:v>sh000001</x:v>
      </x:c>
      <x:c r="B118" s="1" t="str">
        <x:v>上证综指</x:v>
      </x:c>
      <x:c r="C118" s="1" t="str">
        <x:v>2000-04</x:v>
      </x:c>
      <x:c r="D118" s="1" t="str">
        <x:v>2000-03-31</x:v>
      </x:c>
      <x:c r="E118" s="5" t="n">
        <x:v>1800.23</x:v>
      </x:c>
      <x:c r="F118" s="6" t="str">
        <x:v>2000-04-28</x:v>
      </x:c>
      <x:c r="G118" s="5" t="n">
        <x:v>1836.32</x:v>
      </x:c>
      <x:c r="H118" s="7" t="n">
        <x:f>G118/E118-1</x:f>
        <x:v>0.02004743838287326</x:v>
      </x:c>
      <x:c r="I118" s="1" t="n">
        <x:v>1</x:v>
      </x:c>
      <x:c r="J118" s="1" t="n">
        <x:v>1</x:v>
      </x:c>
      <x:c r="K118" s="1" t="str">
        <x:v>中证官方优先</x:v>
      </x:c>
    </x:row>
    <x:row r="119" ht="25" customHeight="1">
      <x:c r="A119" s="1" t="str">
        <x:v>sh000001</x:v>
      </x:c>
      <x:c r="B119" s="1" t="str">
        <x:v>上证综指</x:v>
      </x:c>
      <x:c r="C119" s="1" t="str">
        <x:v>2000-05</x:v>
      </x:c>
      <x:c r="D119" s="1" t="str">
        <x:v>2000-04-28</x:v>
      </x:c>
      <x:c r="E119" s="5" t="n">
        <x:v>1836.32</x:v>
      </x:c>
      <x:c r="F119" s="6" t="str">
        <x:v>2000-05-31</x:v>
      </x:c>
      <x:c r="G119" s="5" t="n">
        <x:v>1894.55</x:v>
      </x:c>
      <x:c r="H119" s="7" t="n">
        <x:f>G119/E119-1</x:f>
        <x:v>0.03171015944933342</x:v>
      </x:c>
      <x:c r="I119" s="1" t="n">
        <x:v>1</x:v>
      </x:c>
      <x:c r="J119" s="1" t="n">
        <x:v>1</x:v>
      </x:c>
      <x:c r="K119" s="1" t="str">
        <x:v>中证官方优先</x:v>
      </x:c>
    </x:row>
    <x:row r="120" ht="25" customHeight="1">
      <x:c r="A120" s="1" t="str">
        <x:v>sh000001</x:v>
      </x:c>
      <x:c r="B120" s="1" t="str">
        <x:v>上证综指</x:v>
      </x:c>
      <x:c r="C120" s="1" t="str">
        <x:v>2000-06</x:v>
      </x:c>
      <x:c r="D120" s="1" t="str">
        <x:v>2000-05-31</x:v>
      </x:c>
      <x:c r="E120" s="5" t="n">
        <x:v>1894.55</x:v>
      </x:c>
      <x:c r="F120" s="6" t="str">
        <x:v>2000-06-30</x:v>
      </x:c>
      <x:c r="G120" s="5" t="n">
        <x:v>1928.11</x:v>
      </x:c>
      <x:c r="H120" s="7" t="n">
        <x:f>G120/E120-1</x:f>
        <x:v>0.017713969016388997</x:v>
      </x:c>
      <x:c r="I120" s="1" t="n">
        <x:v>1</x:v>
      </x:c>
      <x:c r="J120" s="1" t="n">
        <x:v>1</x:v>
      </x:c>
      <x:c r="K120" s="1" t="str">
        <x:v>中证官方优先</x:v>
      </x:c>
    </x:row>
    <x:row r="121" ht="25" customHeight="1">
      <x:c r="A121" s="1" t="str">
        <x:v>sh000001</x:v>
      </x:c>
      <x:c r="B121" s="1" t="str">
        <x:v>上证综指</x:v>
      </x:c>
      <x:c r="C121" s="1" t="str">
        <x:v>2000-07</x:v>
      </x:c>
      <x:c r="D121" s="1" t="str">
        <x:v>2000-06-30</x:v>
      </x:c>
      <x:c r="E121" s="5" t="n">
        <x:v>1928.11</x:v>
      </x:c>
      <x:c r="F121" s="6" t="str">
        <x:v>2000-07-31</x:v>
      </x:c>
      <x:c r="G121" s="5" t="n">
        <x:v>2023.54</x:v>
      </x:c>
      <x:c r="H121" s="7" t="n">
        <x:f>G121/E121-1</x:f>
        <x:v>0.04949406413534496</x:v>
      </x:c>
      <x:c r="I121" s="1" t="n">
        <x:v>1</x:v>
      </x:c>
      <x:c r="J121" s="1" t="n">
        <x:v>1</x:v>
      </x:c>
      <x:c r="K121" s="1" t="str">
        <x:v>中证官方优先</x:v>
      </x:c>
    </x:row>
    <x:row r="122" ht="25" customHeight="1">
      <x:c r="A122" s="1" t="str">
        <x:v>sh000001</x:v>
      </x:c>
      <x:c r="B122" s="1" t="str">
        <x:v>上证综指</x:v>
      </x:c>
      <x:c r="C122" s="1" t="str">
        <x:v>2000-08</x:v>
      </x:c>
      <x:c r="D122" s="1" t="str">
        <x:v>2000-07-31</x:v>
      </x:c>
      <x:c r="E122" s="5" t="n">
        <x:v>2023.54</x:v>
      </x:c>
      <x:c r="F122" s="6" t="str">
        <x:v>2000-08-31</x:v>
      </x:c>
      <x:c r="G122" s="5" t="n">
        <x:v>2021.2</x:v>
      </x:c>
      <x:c r="H122" s="7" t="n">
        <x:f>G122/E122-1</x:f>
        <x:v>-0.001156389297962912</x:v>
      </x:c>
      <x:c r="I122" s="1" t="n">
        <x:v>1</x:v>
      </x:c>
      <x:c r="J122" s="1" t="n">
        <x:v>1</x:v>
      </x:c>
      <x:c r="K122" s="1" t="str">
        <x:v>中证官方优先</x:v>
      </x:c>
    </x:row>
    <x:row r="123" ht="25" customHeight="1">
      <x:c r="A123" s="1" t="str">
        <x:v>sh000001</x:v>
      </x:c>
      <x:c r="B123" s="1" t="str">
        <x:v>上证综指</x:v>
      </x:c>
      <x:c r="C123" s="1" t="str">
        <x:v>2000-09</x:v>
      </x:c>
      <x:c r="D123" s="1" t="str">
        <x:v>2000-08-31</x:v>
      </x:c>
      <x:c r="E123" s="5" t="n">
        <x:v>2021.2</x:v>
      </x:c>
      <x:c r="F123" s="6" t="str">
        <x:v>2000-09-29</x:v>
      </x:c>
      <x:c r="G123" s="5" t="n">
        <x:v>1910.16</x:v>
      </x:c>
      <x:c r="H123" s="7" t="n">
        <x:f>G123/E123-1</x:f>
        <x:v>-0.054937660795566945</x:v>
      </x:c>
      <x:c r="I123" s="1" t="n">
        <x:v>1</x:v>
      </x:c>
      <x:c r="J123" s="1" t="n">
        <x:v>1</x:v>
      </x:c>
      <x:c r="K123" s="1" t="str">
        <x:v>中证官方优先</x:v>
      </x:c>
    </x:row>
    <x:row r="124" ht="25" customHeight="1">
      <x:c r="A124" s="1" t="str">
        <x:v>sh000001</x:v>
      </x:c>
      <x:c r="B124" s="1" t="str">
        <x:v>上证综指</x:v>
      </x:c>
      <x:c r="C124" s="1" t="str">
        <x:v>2000-10</x:v>
      </x:c>
      <x:c r="D124" s="1" t="str">
        <x:v>2000-09-29</x:v>
      </x:c>
      <x:c r="E124" s="5" t="n">
        <x:v>1910.16</x:v>
      </x:c>
      <x:c r="F124" s="6" t="str">
        <x:v>2000-10-31</x:v>
      </x:c>
      <x:c r="G124" s="5" t="n">
        <x:v>1961.29</x:v>
      </x:c>
      <x:c r="H124" s="7" t="n">
        <x:f>G124/E124-1</x:f>
        <x:v>0.026767391213301517</x:v>
      </x:c>
      <x:c r="I124" s="1" t="n">
        <x:v>1</x:v>
      </x:c>
      <x:c r="J124" s="1" t="n">
        <x:v>1</x:v>
      </x:c>
      <x:c r="K124" s="1" t="str">
        <x:v>中证官方优先</x:v>
      </x:c>
    </x:row>
    <x:row r="125" ht="25" customHeight="1">
      <x:c r="A125" s="1" t="str">
        <x:v>sh000001</x:v>
      </x:c>
      <x:c r="B125" s="1" t="str">
        <x:v>上证综指</x:v>
      </x:c>
      <x:c r="C125" s="1" t="str">
        <x:v>2000-11</x:v>
      </x:c>
      <x:c r="D125" s="1" t="str">
        <x:v>2000-10-31</x:v>
      </x:c>
      <x:c r="E125" s="5" t="n">
        <x:v>1961.29</x:v>
      </x:c>
      <x:c r="F125" s="6" t="str">
        <x:v>2000-11-30</x:v>
      </x:c>
      <x:c r="G125" s="5" t="n">
        <x:v>2070.61</x:v>
      </x:c>
      <x:c r="H125" s="7" t="n">
        <x:f>G125/E125-1</x:f>
        <x:v>0.05573882495704363</x:v>
      </x:c>
      <x:c r="I125" s="1" t="n">
        <x:v>1</x:v>
      </x:c>
      <x:c r="J125" s="1" t="n">
        <x:v>1</x:v>
      </x:c>
      <x:c r="K125" s="1" t="str">
        <x:v>中证官方优先</x:v>
      </x:c>
    </x:row>
    <x:row r="126" ht="25" customHeight="1">
      <x:c r="A126" s="1" t="str">
        <x:v>sh000001</x:v>
      </x:c>
      <x:c r="B126" s="1" t="str">
        <x:v>上证综指</x:v>
      </x:c>
      <x:c r="C126" s="1" t="str">
        <x:v>2000-12</x:v>
      </x:c>
      <x:c r="D126" s="1" t="str">
        <x:v>2000-11-30</x:v>
      </x:c>
      <x:c r="E126" s="5" t="n">
        <x:v>2070.61</x:v>
      </x:c>
      <x:c r="F126" s="6" t="str">
        <x:v>2000-12-29</x:v>
      </x:c>
      <x:c r="G126" s="5" t="n">
        <x:v>2073.48</x:v>
      </x:c>
      <x:c r="H126" s="7" t="n">
        <x:f>G126/E126-1</x:f>
        <x:v>0.0013860649760215615</x:v>
      </x:c>
      <x:c r="I126" s="1" t="n">
        <x:v>1</x:v>
      </x:c>
      <x:c r="J126" s="1" t="n">
        <x:v>1</x:v>
      </x:c>
      <x:c r="K126" s="1" t="str">
        <x:v>中证官方优先</x:v>
      </x:c>
    </x:row>
    <x:row r="127" ht="25" customHeight="1">
      <x:c r="A127" s="1" t="str">
        <x:v>sh000001</x:v>
      </x:c>
      <x:c r="B127" s="1" t="str">
        <x:v>上证综指</x:v>
      </x:c>
      <x:c r="C127" s="1" t="str">
        <x:v>2001-01</x:v>
      </x:c>
      <x:c r="D127" s="1" t="str">
        <x:v>2000-12-29</x:v>
      </x:c>
      <x:c r="E127" s="5" t="n">
        <x:v>2073.48</x:v>
      </x:c>
      <x:c r="F127" s="6" t="str">
        <x:v>2001-01-19</x:v>
      </x:c>
      <x:c r="G127" s="5" t="n">
        <x:v>2065.61</x:v>
      </x:c>
      <x:c r="H127" s="7" t="n">
        <x:f>G127/E127-1</x:f>
        <x:v>-0.0037955514400910273</x:v>
      </x:c>
      <x:c r="I127" s="1" t="n">
        <x:v>1</x:v>
      </x:c>
      <x:c r="J127" s="1" t="n">
        <x:v>1</x:v>
      </x:c>
      <x:c r="K127" s="1" t="str">
        <x:v>中证官方优先</x:v>
      </x:c>
    </x:row>
    <x:row r="128" ht="25" customHeight="1">
      <x:c r="A128" s="1" t="str">
        <x:v>sh000001</x:v>
      </x:c>
      <x:c r="B128" s="1" t="str">
        <x:v>上证综指</x:v>
      </x:c>
      <x:c r="C128" s="1" t="str">
        <x:v>2001-02</x:v>
      </x:c>
      <x:c r="D128" s="1" t="str">
        <x:v>2001-01-19</x:v>
      </x:c>
      <x:c r="E128" s="5" t="n">
        <x:v>2065.61</x:v>
      </x:c>
      <x:c r="F128" s="6" t="str">
        <x:v>2001-02-28</x:v>
      </x:c>
      <x:c r="G128" s="5" t="n">
        <x:v>1959.18</x:v>
      </x:c>
      <x:c r="H128" s="7" t="n">
        <x:f>G128/E128-1</x:f>
        <x:v>-0.051524731193206885</x:v>
      </x:c>
      <x:c r="I128" s="1" t="n">
        <x:v>1</x:v>
      </x:c>
      <x:c r="J128" s="1" t="n">
        <x:v>1</x:v>
      </x:c>
      <x:c r="K128" s="1" t="str">
        <x:v>中证官方优先</x:v>
      </x:c>
    </x:row>
    <x:row r="129" ht="25" customHeight="1">
      <x:c r="A129" s="1" t="str">
        <x:v>sh000001</x:v>
      </x:c>
      <x:c r="B129" s="1" t="str">
        <x:v>上证综指</x:v>
      </x:c>
      <x:c r="C129" s="1" t="str">
        <x:v>2001-03</x:v>
      </x:c>
      <x:c r="D129" s="1" t="str">
        <x:v>2001-02-28</x:v>
      </x:c>
      <x:c r="E129" s="5" t="n">
        <x:v>1959.18</x:v>
      </x:c>
      <x:c r="F129" s="6" t="str">
        <x:v>2001-03-30</x:v>
      </x:c>
      <x:c r="G129" s="5" t="n">
        <x:v>2112.78</x:v>
      </x:c>
      <x:c r="H129" s="7" t="n">
        <x:f>G129/E129-1</x:f>
        <x:v>0.07840014700027576</x:v>
      </x:c>
      <x:c r="I129" s="1" t="n">
        <x:v>1</x:v>
      </x:c>
      <x:c r="J129" s="1" t="n">
        <x:v>1</x:v>
      </x:c>
      <x:c r="K129" s="1" t="str">
        <x:v>中证官方优先</x:v>
      </x:c>
    </x:row>
    <x:row r="130" ht="25" customHeight="1">
      <x:c r="A130" s="1" t="str">
        <x:v>sh000001</x:v>
      </x:c>
      <x:c r="B130" s="1" t="str">
        <x:v>上证综指</x:v>
      </x:c>
      <x:c r="C130" s="1" t="str">
        <x:v>2001-04</x:v>
      </x:c>
      <x:c r="D130" s="1" t="str">
        <x:v>2001-03-30</x:v>
      </x:c>
      <x:c r="E130" s="5" t="n">
        <x:v>2112.78</x:v>
      </x:c>
      <x:c r="F130" s="6" t="str">
        <x:v>2001-04-30</x:v>
      </x:c>
      <x:c r="G130" s="5" t="n">
        <x:v>2119.18</x:v>
      </x:c>
      <x:c r="H130" s="7" t="n">
        <x:f>G130/E130-1</x:f>
        <x:v>0.0030291842974656813</x:v>
      </x:c>
      <x:c r="I130" s="1" t="n">
        <x:v>1</x:v>
      </x:c>
      <x:c r="J130" s="1" t="n">
        <x:v>1</x:v>
      </x:c>
      <x:c r="K130" s="1" t="str">
        <x:v>中证官方优先</x:v>
      </x:c>
    </x:row>
    <x:row r="131" ht="25" customHeight="1">
      <x:c r="A131" s="1" t="str">
        <x:v>sh000001</x:v>
      </x:c>
      <x:c r="B131" s="1" t="str">
        <x:v>上证综指</x:v>
      </x:c>
      <x:c r="C131" s="1" t="str">
        <x:v>2001-05</x:v>
      </x:c>
      <x:c r="D131" s="1" t="str">
        <x:v>2001-04-30</x:v>
      </x:c>
      <x:c r="E131" s="5" t="n">
        <x:v>2119.18</x:v>
      </x:c>
      <x:c r="F131" s="6" t="str">
        <x:v>2001-05-31</x:v>
      </x:c>
      <x:c r="G131" s="5" t="n">
        <x:v>2214.26</x:v>
      </x:c>
      <x:c r="H131" s="7" t="n">
        <x:f>G131/E131-1</x:f>
        <x:v>0.04486641059277674</x:v>
      </x:c>
      <x:c r="I131" s="1" t="n">
        <x:v>1</x:v>
      </x:c>
      <x:c r="J131" s="1" t="n">
        <x:v>1</x:v>
      </x:c>
      <x:c r="K131" s="1" t="str">
        <x:v>中证官方优先</x:v>
      </x:c>
    </x:row>
    <x:row r="132" ht="25" customHeight="1">
      <x:c r="A132" s="1" t="str">
        <x:v>sh000001</x:v>
      </x:c>
      <x:c r="B132" s="1" t="str">
        <x:v>上证综指</x:v>
      </x:c>
      <x:c r="C132" s="1" t="str">
        <x:v>2001-06</x:v>
      </x:c>
      <x:c r="D132" s="1" t="str">
        <x:v>2001-05-31</x:v>
      </x:c>
      <x:c r="E132" s="5" t="n">
        <x:v>2214.26</x:v>
      </x:c>
      <x:c r="F132" s="6" t="str">
        <x:v>2001-06-29</x:v>
      </x:c>
      <x:c r="G132" s="5" t="n">
        <x:v>2218.03</x:v>
      </x:c>
      <x:c r="H132" s="7" t="n">
        <x:f>G132/E132-1</x:f>
        <x:v>0.001702600417295086</x:v>
      </x:c>
      <x:c r="I132" s="1" t="n">
        <x:v>1</x:v>
      </x:c>
      <x:c r="J132" s="1" t="n">
        <x:v>1</x:v>
      </x:c>
      <x:c r="K132" s="1" t="str">
        <x:v>中证官方优先</x:v>
      </x:c>
    </x:row>
    <x:row r="133" ht="25" customHeight="1">
      <x:c r="A133" s="1" t="str">
        <x:v>sh000001</x:v>
      </x:c>
      <x:c r="B133" s="1" t="str">
        <x:v>上证综指</x:v>
      </x:c>
      <x:c r="C133" s="1" t="str">
        <x:v>2001-07</x:v>
      </x:c>
      <x:c r="D133" s="1" t="str">
        <x:v>2001-06-29</x:v>
      </x:c>
      <x:c r="E133" s="5" t="n">
        <x:v>2218.03</x:v>
      </x:c>
      <x:c r="F133" s="6" t="str">
        <x:v>2001-07-31</x:v>
      </x:c>
      <x:c r="G133" s="5" t="n">
        <x:v>1920.32</x:v>
      </x:c>
      <x:c r="H133" s="7" t="n">
        <x:f>G133/E133-1</x:f>
        <x:v>-0.1342227111445743</x:v>
      </x:c>
      <x:c r="I133" s="1" t="n">
        <x:v>1</x:v>
      </x:c>
      <x:c r="J133" s="1" t="n">
        <x:v>1</x:v>
      </x:c>
      <x:c r="K133" s="1" t="str">
        <x:v>中证官方优先</x:v>
      </x:c>
    </x:row>
    <x:row r="134" ht="25" customHeight="1">
      <x:c r="A134" s="1" t="str">
        <x:v>sh000001</x:v>
      </x:c>
      <x:c r="B134" s="1" t="str">
        <x:v>上证综指</x:v>
      </x:c>
      <x:c r="C134" s="1" t="str">
        <x:v>2001-08</x:v>
      </x:c>
      <x:c r="D134" s="1" t="str">
        <x:v>2001-07-31</x:v>
      </x:c>
      <x:c r="E134" s="5" t="n">
        <x:v>1920.32</x:v>
      </x:c>
      <x:c r="F134" s="6" t="str">
        <x:v>2001-08-31</x:v>
      </x:c>
      <x:c r="G134" s="5" t="n">
        <x:v>1834.14</x:v>
      </x:c>
      <x:c r="H134" s="7" t="n">
        <x:f>G134/E134-1</x:f>
        <x:v>-0.04487793701049814</x:v>
      </x:c>
      <x:c r="I134" s="1" t="n">
        <x:v>1</x:v>
      </x:c>
      <x:c r="J134" s="1" t="n">
        <x:v>1</x:v>
      </x:c>
      <x:c r="K134" s="1" t="str">
        <x:v>中证官方优先</x:v>
      </x:c>
    </x:row>
    <x:row r="135" ht="25" customHeight="1">
      <x:c r="A135" s="1" t="str">
        <x:v>sh000001</x:v>
      </x:c>
      <x:c r="B135" s="1" t="str">
        <x:v>上证综指</x:v>
      </x:c>
      <x:c r="C135" s="1" t="str">
        <x:v>2001-09</x:v>
      </x:c>
      <x:c r="D135" s="1" t="str">
        <x:v>2001-08-31</x:v>
      </x:c>
      <x:c r="E135" s="5" t="n">
        <x:v>1834.14</x:v>
      </x:c>
      <x:c r="F135" s="6" t="str">
        <x:v>2001-09-28</x:v>
      </x:c>
      <x:c r="G135" s="5" t="n">
        <x:v>1764.87</x:v>
      </x:c>
      <x:c r="H135" s="7" t="n">
        <x:f>G135/E135-1</x:f>
        <x:v>-0.03776701887533129</x:v>
      </x:c>
      <x:c r="I135" s="1" t="n">
        <x:v>1</x:v>
      </x:c>
      <x:c r="J135" s="1" t="n">
        <x:v>1</x:v>
      </x:c>
      <x:c r="K135" s="1" t="str">
        <x:v>中证官方优先</x:v>
      </x:c>
    </x:row>
    <x:row r="136" ht="25" customHeight="1">
      <x:c r="A136" s="1" t="str">
        <x:v>sh000001</x:v>
      </x:c>
      <x:c r="B136" s="1" t="str">
        <x:v>上证综指</x:v>
      </x:c>
      <x:c r="C136" s="1" t="str">
        <x:v>2001-10</x:v>
      </x:c>
      <x:c r="D136" s="1" t="str">
        <x:v>2001-09-28</x:v>
      </x:c>
      <x:c r="E136" s="5" t="n">
        <x:v>1764.87</x:v>
      </x:c>
      <x:c r="F136" s="6" t="str">
        <x:v>2001-10-31</x:v>
      </x:c>
      <x:c r="G136" s="5" t="n">
        <x:v>1689.17</x:v>
      </x:c>
      <x:c r="H136" s="7" t="n">
        <x:f>G136/E136-1</x:f>
        <x:v>-0.04289267764764537</x:v>
      </x:c>
      <x:c r="I136" s="1" t="n">
        <x:v>1</x:v>
      </x:c>
      <x:c r="J136" s="1" t="n">
        <x:v>1</x:v>
      </x:c>
      <x:c r="K136" s="1" t="str">
        <x:v>中证官方优先</x:v>
      </x:c>
    </x:row>
    <x:row r="137" ht="25" customHeight="1">
      <x:c r="A137" s="1" t="str">
        <x:v>sh000001</x:v>
      </x:c>
      <x:c r="B137" s="1" t="str">
        <x:v>上证综指</x:v>
      </x:c>
      <x:c r="C137" s="1" t="str">
        <x:v>2001-11</x:v>
      </x:c>
      <x:c r="D137" s="1" t="str">
        <x:v>2001-10-31</x:v>
      </x:c>
      <x:c r="E137" s="5" t="n">
        <x:v>1689.17</x:v>
      </x:c>
      <x:c r="F137" s="6" t="str">
        <x:v>2001-11-30</x:v>
      </x:c>
      <x:c r="G137" s="5" t="n">
        <x:v>1747.99</x:v>
      </x:c>
      <x:c r="H137" s="7" t="n">
        <x:f>G137/E137-1</x:f>
        <x:v>0.03482183557605212</x:v>
      </x:c>
      <x:c r="I137" s="1" t="n">
        <x:v>1</x:v>
      </x:c>
      <x:c r="J137" s="1" t="n">
        <x:v>1</x:v>
      </x:c>
      <x:c r="K137" s="1" t="str">
        <x:v>中证官方优先</x:v>
      </x:c>
    </x:row>
    <x:row r="138" ht="25" customHeight="1">
      <x:c r="A138" s="1" t="str">
        <x:v>sh000001</x:v>
      </x:c>
      <x:c r="B138" s="1" t="str">
        <x:v>上证综指</x:v>
      </x:c>
      <x:c r="C138" s="1" t="str">
        <x:v>2001-12</x:v>
      </x:c>
      <x:c r="D138" s="1" t="str">
        <x:v>2001-11-30</x:v>
      </x:c>
      <x:c r="E138" s="5" t="n">
        <x:v>1747.99</x:v>
      </x:c>
      <x:c r="F138" s="6" t="str">
        <x:v>2001-12-31</x:v>
      </x:c>
      <x:c r="G138" s="5" t="n">
        <x:v>1645.97</x:v>
      </x:c>
      <x:c r="H138" s="7" t="n">
        <x:f>G138/E138-1</x:f>
        <x:v>-0.058364178284772805</x:v>
      </x:c>
      <x:c r="I138" s="1" t="n">
        <x:v>1</x:v>
      </x:c>
      <x:c r="J138" s="1" t="n">
        <x:v>1</x:v>
      </x:c>
      <x:c r="K138" s="1" t="str">
        <x:v>中证官方优先</x:v>
      </x:c>
    </x:row>
    <x:row r="139" ht="25" customHeight="1">
      <x:c r="A139" s="1" t="str">
        <x:v>sh000001</x:v>
      </x:c>
      <x:c r="B139" s="1" t="str">
        <x:v>上证综指</x:v>
      </x:c>
      <x:c r="C139" s="1" t="str">
        <x:v>2002-01</x:v>
      </x:c>
      <x:c r="D139" s="1" t="str">
        <x:v>2001-12-31</x:v>
      </x:c>
      <x:c r="E139" s="5" t="n">
        <x:v>1645.97</x:v>
      </x:c>
      <x:c r="F139" s="6" t="str">
        <x:v>2002-01-31</x:v>
      </x:c>
      <x:c r="G139" s="5" t="n">
        <x:v>1491.67</x:v>
      </x:c>
      <x:c r="H139" s="7" t="n">
        <x:f>G139/E139-1</x:f>
        <x:v>-0.09374411441277786</x:v>
      </x:c>
      <x:c r="I139" s="1" t="n">
        <x:v>1</x:v>
      </x:c>
      <x:c r="J139" s="1" t="n">
        <x:v>1</x:v>
      </x:c>
      <x:c r="K139" s="1" t="str">
        <x:v>中证官方优先</x:v>
      </x:c>
    </x:row>
    <x:row r="140" ht="25" customHeight="1">
      <x:c r="A140" s="1" t="str">
        <x:v>sh000001</x:v>
      </x:c>
      <x:c r="B140" s="1" t="str">
        <x:v>上证综指</x:v>
      </x:c>
      <x:c r="C140" s="1" t="str">
        <x:v>2002-02</x:v>
      </x:c>
      <x:c r="D140" s="1" t="str">
        <x:v>2002-01-31</x:v>
      </x:c>
      <x:c r="E140" s="5" t="n">
        <x:v>1491.67</x:v>
      </x:c>
      <x:c r="F140" s="6" t="str">
        <x:v>2002-02-28</x:v>
      </x:c>
      <x:c r="G140" s="5" t="n">
        <x:v>1524.7</x:v>
      </x:c>
      <x:c r="H140" s="7" t="n">
        <x:f>G140/E140-1</x:f>
        <x:v>0.022142967278285353</x:v>
      </x:c>
      <x:c r="I140" s="1" t="n">
        <x:v>1</x:v>
      </x:c>
      <x:c r="J140" s="1" t="n">
        <x:v>1</x:v>
      </x:c>
      <x:c r="K140" s="1" t="str">
        <x:v>中证官方优先</x:v>
      </x:c>
    </x:row>
    <x:row r="141" ht="25" customHeight="1">
      <x:c r="A141" s="1" t="str">
        <x:v>sh000001</x:v>
      </x:c>
      <x:c r="B141" s="1" t="str">
        <x:v>上证综指</x:v>
      </x:c>
      <x:c r="C141" s="1" t="str">
        <x:v>2002-03</x:v>
      </x:c>
      <x:c r="D141" s="1" t="str">
        <x:v>2002-02-28</x:v>
      </x:c>
      <x:c r="E141" s="5" t="n">
        <x:v>1524.7</x:v>
      </x:c>
      <x:c r="F141" s="6" t="str">
        <x:v>2002-03-29</x:v>
      </x:c>
      <x:c r="G141" s="5" t="n">
        <x:v>1603.91</x:v>
      </x:c>
      <x:c r="H141" s="7" t="n">
        <x:f>G141/E141-1</x:f>
        <x:v>0.05195120351544569</x:v>
      </x:c>
      <x:c r="I141" s="1" t="n">
        <x:v>1</x:v>
      </x:c>
      <x:c r="J141" s="1" t="n">
        <x:v>1</x:v>
      </x:c>
      <x:c r="K141" s="1" t="str">
        <x:v>中证官方优先</x:v>
      </x:c>
    </x:row>
    <x:row r="142" ht="25" customHeight="1">
      <x:c r="A142" s="1" t="str">
        <x:v>sh000001</x:v>
      </x:c>
      <x:c r="B142" s="1" t="str">
        <x:v>上证综指</x:v>
      </x:c>
      <x:c r="C142" s="1" t="str">
        <x:v>2002-04</x:v>
      </x:c>
      <x:c r="D142" s="1" t="str">
        <x:v>2002-03-29</x:v>
      </x:c>
      <x:c r="E142" s="5" t="n">
        <x:v>1603.91</x:v>
      </x:c>
      <x:c r="F142" s="6" t="str">
        <x:v>2002-04-30</x:v>
      </x:c>
      <x:c r="G142" s="5" t="n">
        <x:v>1667.75</x:v>
      </x:c>
      <x:c r="H142" s="7" t="n">
        <x:f>G142/E142-1</x:f>
        <x:v>0.03980273207349527</x:v>
      </x:c>
      <x:c r="I142" s="1" t="n">
        <x:v>1</x:v>
      </x:c>
      <x:c r="J142" s="1" t="n">
        <x:v>1</x:v>
      </x:c>
      <x:c r="K142" s="1" t="str">
        <x:v>中证官方优先</x:v>
      </x:c>
    </x:row>
    <x:row r="143" ht="25" customHeight="1">
      <x:c r="A143" s="1" t="str">
        <x:v>sh000001</x:v>
      </x:c>
      <x:c r="B143" s="1" t="str">
        <x:v>上证综指</x:v>
      </x:c>
      <x:c r="C143" s="1" t="str">
        <x:v>2002-05</x:v>
      </x:c>
      <x:c r="D143" s="1" t="str">
        <x:v>2002-04-30</x:v>
      </x:c>
      <x:c r="E143" s="5" t="n">
        <x:v>1667.75</x:v>
      </x:c>
      <x:c r="F143" s="6" t="str">
        <x:v>2002-05-31</x:v>
      </x:c>
      <x:c r="G143" s="5" t="n">
        <x:v>1515.73</x:v>
      </x:c>
      <x:c r="H143" s="7" t="n">
        <x:f>G143/E143-1</x:f>
        <x:v>-0.09115275071203721</x:v>
      </x:c>
      <x:c r="I143" s="1" t="n">
        <x:v>1</x:v>
      </x:c>
      <x:c r="J143" s="1" t="n">
        <x:v>1</x:v>
      </x:c>
      <x:c r="K143" s="1" t="str">
        <x:v>中证官方优先</x:v>
      </x:c>
    </x:row>
    <x:row r="144" ht="25" customHeight="1">
      <x:c r="A144" s="1" t="str">
        <x:v>sh000001</x:v>
      </x:c>
      <x:c r="B144" s="1" t="str">
        <x:v>上证综指</x:v>
      </x:c>
      <x:c r="C144" s="1" t="str">
        <x:v>2002-06</x:v>
      </x:c>
      <x:c r="D144" s="1" t="str">
        <x:v>2002-05-31</x:v>
      </x:c>
      <x:c r="E144" s="5" t="n">
        <x:v>1515.73</x:v>
      </x:c>
      <x:c r="F144" s="6" t="str">
        <x:v>2002-06-28</x:v>
      </x:c>
      <x:c r="G144" s="5" t="n">
        <x:v>1732.76</x:v>
      </x:c>
      <x:c r="H144" s="7" t="n">
        <x:f>G144/E144-1</x:f>
        <x:v>0.14318513191663418</x:v>
      </x:c>
      <x:c r="I144" s="1" t="n">
        <x:v>1</x:v>
      </x:c>
      <x:c r="J144" s="1" t="n">
        <x:v>1</x:v>
      </x:c>
      <x:c r="K144" s="1" t="str">
        <x:v>中证官方优先</x:v>
      </x:c>
    </x:row>
    <x:row r="145" ht="25" customHeight="1">
      <x:c r="A145" s="1" t="str">
        <x:v>sh000001</x:v>
      </x:c>
      <x:c r="B145" s="1" t="str">
        <x:v>上证综指</x:v>
      </x:c>
      <x:c r="C145" s="1" t="str">
        <x:v>2002-07</x:v>
      </x:c>
      <x:c r="D145" s="1" t="str">
        <x:v>2002-06-28</x:v>
      </x:c>
      <x:c r="E145" s="5" t="n">
        <x:v>1732.76</x:v>
      </x:c>
      <x:c r="F145" s="6" t="str">
        <x:v>2002-07-31</x:v>
      </x:c>
      <x:c r="G145" s="5" t="n">
        <x:v>1651.59</x:v>
      </x:c>
      <x:c r="H145" s="7" t="n">
        <x:f>G145/E145-1</x:f>
        <x:v>-0.04684434082042521</x:v>
      </x:c>
      <x:c r="I145" s="1" t="n">
        <x:v>1</x:v>
      </x:c>
      <x:c r="J145" s="1" t="n">
        <x:v>1</x:v>
      </x:c>
      <x:c r="K145" s="1" t="str">
        <x:v>中证官方优先</x:v>
      </x:c>
    </x:row>
    <x:row r="146" ht="25" customHeight="1">
      <x:c r="A146" s="1" t="str">
        <x:v>sh000001</x:v>
      </x:c>
      <x:c r="B146" s="1" t="str">
        <x:v>上证综指</x:v>
      </x:c>
      <x:c r="C146" s="1" t="str">
        <x:v>2002-08</x:v>
      </x:c>
      <x:c r="D146" s="1" t="str">
        <x:v>2002-07-31</x:v>
      </x:c>
      <x:c r="E146" s="5" t="n">
        <x:v>1651.59</x:v>
      </x:c>
      <x:c r="F146" s="6" t="str">
        <x:v>2002-08-30</x:v>
      </x:c>
      <x:c r="G146" s="5" t="n">
        <x:v>1666.62</x:v>
      </x:c>
      <x:c r="H146" s="7" t="n">
        <x:f>G146/E146-1</x:f>
        <x:v>0.009100321508364706</x:v>
      </x:c>
      <x:c r="I146" s="1" t="n">
        <x:v>1</x:v>
      </x:c>
      <x:c r="J146" s="1" t="n">
        <x:v>1</x:v>
      </x:c>
      <x:c r="K146" s="1" t="str">
        <x:v>中证官方优先</x:v>
      </x:c>
    </x:row>
    <x:row r="147" ht="25" customHeight="1">
      <x:c r="A147" s="1" t="str">
        <x:v>sh000001</x:v>
      </x:c>
      <x:c r="B147" s="1" t="str">
        <x:v>上证综指</x:v>
      </x:c>
      <x:c r="C147" s="1" t="str">
        <x:v>2002-09</x:v>
      </x:c>
      <x:c r="D147" s="1" t="str">
        <x:v>2002-08-30</x:v>
      </x:c>
      <x:c r="E147" s="5" t="n">
        <x:v>1666.62</x:v>
      </x:c>
      <x:c r="F147" s="6" t="str">
        <x:v>2002-09-27</x:v>
      </x:c>
      <x:c r="G147" s="5" t="n">
        <x:v>1581.62</x:v>
      </x:c>
      <x:c r="H147" s="7" t="n">
        <x:f>G147/E147-1</x:f>
        <x:v>-0.051001428039985086</x:v>
      </x:c>
      <x:c r="I147" s="1" t="n">
        <x:v>1</x:v>
      </x:c>
      <x:c r="J147" s="1" t="n">
        <x:v>1</x:v>
      </x:c>
      <x:c r="K147" s="1" t="str">
        <x:v>中证官方优先</x:v>
      </x:c>
    </x:row>
    <x:row r="148" ht="25" customHeight="1">
      <x:c r="A148" s="1" t="str">
        <x:v>sh000001</x:v>
      </x:c>
      <x:c r="B148" s="1" t="str">
        <x:v>上证综指</x:v>
      </x:c>
      <x:c r="C148" s="1" t="str">
        <x:v>2002-10</x:v>
      </x:c>
      <x:c r="D148" s="1" t="str">
        <x:v>2002-09-27</x:v>
      </x:c>
      <x:c r="E148" s="5" t="n">
        <x:v>1581.62</x:v>
      </x:c>
      <x:c r="F148" s="6" t="str">
        <x:v>2002-10-31</x:v>
      </x:c>
      <x:c r="G148" s="5" t="n">
        <x:v>1507.5</x:v>
      </x:c>
      <x:c r="H148" s="7" t="n">
        <x:f>G148/E148-1</x:f>
        <x:v>-0.04686334264867664</x:v>
      </x:c>
      <x:c r="I148" s="1" t="n">
        <x:v>1</x:v>
      </x:c>
      <x:c r="J148" s="1" t="n">
        <x:v>1</x:v>
      </x:c>
      <x:c r="K148" s="1" t="str">
        <x:v>中证官方优先</x:v>
      </x:c>
    </x:row>
    <x:row r="149" ht="25" customHeight="1">
      <x:c r="A149" s="1" t="str">
        <x:v>sh000001</x:v>
      </x:c>
      <x:c r="B149" s="1" t="str">
        <x:v>上证综指</x:v>
      </x:c>
      <x:c r="C149" s="1" t="str">
        <x:v>2002-11</x:v>
      </x:c>
      <x:c r="D149" s="1" t="str">
        <x:v>2002-10-31</x:v>
      </x:c>
      <x:c r="E149" s="5" t="n">
        <x:v>1507.5</x:v>
      </x:c>
      <x:c r="F149" s="6" t="str">
        <x:v>2002-11-29</x:v>
      </x:c>
      <x:c r="G149" s="5" t="n">
        <x:v>1434.18</x:v>
      </x:c>
      <x:c r="H149" s="7" t="n">
        <x:f>G149/E149-1</x:f>
        <x:v>-0.048636815920397924</x:v>
      </x:c>
      <x:c r="I149" s="1" t="n">
        <x:v>1</x:v>
      </x:c>
      <x:c r="J149" s="1" t="n">
        <x:v>1</x:v>
      </x:c>
      <x:c r="K149" s="1" t="str">
        <x:v>中证官方优先</x:v>
      </x:c>
    </x:row>
    <x:row r="150" ht="25" customHeight="1">
      <x:c r="A150" s="1" t="str">
        <x:v>sh000001</x:v>
      </x:c>
      <x:c r="B150" s="1" t="str">
        <x:v>上证综指</x:v>
      </x:c>
      <x:c r="C150" s="1" t="str">
        <x:v>2002-12</x:v>
      </x:c>
      <x:c r="D150" s="1" t="str">
        <x:v>2002-11-29</x:v>
      </x:c>
      <x:c r="E150" s="5" t="n">
        <x:v>1434.18</x:v>
      </x:c>
      <x:c r="F150" s="6" t="str">
        <x:v>2002-12-31</x:v>
      </x:c>
      <x:c r="G150" s="5" t="n">
        <x:v>1357.65</x:v>
      </x:c>
      <x:c r="H150" s="7" t="n">
        <x:f>G150/E150-1</x:f>
        <x:v>-0.05336150274024176</x:v>
      </x:c>
      <x:c r="I150" s="1" t="n">
        <x:v>1</x:v>
      </x:c>
      <x:c r="J150" s="1" t="n">
        <x:v>1</x:v>
      </x:c>
      <x:c r="K150" s="1" t="str">
        <x:v>中证官方优先</x:v>
      </x:c>
    </x:row>
    <x:row r="151" ht="25" customHeight="1">
      <x:c r="A151" s="1" t="str">
        <x:v>sh000001</x:v>
      </x:c>
      <x:c r="B151" s="1" t="str">
        <x:v>上证综指</x:v>
      </x:c>
      <x:c r="C151" s="1" t="str">
        <x:v>2003-01</x:v>
      </x:c>
      <x:c r="D151" s="1" t="str">
        <x:v>2002-12-31</x:v>
      </x:c>
      <x:c r="E151" s="5" t="n">
        <x:v>1357.65</x:v>
      </x:c>
      <x:c r="F151" s="6" t="str">
        <x:v>2003-01-29</x:v>
      </x:c>
      <x:c r="G151" s="5" t="n">
        <x:v>1499.82</x:v>
      </x:c>
      <x:c r="H151" s="7" t="n">
        <x:f>G151/E151-1</x:f>
        <x:v>0.10471771075019332</x:v>
      </x:c>
      <x:c r="I151" s="1" t="n">
        <x:v>1</x:v>
      </x:c>
      <x:c r="J151" s="1" t="n">
        <x:v>1</x:v>
      </x:c>
      <x:c r="K151" s="1" t="str">
        <x:v>中证官方优先</x:v>
      </x:c>
    </x:row>
    <x:row r="152" ht="25" customHeight="1">
      <x:c r="A152" s="1" t="str">
        <x:v>sh000001</x:v>
      </x:c>
      <x:c r="B152" s="1" t="str">
        <x:v>上证综指</x:v>
      </x:c>
      <x:c r="C152" s="1" t="str">
        <x:v>2003-02</x:v>
      </x:c>
      <x:c r="D152" s="1" t="str">
        <x:v>2003-01-29</x:v>
      </x:c>
      <x:c r="E152" s="5" t="n">
        <x:v>1499.82</x:v>
      </x:c>
      <x:c r="F152" s="6" t="str">
        <x:v>2003-02-28</x:v>
      </x:c>
      <x:c r="G152" s="5" t="n">
        <x:v>1511.93</x:v>
      </x:c>
      <x:c r="H152" s="7" t="n">
        <x:f>G152/E152-1</x:f>
        <x:v>0.00807430224960326</x:v>
      </x:c>
      <x:c r="I152" s="1" t="n">
        <x:v>1</x:v>
      </x:c>
      <x:c r="J152" s="1" t="n">
        <x:v>1</x:v>
      </x:c>
      <x:c r="K152" s="1" t="str">
        <x:v>中证官方优先</x:v>
      </x:c>
    </x:row>
    <x:row r="153" ht="25" customHeight="1">
      <x:c r="A153" s="1" t="str">
        <x:v>sh000001</x:v>
      </x:c>
      <x:c r="B153" s="1" t="str">
        <x:v>上证综指</x:v>
      </x:c>
      <x:c r="C153" s="1" t="str">
        <x:v>2003-03</x:v>
      </x:c>
      <x:c r="D153" s="1" t="str">
        <x:v>2003-02-28</x:v>
      </x:c>
      <x:c r="E153" s="5" t="n">
        <x:v>1511.93</x:v>
      </x:c>
      <x:c r="F153" s="6" t="str">
        <x:v>2003-03-31</x:v>
      </x:c>
      <x:c r="G153" s="5" t="n">
        <x:v>1510.58</x:v>
      </x:c>
      <x:c r="H153" s="7" t="n">
        <x:f>G153/E153-1</x:f>
        <x:v>-0.0008928984807499152</x:v>
      </x:c>
      <x:c r="I153" s="1" t="n">
        <x:v>1</x:v>
      </x:c>
      <x:c r="J153" s="1" t="n">
        <x:v>1</x:v>
      </x:c>
      <x:c r="K153" s="1" t="str">
        <x:v>中证官方优先</x:v>
      </x:c>
    </x:row>
    <x:row r="154" ht="25" customHeight="1">
      <x:c r="A154" s="1" t="str">
        <x:v>sh000001</x:v>
      </x:c>
      <x:c r="B154" s="1" t="str">
        <x:v>上证综指</x:v>
      </x:c>
      <x:c r="C154" s="1" t="str">
        <x:v>2003-04</x:v>
      </x:c>
      <x:c r="D154" s="1" t="str">
        <x:v>2003-03-31</x:v>
      </x:c>
      <x:c r="E154" s="5" t="n">
        <x:v>1510.58</x:v>
      </x:c>
      <x:c r="F154" s="6" t="str">
        <x:v>2003-04-30</x:v>
      </x:c>
      <x:c r="G154" s="5" t="n">
        <x:v>1521.44</x:v>
      </x:c>
      <x:c r="H154" s="7" t="n">
        <x:f>G154/E154-1</x:f>
        <x:v>0.007189291530405706</x:v>
      </x:c>
      <x:c r="I154" s="1" t="n">
        <x:v>1</x:v>
      </x:c>
      <x:c r="J154" s="1" t="n">
        <x:v>1</x:v>
      </x:c>
      <x:c r="K154" s="1" t="str">
        <x:v>中证官方优先</x:v>
      </x:c>
    </x:row>
    <x:row r="155" ht="25" customHeight="1">
      <x:c r="A155" s="1" t="str">
        <x:v>sh000001</x:v>
      </x:c>
      <x:c r="B155" s="1" t="str">
        <x:v>上证综指</x:v>
      </x:c>
      <x:c r="C155" s="1" t="str">
        <x:v>2003-05</x:v>
      </x:c>
      <x:c r="D155" s="1" t="str">
        <x:v>2003-04-30</x:v>
      </x:c>
      <x:c r="E155" s="5" t="n">
        <x:v>1521.44</x:v>
      </x:c>
      <x:c r="F155" s="6" t="str">
        <x:v>2003-05-30</x:v>
      </x:c>
      <x:c r="G155" s="5" t="n">
        <x:v>1576.26</x:v>
      </x:c>
      <x:c r="H155" s="7" t="n">
        <x:f>G155/E155-1</x:f>
        <x:v>0.03603165422231558</x:v>
      </x:c>
      <x:c r="I155" s="1" t="n">
        <x:v>1</x:v>
      </x:c>
      <x:c r="J155" s="1" t="n">
        <x:v>1</x:v>
      </x:c>
      <x:c r="K155" s="1" t="str">
        <x:v>中证官方优先</x:v>
      </x:c>
    </x:row>
    <x:row r="156" ht="25" customHeight="1">
      <x:c r="A156" s="1" t="str">
        <x:v>sh000001</x:v>
      </x:c>
      <x:c r="B156" s="1" t="str">
        <x:v>上证综指</x:v>
      </x:c>
      <x:c r="C156" s="1" t="str">
        <x:v>2003-06</x:v>
      </x:c>
      <x:c r="D156" s="1" t="str">
        <x:v>2003-05-30</x:v>
      </x:c>
      <x:c r="E156" s="5" t="n">
        <x:v>1576.26</x:v>
      </x:c>
      <x:c r="F156" s="6" t="str">
        <x:v>2003-06-30</x:v>
      </x:c>
      <x:c r="G156" s="5" t="n">
        <x:v>1486.02</x:v>
      </x:c>
      <x:c r="H156" s="7" t="n">
        <x:f>G156/E156-1</x:f>
        <x:v>-0.057249438544402564</x:v>
      </x:c>
      <x:c r="I156" s="1" t="n">
        <x:v>1</x:v>
      </x:c>
      <x:c r="J156" s="1" t="n">
        <x:v>1</x:v>
      </x:c>
      <x:c r="K156" s="1" t="str">
        <x:v>中证官方优先</x:v>
      </x:c>
    </x:row>
    <x:row r="157" ht="25" customHeight="1">
      <x:c r="A157" s="1" t="str">
        <x:v>sh000001</x:v>
      </x:c>
      <x:c r="B157" s="1" t="str">
        <x:v>上证综指</x:v>
      </x:c>
      <x:c r="C157" s="1" t="str">
        <x:v>2003-07</x:v>
      </x:c>
      <x:c r="D157" s="1" t="str">
        <x:v>2003-06-30</x:v>
      </x:c>
      <x:c r="E157" s="5" t="n">
        <x:v>1486.02</x:v>
      </x:c>
      <x:c r="F157" s="6" t="str">
        <x:v>2003-07-31</x:v>
      </x:c>
      <x:c r="G157" s="5" t="n">
        <x:v>1476.74</x:v>
      </x:c>
      <x:c r="H157" s="7" t="n">
        <x:f>G157/E157-1</x:f>
        <x:v>-0.006244868844295537</x:v>
      </x:c>
      <x:c r="I157" s="1" t="n">
        <x:v>1</x:v>
      </x:c>
      <x:c r="J157" s="1" t="n">
        <x:v>1</x:v>
      </x:c>
      <x:c r="K157" s="1" t="str">
        <x:v>中证官方优先</x:v>
      </x:c>
    </x:row>
    <x:row r="158" ht="25" customHeight="1">
      <x:c r="A158" s="1" t="str">
        <x:v>sh000001</x:v>
      </x:c>
      <x:c r="B158" s="1" t="str">
        <x:v>上证综指</x:v>
      </x:c>
      <x:c r="C158" s="1" t="str">
        <x:v>2003-08</x:v>
      </x:c>
      <x:c r="D158" s="1" t="str">
        <x:v>2003-07-31</x:v>
      </x:c>
      <x:c r="E158" s="5" t="n">
        <x:v>1476.74</x:v>
      </x:c>
      <x:c r="F158" s="6" t="str">
        <x:v>2003-08-29</x:v>
      </x:c>
      <x:c r="G158" s="5" t="n">
        <x:v>1421.98</x:v>
      </x:c>
      <x:c r="H158" s="7" t="n">
        <x:f>G158/E158-1</x:f>
        <x:v>-0.03708167991657296</x:v>
      </x:c>
      <x:c r="I158" s="1" t="n">
        <x:v>1</x:v>
      </x:c>
      <x:c r="J158" s="1" t="n">
        <x:v>1</x:v>
      </x:c>
      <x:c r="K158" s="1" t="str">
        <x:v>中证官方优先</x:v>
      </x:c>
    </x:row>
    <x:row r="159" ht="25" customHeight="1">
      <x:c r="A159" s="1" t="str">
        <x:v>sh000001</x:v>
      </x:c>
      <x:c r="B159" s="1" t="str">
        <x:v>上证综指</x:v>
      </x:c>
      <x:c r="C159" s="1" t="str">
        <x:v>2003-09</x:v>
      </x:c>
      <x:c r="D159" s="1" t="str">
        <x:v>2003-08-29</x:v>
      </x:c>
      <x:c r="E159" s="5" t="n">
        <x:v>1421.98</x:v>
      </x:c>
      <x:c r="F159" s="6" t="str">
        <x:v>2003-09-30</x:v>
      </x:c>
      <x:c r="G159" s="5" t="n">
        <x:v>1367.16</x:v>
      </x:c>
      <x:c r="H159" s="7" t="n">
        <x:f>G159/E159-1</x:f>
        <x:v>-0.03855187836678431</x:v>
      </x:c>
      <x:c r="I159" s="1" t="n">
        <x:v>1</x:v>
      </x:c>
      <x:c r="J159" s="1" t="n">
        <x:v>1</x:v>
      </x:c>
      <x:c r="K159" s="1" t="str">
        <x:v>中证官方优先</x:v>
      </x:c>
    </x:row>
    <x:row r="160" ht="25" customHeight="1">
      <x:c r="A160" s="1" t="str">
        <x:v>sh000001</x:v>
      </x:c>
      <x:c r="B160" s="1" t="str">
        <x:v>上证综指</x:v>
      </x:c>
      <x:c r="C160" s="1" t="str">
        <x:v>2003-10</x:v>
      </x:c>
      <x:c r="D160" s="1" t="str">
        <x:v>2003-09-30</x:v>
      </x:c>
      <x:c r="E160" s="5" t="n">
        <x:v>1367.16</x:v>
      </x:c>
      <x:c r="F160" s="6" t="str">
        <x:v>2003-10-31</x:v>
      </x:c>
      <x:c r="G160" s="5" t="n">
        <x:v>1348.3</x:v>
      </x:c>
      <x:c r="H160" s="7" t="n">
        <x:f>G160/E160-1</x:f>
        <x:v>-0.013795020334123387</x:v>
      </x:c>
      <x:c r="I160" s="1" t="n">
        <x:v>1</x:v>
      </x:c>
      <x:c r="J160" s="1" t="n">
        <x:v>1</x:v>
      </x:c>
      <x:c r="K160" s="1" t="str">
        <x:v>中证官方优先</x:v>
      </x:c>
    </x:row>
    <x:row r="161" ht="25" customHeight="1">
      <x:c r="A161" s="1" t="str">
        <x:v>sh000001</x:v>
      </x:c>
      <x:c r="B161" s="1" t="str">
        <x:v>上证综指</x:v>
      </x:c>
      <x:c r="C161" s="1" t="str">
        <x:v>2003-11</x:v>
      </x:c>
      <x:c r="D161" s="1" t="str">
        <x:v>2003-10-31</x:v>
      </x:c>
      <x:c r="E161" s="5" t="n">
        <x:v>1348.3</x:v>
      </x:c>
      <x:c r="F161" s="6" t="str">
        <x:v>2003-11-28</x:v>
      </x:c>
      <x:c r="G161" s="5" t="n">
        <x:v>1397.23</x:v>
      </x:c>
      <x:c r="H161" s="7" t="n">
        <x:f>G161/E161-1</x:f>
        <x:v>0.036290143143217435</x:v>
      </x:c>
      <x:c r="I161" s="1" t="n">
        <x:v>1</x:v>
      </x:c>
      <x:c r="J161" s="1" t="n">
        <x:v>1</x:v>
      </x:c>
      <x:c r="K161" s="1" t="str">
        <x:v>中证官方优先</x:v>
      </x:c>
    </x:row>
    <x:row r="162" ht="25" customHeight="1">
      <x:c r="A162" s="1" t="str">
        <x:v>sh000001</x:v>
      </x:c>
      <x:c r="B162" s="1" t="str">
        <x:v>上证综指</x:v>
      </x:c>
      <x:c r="C162" s="1" t="str">
        <x:v>2003-12</x:v>
      </x:c>
      <x:c r="D162" s="1" t="str">
        <x:v>2003-11-28</x:v>
      </x:c>
      <x:c r="E162" s="5" t="n">
        <x:v>1397.23</x:v>
      </x:c>
      <x:c r="F162" s="6" t="str">
        <x:v>2003-12-31</x:v>
      </x:c>
      <x:c r="G162" s="5" t="n">
        <x:v>1497.04</x:v>
      </x:c>
      <x:c r="H162" s="7" t="n">
        <x:f>G162/E162-1</x:f>
        <x:v>0.0714341947997108</x:v>
      </x:c>
      <x:c r="I162" s="1" t="n">
        <x:v>1</x:v>
      </x:c>
      <x:c r="J162" s="1" t="n">
        <x:v>1</x:v>
      </x:c>
      <x:c r="K162" s="1" t="str">
        <x:v>中证官方优先</x:v>
      </x:c>
    </x:row>
    <x:row r="163" ht="25" customHeight="1">
      <x:c r="A163" s="1" t="str">
        <x:v>sh000001</x:v>
      </x:c>
      <x:c r="B163" s="1" t="str">
        <x:v>上证综指</x:v>
      </x:c>
      <x:c r="C163" s="1" t="str">
        <x:v>2004-01</x:v>
      </x:c>
      <x:c r="D163" s="1" t="str">
        <x:v>2003-12-31</x:v>
      </x:c>
      <x:c r="E163" s="5" t="n">
        <x:v>1497.04</x:v>
      </x:c>
      <x:c r="F163" s="6" t="str">
        <x:v>2004-01-30</x:v>
      </x:c>
      <x:c r="G163" s="5" t="n">
        <x:v>1590.73</x:v>
      </x:c>
      <x:c r="H163" s="7" t="n">
        <x:f>G163/E163-1</x:f>
        <x:v>0.06258349810292319</x:v>
      </x:c>
      <x:c r="I163" s="1" t="n">
        <x:v>1</x:v>
      </x:c>
      <x:c r="J163" s="1" t="n">
        <x:v>1</x:v>
      </x:c>
      <x:c r="K163" s="1" t="str">
        <x:v>中证官方优先</x:v>
      </x:c>
    </x:row>
    <x:row r="164" ht="25" customHeight="1">
      <x:c r="A164" s="1" t="str">
        <x:v>sh000001</x:v>
      </x:c>
      <x:c r="B164" s="1" t="str">
        <x:v>上证综指</x:v>
      </x:c>
      <x:c r="C164" s="1" t="str">
        <x:v>2004-02</x:v>
      </x:c>
      <x:c r="D164" s="1" t="str">
        <x:v>2004-01-30</x:v>
      </x:c>
      <x:c r="E164" s="5" t="n">
        <x:v>1590.73</x:v>
      </x:c>
      <x:c r="F164" s="6" t="str">
        <x:v>2004-02-27</x:v>
      </x:c>
      <x:c r="G164" s="5" t="n">
        <x:v>1675.07</x:v>
      </x:c>
      <x:c r="H164" s="7" t="n">
        <x:f>G164/E164-1</x:f>
        <x:v>0.05301968278714808</x:v>
      </x:c>
      <x:c r="I164" s="1" t="n">
        <x:v>1</x:v>
      </x:c>
      <x:c r="J164" s="1" t="n">
        <x:v>1</x:v>
      </x:c>
      <x:c r="K164" s="1" t="str">
        <x:v>中证官方优先</x:v>
      </x:c>
    </x:row>
    <x:row r="165" ht="25" customHeight="1">
      <x:c r="A165" s="1" t="str">
        <x:v>sh000001</x:v>
      </x:c>
      <x:c r="B165" s="1" t="str">
        <x:v>上证综指</x:v>
      </x:c>
      <x:c r="C165" s="1" t="str">
        <x:v>2004-03</x:v>
      </x:c>
      <x:c r="D165" s="1" t="str">
        <x:v>2004-02-27</x:v>
      </x:c>
      <x:c r="E165" s="5" t="n">
        <x:v>1675.07</x:v>
      </x:c>
      <x:c r="F165" s="6" t="str">
        <x:v>2004-03-31</x:v>
      </x:c>
      <x:c r="G165" s="5" t="n">
        <x:v>1741.62</x:v>
      </x:c>
      <x:c r="H165" s="7" t="n">
        <x:f>G165/E165-1</x:f>
        <x:v>0.039729682938623334</x:v>
      </x:c>
      <x:c r="I165" s="1" t="n">
        <x:v>1</x:v>
      </x:c>
      <x:c r="J165" s="1" t="n">
        <x:v>1</x:v>
      </x:c>
      <x:c r="K165" s="1" t="str">
        <x:v>中证官方优先</x:v>
      </x:c>
    </x:row>
    <x:row r="166" ht="25" customHeight="1">
      <x:c r="A166" s="1" t="str">
        <x:v>sh000001</x:v>
      </x:c>
      <x:c r="B166" s="1" t="str">
        <x:v>上证综指</x:v>
      </x:c>
      <x:c r="C166" s="1" t="str">
        <x:v>2004-04</x:v>
      </x:c>
      <x:c r="D166" s="1" t="str">
        <x:v>2004-03-31</x:v>
      </x:c>
      <x:c r="E166" s="5" t="n">
        <x:v>1741.62</x:v>
      </x:c>
      <x:c r="F166" s="6" t="str">
        <x:v>2004-04-30</x:v>
      </x:c>
      <x:c r="G166" s="5" t="n">
        <x:v>1595.59</x:v>
      </x:c>
      <x:c r="H166" s="7" t="n">
        <x:f>G166/E166-1</x:f>
        <x:v>-0.08384722270070388</x:v>
      </x:c>
      <x:c r="I166" s="1" t="n">
        <x:v>1</x:v>
      </x:c>
      <x:c r="J166" s="1" t="n">
        <x:v>1</x:v>
      </x:c>
      <x:c r="K166" s="1" t="str">
        <x:v>中证官方优先</x:v>
      </x:c>
    </x:row>
    <x:row r="167" ht="25" customHeight="1">
      <x:c r="A167" s="1" t="str">
        <x:v>sh000001</x:v>
      </x:c>
      <x:c r="B167" s="1" t="str">
        <x:v>上证综指</x:v>
      </x:c>
      <x:c r="C167" s="1" t="str">
        <x:v>2004-05</x:v>
      </x:c>
      <x:c r="D167" s="1" t="str">
        <x:v>2004-04-30</x:v>
      </x:c>
      <x:c r="E167" s="5" t="n">
        <x:v>1595.59</x:v>
      </x:c>
      <x:c r="F167" s="6" t="str">
        <x:v>2004-05-31</x:v>
      </x:c>
      <x:c r="G167" s="5" t="n">
        <x:v>1555.91</x:v>
      </x:c>
      <x:c r="H167" s="7" t="n">
        <x:f>G167/E167-1</x:f>
        <x:v>-0.02486854392419091</x:v>
      </x:c>
      <x:c r="I167" s="1" t="n">
        <x:v>1</x:v>
      </x:c>
      <x:c r="J167" s="1" t="n">
        <x:v>1</x:v>
      </x:c>
      <x:c r="K167" s="1" t="str">
        <x:v>中证官方优先</x:v>
      </x:c>
    </x:row>
    <x:row r="168" ht="25" customHeight="1">
      <x:c r="A168" s="1" t="str">
        <x:v>sh000001</x:v>
      </x:c>
      <x:c r="B168" s="1" t="str">
        <x:v>上证综指</x:v>
      </x:c>
      <x:c r="C168" s="1" t="str">
        <x:v>2004-06</x:v>
      </x:c>
      <x:c r="D168" s="1" t="str">
        <x:v>2004-05-31</x:v>
      </x:c>
      <x:c r="E168" s="5" t="n">
        <x:v>1555.91</x:v>
      </x:c>
      <x:c r="F168" s="6" t="str">
        <x:v>2004-06-30</x:v>
      </x:c>
      <x:c r="G168" s="5" t="n">
        <x:v>1399.16</x:v>
      </x:c>
      <x:c r="H168" s="7" t="n">
        <x:f>G168/E168-1</x:f>
        <x:v>-0.10074490169739891</x:v>
      </x:c>
      <x:c r="I168" s="1" t="n">
        <x:v>1</x:v>
      </x:c>
      <x:c r="J168" s="1" t="n">
        <x:v>1</x:v>
      </x:c>
      <x:c r="K168" s="1" t="str">
        <x:v>中证官方优先</x:v>
      </x:c>
    </x:row>
    <x:row r="169" ht="25" customHeight="1">
      <x:c r="A169" s="1" t="str">
        <x:v>sh000001</x:v>
      </x:c>
      <x:c r="B169" s="1" t="str">
        <x:v>上证综指</x:v>
      </x:c>
      <x:c r="C169" s="1" t="str">
        <x:v>2004-07</x:v>
      </x:c>
      <x:c r="D169" s="1" t="str">
        <x:v>2004-06-30</x:v>
      </x:c>
      <x:c r="E169" s="5" t="n">
        <x:v>1399.16</x:v>
      </x:c>
      <x:c r="F169" s="6" t="str">
        <x:v>2004-07-30</x:v>
      </x:c>
      <x:c r="G169" s="5" t="n">
        <x:v>1386.2</x:v>
      </x:c>
      <x:c r="H169" s="7" t="n">
        <x:f>G169/E169-1</x:f>
        <x:v>-0.009262700477429386</x:v>
      </x:c>
      <x:c r="I169" s="1" t="n">
        <x:v>1</x:v>
      </x:c>
      <x:c r="J169" s="1" t="n">
        <x:v>1</x:v>
      </x:c>
      <x:c r="K169" s="1" t="str">
        <x:v>中证官方优先</x:v>
      </x:c>
    </x:row>
    <x:row r="170" ht="25" customHeight="1">
      <x:c r="A170" s="1" t="str">
        <x:v>sh000001</x:v>
      </x:c>
      <x:c r="B170" s="1" t="str">
        <x:v>上证综指</x:v>
      </x:c>
      <x:c r="C170" s="1" t="str">
        <x:v>2004-08</x:v>
      </x:c>
      <x:c r="D170" s="1" t="str">
        <x:v>2004-07-30</x:v>
      </x:c>
      <x:c r="E170" s="5" t="n">
        <x:v>1386.2</x:v>
      </x:c>
      <x:c r="F170" s="6" t="str">
        <x:v>2004-08-31</x:v>
      </x:c>
      <x:c r="G170" s="5" t="n">
        <x:v>1342.06</x:v>
      </x:c>
      <x:c r="H170" s="7" t="n">
        <x:f>G170/E170-1</x:f>
        <x:v>-0.03184244697734817</x:v>
      </x:c>
      <x:c r="I170" s="1" t="n">
        <x:v>1</x:v>
      </x:c>
      <x:c r="J170" s="1" t="n">
        <x:v>1</x:v>
      </x:c>
      <x:c r="K170" s="1" t="str">
        <x:v>中证官方优先</x:v>
      </x:c>
    </x:row>
    <x:row r="171" ht="25" customHeight="1">
      <x:c r="A171" s="1" t="str">
        <x:v>sh000001</x:v>
      </x:c>
      <x:c r="B171" s="1" t="str">
        <x:v>上证综指</x:v>
      </x:c>
      <x:c r="C171" s="1" t="str">
        <x:v>2004-09</x:v>
      </x:c>
      <x:c r="D171" s="1" t="str">
        <x:v>2004-08-31</x:v>
      </x:c>
      <x:c r="E171" s="5" t="n">
        <x:v>1342.06</x:v>
      </x:c>
      <x:c r="F171" s="6" t="str">
        <x:v>2004-09-30</x:v>
      </x:c>
      <x:c r="G171" s="5" t="n">
        <x:v>1396.7</x:v>
      </x:c>
      <x:c r="H171" s="7" t="n">
        <x:f>G171/E171-1</x:f>
        <x:v>0.04071352994650024</x:v>
      </x:c>
      <x:c r="I171" s="1" t="n">
        <x:v>1</x:v>
      </x:c>
      <x:c r="J171" s="1" t="n">
        <x:v>1</x:v>
      </x:c>
      <x:c r="K171" s="1" t="str">
        <x:v>中证官方优先</x:v>
      </x:c>
    </x:row>
    <x:row r="172" ht="25" customHeight="1">
      <x:c r="A172" s="1" t="str">
        <x:v>sh000001</x:v>
      </x:c>
      <x:c r="B172" s="1" t="str">
        <x:v>上证综指</x:v>
      </x:c>
      <x:c r="C172" s="1" t="str">
        <x:v>2004-10</x:v>
      </x:c>
      <x:c r="D172" s="1" t="str">
        <x:v>2004-09-30</x:v>
      </x:c>
      <x:c r="E172" s="5" t="n">
        <x:v>1396.7</x:v>
      </x:c>
      <x:c r="F172" s="6" t="str">
        <x:v>2004-10-29</x:v>
      </x:c>
      <x:c r="G172" s="5" t="n">
        <x:v>1320.54</x:v>
      </x:c>
      <x:c r="H172" s="7" t="n">
        <x:f>G172/E172-1</x:f>
        <x:v>-0.0545285315386268</x:v>
      </x:c>
      <x:c r="I172" s="1" t="n">
        <x:v>1</x:v>
      </x:c>
      <x:c r="J172" s="1" t="n">
        <x:v>1</x:v>
      </x:c>
      <x:c r="K172" s="1" t="str">
        <x:v>中证官方优先</x:v>
      </x:c>
    </x:row>
    <x:row r="173" ht="25" customHeight="1">
      <x:c r="A173" s="1" t="str">
        <x:v>sh000001</x:v>
      </x:c>
      <x:c r="B173" s="1" t="str">
        <x:v>上证综指</x:v>
      </x:c>
      <x:c r="C173" s="1" t="str">
        <x:v>2004-11</x:v>
      </x:c>
      <x:c r="D173" s="1" t="str">
        <x:v>2004-10-29</x:v>
      </x:c>
      <x:c r="E173" s="5" t="n">
        <x:v>1320.54</x:v>
      </x:c>
      <x:c r="F173" s="6" t="str">
        <x:v>2004-11-30</x:v>
      </x:c>
      <x:c r="G173" s="5" t="n">
        <x:v>1340.77</x:v>
      </x:c>
      <x:c r="H173" s="7" t="n">
        <x:f>G173/E173-1</x:f>
        <x:v>0.015319490511457534</x:v>
      </x:c>
      <x:c r="I173" s="1" t="n">
        <x:v>1</x:v>
      </x:c>
      <x:c r="J173" s="1" t="n">
        <x:v>1</x:v>
      </x:c>
      <x:c r="K173" s="1" t="str">
        <x:v>中证官方优先</x:v>
      </x:c>
    </x:row>
    <x:row r="174" ht="25" customHeight="1">
      <x:c r="A174" s="1" t="str">
        <x:v>sh000001</x:v>
      </x:c>
      <x:c r="B174" s="1" t="str">
        <x:v>上证综指</x:v>
      </x:c>
      <x:c r="C174" s="1" t="str">
        <x:v>2004-12</x:v>
      </x:c>
      <x:c r="D174" s="1" t="str">
        <x:v>2004-11-30</x:v>
      </x:c>
      <x:c r="E174" s="5" t="n">
        <x:v>1340.77</x:v>
      </x:c>
      <x:c r="F174" s="6" t="str">
        <x:v>2004-12-31</x:v>
      </x:c>
      <x:c r="G174" s="5" t="n">
        <x:v>1266.5</x:v>
      </x:c>
      <x:c r="H174" s="7" t="n">
        <x:f>G174/E174-1</x:f>
        <x:v>-0.05539354251661355</x:v>
      </x:c>
      <x:c r="I174" s="1" t="n">
        <x:v>1</x:v>
      </x:c>
      <x:c r="J174" s="1" t="n">
        <x:v>1</x:v>
      </x:c>
      <x:c r="K174" s="1" t="str">
        <x:v>中证官方优先</x:v>
      </x:c>
    </x:row>
    <x:row r="175" ht="25" customHeight="1">
      <x:c r="A175" s="1" t="str">
        <x:v>sh000001</x:v>
      </x:c>
      <x:c r="B175" s="1" t="str">
        <x:v>上证综指</x:v>
      </x:c>
      <x:c r="C175" s="1" t="str">
        <x:v>2005-01</x:v>
      </x:c>
      <x:c r="D175" s="1" t="str">
        <x:v>2004-12-31</x:v>
      </x:c>
      <x:c r="E175" s="5" t="n">
        <x:v>1266.5</x:v>
      </x:c>
      <x:c r="F175" s="6" t="str">
        <x:v>2005-01-31</x:v>
      </x:c>
      <x:c r="G175" s="5" t="n">
        <x:v>1191.82</x:v>
      </x:c>
      <x:c r="H175" s="7" t="n">
        <x:f>G175/E175-1</x:f>
        <x:v>-0.05896565337544424</x:v>
      </x:c>
      <x:c r="I175" s="1" t="n">
        <x:v>1</x:v>
      </x:c>
      <x:c r="J175" s="1" t="n">
        <x:v>1</x:v>
      </x:c>
      <x:c r="K175" s="1" t="str">
        <x:v>中证官方优先</x:v>
      </x:c>
    </x:row>
    <x:row r="176" ht="25" customHeight="1">
      <x:c r="A176" s="1" t="str">
        <x:v>sh000001</x:v>
      </x:c>
      <x:c r="B176" s="1" t="str">
        <x:v>上证综指</x:v>
      </x:c>
      <x:c r="C176" s="1" t="str">
        <x:v>2005-02</x:v>
      </x:c>
      <x:c r="D176" s="1" t="str">
        <x:v>2005-01-31</x:v>
      </x:c>
      <x:c r="E176" s="5" t="n">
        <x:v>1191.82</x:v>
      </x:c>
      <x:c r="F176" s="6" t="str">
        <x:v>2005-02-28</x:v>
      </x:c>
      <x:c r="G176" s="5" t="n">
        <x:v>1306</x:v>
      </x:c>
      <x:c r="H176" s="7" t="n">
        <x:f>G176/E176-1</x:f>
        <x:v>0.09580305750868434</x:v>
      </x:c>
      <x:c r="I176" s="1" t="n">
        <x:v>1</x:v>
      </x:c>
      <x:c r="J176" s="1" t="n">
        <x:v>1</x:v>
      </x:c>
      <x:c r="K176" s="1" t="str">
        <x:v>中证官方优先</x:v>
      </x:c>
    </x:row>
    <x:row r="177" ht="25" customHeight="1">
      <x:c r="A177" s="1" t="str">
        <x:v>sh000001</x:v>
      </x:c>
      <x:c r="B177" s="1" t="str">
        <x:v>上证综指</x:v>
      </x:c>
      <x:c r="C177" s="1" t="str">
        <x:v>2005-03</x:v>
      </x:c>
      <x:c r="D177" s="1" t="str">
        <x:v>2005-02-28</x:v>
      </x:c>
      <x:c r="E177" s="5" t="n">
        <x:v>1306</x:v>
      </x:c>
      <x:c r="F177" s="6" t="str">
        <x:v>2005-03-31</x:v>
      </x:c>
      <x:c r="G177" s="5" t="n">
        <x:v>1181.24</x:v>
      </x:c>
      <x:c r="H177" s="7" t="n">
        <x:f>G177/E177-1</x:f>
        <x:v>-0.09552833078101075</x:v>
      </x:c>
      <x:c r="I177" s="1" t="n">
        <x:v>1</x:v>
      </x:c>
      <x:c r="J177" s="1" t="n">
        <x:v>1</x:v>
      </x:c>
      <x:c r="K177" s="1" t="str">
        <x:v>中证官方优先</x:v>
      </x:c>
    </x:row>
    <x:row r="178" ht="25" customHeight="1">
      <x:c r="A178" s="1" t="str">
        <x:v>sh000001</x:v>
      </x:c>
      <x:c r="B178" s="1" t="str">
        <x:v>上证综指</x:v>
      </x:c>
      <x:c r="C178" s="1" t="str">
        <x:v>2005-04</x:v>
      </x:c>
      <x:c r="D178" s="1" t="str">
        <x:v>2005-03-31</x:v>
      </x:c>
      <x:c r="E178" s="5" t="n">
        <x:v>1181.24</x:v>
      </x:c>
      <x:c r="F178" s="6" t="str">
        <x:v>2005-04-29</x:v>
      </x:c>
      <x:c r="G178" s="5" t="n">
        <x:v>1159.15</x:v>
      </x:c>
      <x:c r="H178" s="7" t="n">
        <x:f>G178/E178-1</x:f>
        <x:v>-0.018700687413226724</x:v>
      </x:c>
      <x:c r="I178" s="1" t="n">
        <x:v>1</x:v>
      </x:c>
      <x:c r="J178" s="1" t="n">
        <x:v>1</x:v>
      </x:c>
      <x:c r="K178" s="1" t="str">
        <x:v>中证官方优先</x:v>
      </x:c>
    </x:row>
    <x:row r="179" ht="25" customHeight="1">
      <x:c r="A179" s="1" t="str">
        <x:v>sh000001</x:v>
      </x:c>
      <x:c r="B179" s="1" t="str">
        <x:v>上证综指</x:v>
      </x:c>
      <x:c r="C179" s="1" t="str">
        <x:v>2005-05</x:v>
      </x:c>
      <x:c r="D179" s="1" t="str">
        <x:v>2005-04-29</x:v>
      </x:c>
      <x:c r="E179" s="5" t="n">
        <x:v>1159.15</x:v>
      </x:c>
      <x:c r="F179" s="6" t="str">
        <x:v>2005-05-31</x:v>
      </x:c>
      <x:c r="G179" s="5" t="n">
        <x:v>1060.74</x:v>
      </x:c>
      <x:c r="H179" s="7" t="n">
        <x:f>G179/E179-1</x:f>
        <x:v>-0.08489841694345002</x:v>
      </x:c>
      <x:c r="I179" s="1" t="n">
        <x:v>1</x:v>
      </x:c>
      <x:c r="J179" s="1" t="n">
        <x:v>1</x:v>
      </x:c>
      <x:c r="K179" s="1" t="str">
        <x:v>中证官方优先</x:v>
      </x:c>
    </x:row>
    <x:row r="180" ht="25" customHeight="1">
      <x:c r="A180" s="1" t="str">
        <x:v>sh000001</x:v>
      </x:c>
      <x:c r="B180" s="1" t="str">
        <x:v>上证综指</x:v>
      </x:c>
      <x:c r="C180" s="1" t="str">
        <x:v>2005-06</x:v>
      </x:c>
      <x:c r="D180" s="1" t="str">
        <x:v>2005-05-31</x:v>
      </x:c>
      <x:c r="E180" s="5" t="n">
        <x:v>1060.74</x:v>
      </x:c>
      <x:c r="F180" s="6" t="str">
        <x:v>2005-06-30</x:v>
      </x:c>
      <x:c r="G180" s="5" t="n">
        <x:v>1080.94</x:v>
      </x:c>
      <x:c r="H180" s="7" t="n">
        <x:f>G180/E180-1</x:f>
        <x:v>0.019043309387785978</x:v>
      </x:c>
      <x:c r="I180" s="1" t="n">
        <x:v>1</x:v>
      </x:c>
      <x:c r="J180" s="1" t="n">
        <x:v>1</x:v>
      </x:c>
      <x:c r="K180" s="1" t="str">
        <x:v>中证官方优先</x:v>
      </x:c>
    </x:row>
    <x:row r="181" ht="25" customHeight="1">
      <x:c r="A181" s="1" t="str">
        <x:v>sh000001</x:v>
      </x:c>
      <x:c r="B181" s="1" t="str">
        <x:v>上证综指</x:v>
      </x:c>
      <x:c r="C181" s="1" t="str">
        <x:v>2005-07</x:v>
      </x:c>
      <x:c r="D181" s="1" t="str">
        <x:v>2005-06-30</x:v>
      </x:c>
      <x:c r="E181" s="5" t="n">
        <x:v>1080.94</x:v>
      </x:c>
      <x:c r="F181" s="6" t="str">
        <x:v>2005-07-29</x:v>
      </x:c>
      <x:c r="G181" s="5" t="n">
        <x:v>1083.03</x:v>
      </x:c>
      <x:c r="H181" s="7" t="n">
        <x:f>G181/E181-1</x:f>
        <x:v>0.0019335023220530267</x:v>
      </x:c>
      <x:c r="I181" s="1" t="n">
        <x:v>1</x:v>
      </x:c>
      <x:c r="J181" s="1" t="n">
        <x:v>1</x:v>
      </x:c>
      <x:c r="K181" s="1" t="str">
        <x:v>中证官方优先</x:v>
      </x:c>
    </x:row>
    <x:row r="182" ht="25" customHeight="1">
      <x:c r="A182" s="1" t="str">
        <x:v>sh000001</x:v>
      </x:c>
      <x:c r="B182" s="1" t="str">
        <x:v>上证综指</x:v>
      </x:c>
      <x:c r="C182" s="1" t="str">
        <x:v>2005-08</x:v>
      </x:c>
      <x:c r="D182" s="1" t="str">
        <x:v>2005-07-29</x:v>
      </x:c>
      <x:c r="E182" s="5" t="n">
        <x:v>1083.03</x:v>
      </x:c>
      <x:c r="F182" s="6" t="str">
        <x:v>2005-08-31</x:v>
      </x:c>
      <x:c r="G182" s="5" t="n">
        <x:v>1162.8</x:v>
      </x:c>
      <x:c r="H182" s="7" t="n">
        <x:f>G182/E182-1</x:f>
        <x:v>0.07365446940527964</x:v>
      </x:c>
      <x:c r="I182" s="1" t="n">
        <x:v>1</x:v>
      </x:c>
      <x:c r="J182" s="1" t="n">
        <x:v>1</x:v>
      </x:c>
      <x:c r="K182" s="1" t="str">
        <x:v>中证官方优先</x:v>
      </x:c>
    </x:row>
    <x:row r="183" ht="25" customHeight="1">
      <x:c r="A183" s="1" t="str">
        <x:v>sh000001</x:v>
      </x:c>
      <x:c r="B183" s="1" t="str">
        <x:v>上证综指</x:v>
      </x:c>
      <x:c r="C183" s="1" t="str">
        <x:v>2005-09</x:v>
      </x:c>
      <x:c r="D183" s="1" t="str">
        <x:v>2005-08-31</x:v>
      </x:c>
      <x:c r="E183" s="5" t="n">
        <x:v>1162.8</x:v>
      </x:c>
      <x:c r="F183" s="6" t="str">
        <x:v>2005-09-30</x:v>
      </x:c>
      <x:c r="G183" s="5" t="n">
        <x:v>1155.61</x:v>
      </x:c>
      <x:c r="H183" s="7" t="n">
        <x:f>G183/E183-1</x:f>
        <x:v>-0.006183350533195742</x:v>
      </x:c>
      <x:c r="I183" s="1" t="n">
        <x:v>1</x:v>
      </x:c>
      <x:c r="J183" s="1" t="n">
        <x:v>1</x:v>
      </x:c>
      <x:c r="K183" s="1" t="str">
        <x:v>中证官方优先</x:v>
      </x:c>
    </x:row>
    <x:row r="184" ht="25" customHeight="1">
      <x:c r="A184" s="1" t="str">
        <x:v>sh000001</x:v>
      </x:c>
      <x:c r="B184" s="1" t="str">
        <x:v>上证综指</x:v>
      </x:c>
      <x:c r="C184" s="1" t="str">
        <x:v>2005-10</x:v>
      </x:c>
      <x:c r="D184" s="1" t="str">
        <x:v>2005-09-30</x:v>
      </x:c>
      <x:c r="E184" s="5" t="n">
        <x:v>1155.61</x:v>
      </x:c>
      <x:c r="F184" s="6" t="str">
        <x:v>2005-10-31</x:v>
      </x:c>
      <x:c r="G184" s="5" t="n">
        <x:v>1092.82</x:v>
      </x:c>
      <x:c r="H184" s="7" t="n">
        <x:f>G184/E184-1</x:f>
        <x:v>-0.05433493998840433</x:v>
      </x:c>
      <x:c r="I184" s="1" t="n">
        <x:v>1</x:v>
      </x:c>
      <x:c r="J184" s="1" t="n">
        <x:v>1</x:v>
      </x:c>
      <x:c r="K184" s="1" t="str">
        <x:v>中证官方优先</x:v>
      </x:c>
    </x:row>
    <x:row r="185" ht="25" customHeight="1">
      <x:c r="A185" s="1" t="str">
        <x:v>sh000001</x:v>
      </x:c>
      <x:c r="B185" s="1" t="str">
        <x:v>上证综指</x:v>
      </x:c>
      <x:c r="C185" s="1" t="str">
        <x:v>2005-11</x:v>
      </x:c>
      <x:c r="D185" s="1" t="str">
        <x:v>2005-10-31</x:v>
      </x:c>
      <x:c r="E185" s="5" t="n">
        <x:v>1092.82</x:v>
      </x:c>
      <x:c r="F185" s="6" t="str">
        <x:v>2005-11-30</x:v>
      </x:c>
      <x:c r="G185" s="5" t="n">
        <x:v>1099.26</x:v>
      </x:c>
      <x:c r="H185" s="7" t="n">
        <x:f>G185/E185-1</x:f>
        <x:v>0.005893010742848759</x:v>
      </x:c>
      <x:c r="I185" s="1" t="n">
        <x:v>1</x:v>
      </x:c>
      <x:c r="J185" s="1" t="n">
        <x:v>1</x:v>
      </x:c>
      <x:c r="K185" s="1" t="str">
        <x:v>中证官方优先</x:v>
      </x:c>
    </x:row>
    <x:row r="186" ht="25" customHeight="1">
      <x:c r="A186" s="1" t="str">
        <x:v>sh000001</x:v>
      </x:c>
      <x:c r="B186" s="1" t="str">
        <x:v>上证综指</x:v>
      </x:c>
      <x:c r="C186" s="1" t="str">
        <x:v>2005-12</x:v>
      </x:c>
      <x:c r="D186" s="1" t="str">
        <x:v>2005-11-30</x:v>
      </x:c>
      <x:c r="E186" s="5" t="n">
        <x:v>1099.26</x:v>
      </x:c>
      <x:c r="F186" s="6" t="str">
        <x:v>2005-12-30</x:v>
      </x:c>
      <x:c r="G186" s="5" t="n">
        <x:v>1161.06</x:v>
      </x:c>
      <x:c r="H186" s="7" t="n">
        <x:f>G186/E186-1</x:f>
        <x:v>0.05621963866601165</x:v>
      </x:c>
      <x:c r="I186" s="1" t="n">
        <x:v>1</x:v>
      </x:c>
      <x:c r="J186" s="1" t="n">
        <x:v>1</x:v>
      </x:c>
      <x:c r="K186" s="1" t="str">
        <x:v>中证官方优先</x:v>
      </x:c>
    </x:row>
    <x:row r="187" ht="25" customHeight="1">
      <x:c r="A187" s="1" t="str">
        <x:v>sh000001</x:v>
      </x:c>
      <x:c r="B187" s="1" t="str">
        <x:v>上证综指</x:v>
      </x:c>
      <x:c r="C187" s="1" t="str">
        <x:v>2006-01</x:v>
      </x:c>
      <x:c r="D187" s="1" t="str">
        <x:v>2005-12-30</x:v>
      </x:c>
      <x:c r="E187" s="5" t="n">
        <x:v>1161.06</x:v>
      </x:c>
      <x:c r="F187" s="6" t="str">
        <x:v>2006-01-25</x:v>
      </x:c>
      <x:c r="G187" s="5" t="n">
        <x:v>1258.05</x:v>
      </x:c>
      <x:c r="H187" s="7" t="n">
        <x:f>G187/E187-1</x:f>
        <x:v>0.08353573458735974</x:v>
      </x:c>
      <x:c r="I187" s="1" t="n">
        <x:v>1</x:v>
      </x:c>
      <x:c r="J187" s="1" t="n">
        <x:v>1</x:v>
      </x:c>
      <x:c r="K187" s="1" t="str">
        <x:v>中证官方优先</x:v>
      </x:c>
    </x:row>
    <x:row r="188" ht="25" customHeight="1">
      <x:c r="A188" s="1" t="str">
        <x:v>sh000001</x:v>
      </x:c>
      <x:c r="B188" s="1" t="str">
        <x:v>上证综指</x:v>
      </x:c>
      <x:c r="C188" s="1" t="str">
        <x:v>2006-02</x:v>
      </x:c>
      <x:c r="D188" s="1" t="str">
        <x:v>2006-01-25</x:v>
      </x:c>
      <x:c r="E188" s="5" t="n">
        <x:v>1258.05</x:v>
      </x:c>
      <x:c r="F188" s="6" t="str">
        <x:v>2006-02-28</x:v>
      </x:c>
      <x:c r="G188" s="5" t="n">
        <x:v>1299.03</x:v>
      </x:c>
      <x:c r="H188" s="7" t="n">
        <x:f>G188/E188-1</x:f>
        <x:v>0.03257422201025406</x:v>
      </x:c>
      <x:c r="I188" s="1" t="n">
        <x:v>1</x:v>
      </x:c>
      <x:c r="J188" s="1" t="n">
        <x:v>1</x:v>
      </x:c>
      <x:c r="K188" s="1" t="str">
        <x:v>中证官方优先</x:v>
      </x:c>
    </x:row>
    <x:row r="189" ht="25" customHeight="1">
      <x:c r="A189" s="1" t="str">
        <x:v>sh000001</x:v>
      </x:c>
      <x:c r="B189" s="1" t="str">
        <x:v>上证综指</x:v>
      </x:c>
      <x:c r="C189" s="1" t="str">
        <x:v>2006-03</x:v>
      </x:c>
      <x:c r="D189" s="1" t="str">
        <x:v>2006-02-28</x:v>
      </x:c>
      <x:c r="E189" s="5" t="n">
        <x:v>1299.03</x:v>
      </x:c>
      <x:c r="F189" s="6" t="str">
        <x:v>2006-03-31</x:v>
      </x:c>
      <x:c r="G189" s="5" t="n">
        <x:v>1298.3</x:v>
      </x:c>
      <x:c r="H189" s="7" t="n">
        <x:f>G189/E189-1</x:f>
        <x:v>-0.0005619577684887744</x:v>
      </x:c>
      <x:c r="I189" s="1" t="n">
        <x:v>1</x:v>
      </x:c>
      <x:c r="J189" s="1" t="n">
        <x:v>1</x:v>
      </x:c>
      <x:c r="K189" s="1" t="str">
        <x:v>中证官方优先</x:v>
      </x:c>
    </x:row>
    <x:row r="190" ht="25" customHeight="1">
      <x:c r="A190" s="1" t="str">
        <x:v>sh000001</x:v>
      </x:c>
      <x:c r="B190" s="1" t="str">
        <x:v>上证综指</x:v>
      </x:c>
      <x:c r="C190" s="1" t="str">
        <x:v>2006-04</x:v>
      </x:c>
      <x:c r="D190" s="1" t="str">
        <x:v>2006-03-31</x:v>
      </x:c>
      <x:c r="E190" s="5" t="n">
        <x:v>1298.3</x:v>
      </x:c>
      <x:c r="F190" s="6" t="str">
        <x:v>2006-04-28</x:v>
      </x:c>
      <x:c r="G190" s="5" t="n">
        <x:v>1440.22</x:v>
      </x:c>
      <x:c r="H190" s="7" t="n">
        <x:f>G190/E190-1</x:f>
        <x:v>0.10931217746283606</x:v>
      </x:c>
      <x:c r="I190" s="1" t="n">
        <x:v>1</x:v>
      </x:c>
      <x:c r="J190" s="1" t="n">
        <x:v>1</x:v>
      </x:c>
      <x:c r="K190" s="1" t="str">
        <x:v>中证官方优先</x:v>
      </x:c>
    </x:row>
    <x:row r="191" ht="25" customHeight="1">
      <x:c r="A191" s="1" t="str">
        <x:v>sh000001</x:v>
      </x:c>
      <x:c r="B191" s="1" t="str">
        <x:v>上证综指</x:v>
      </x:c>
      <x:c r="C191" s="1" t="str">
        <x:v>2006-05</x:v>
      </x:c>
      <x:c r="D191" s="1" t="str">
        <x:v>2006-04-28</x:v>
      </x:c>
      <x:c r="E191" s="5" t="n">
        <x:v>1440.22</x:v>
      </x:c>
      <x:c r="F191" s="6" t="str">
        <x:v>2006-05-31</x:v>
      </x:c>
      <x:c r="G191" s="5" t="n">
        <x:v>1641.3</x:v>
      </x:c>
      <x:c r="H191" s="7" t="n">
        <x:f>G191/E191-1</x:f>
        <x:v>0.13961755842857326</x:v>
      </x:c>
      <x:c r="I191" s="1" t="n">
        <x:v>1</x:v>
      </x:c>
      <x:c r="J191" s="1" t="n">
        <x:v>1</x:v>
      </x:c>
      <x:c r="K191" s="1" t="str">
        <x:v>中证官方优先</x:v>
      </x:c>
    </x:row>
    <x:row r="192" ht="25" customHeight="1">
      <x:c r="A192" s="1" t="str">
        <x:v>sh000001</x:v>
      </x:c>
      <x:c r="B192" s="1" t="str">
        <x:v>上证综指</x:v>
      </x:c>
      <x:c r="C192" s="1" t="str">
        <x:v>2006-06</x:v>
      </x:c>
      <x:c r="D192" s="1" t="str">
        <x:v>2006-05-31</x:v>
      </x:c>
      <x:c r="E192" s="5" t="n">
        <x:v>1641.3</x:v>
      </x:c>
      <x:c r="F192" s="6" t="str">
        <x:v>2006-06-30</x:v>
      </x:c>
      <x:c r="G192" s="5" t="n">
        <x:v>1672.21</x:v>
      </x:c>
      <x:c r="H192" s="7" t="n">
        <x:f>G192/E192-1</x:f>
        <x:v>0.018832632669225635</x:v>
      </x:c>
      <x:c r="I192" s="1" t="n">
        <x:v>1</x:v>
      </x:c>
      <x:c r="J192" s="1" t="n">
        <x:v>1</x:v>
      </x:c>
      <x:c r="K192" s="1" t="str">
        <x:v>中证官方优先</x:v>
      </x:c>
    </x:row>
    <x:row r="193" ht="25" customHeight="1">
      <x:c r="A193" s="1" t="str">
        <x:v>sh000001</x:v>
      </x:c>
      <x:c r="B193" s="1" t="str">
        <x:v>上证综指</x:v>
      </x:c>
      <x:c r="C193" s="1" t="str">
        <x:v>2006-07</x:v>
      </x:c>
      <x:c r="D193" s="1" t="str">
        <x:v>2006-06-30</x:v>
      </x:c>
      <x:c r="E193" s="5" t="n">
        <x:v>1672.21</x:v>
      </x:c>
      <x:c r="F193" s="6" t="str">
        <x:v>2006-07-31</x:v>
      </x:c>
      <x:c r="G193" s="5" t="n">
        <x:v>1612.73</x:v>
      </x:c>
      <x:c r="H193" s="7" t="n">
        <x:f>G193/E193-1</x:f>
        <x:v>-0.0355696951937855</x:v>
      </x:c>
      <x:c r="I193" s="1" t="n">
        <x:v>1</x:v>
      </x:c>
      <x:c r="J193" s="1" t="n">
        <x:v>1</x:v>
      </x:c>
      <x:c r="K193" s="1" t="str">
        <x:v>中证官方优先</x:v>
      </x:c>
    </x:row>
    <x:row r="194" ht="25" customHeight="1">
      <x:c r="A194" s="1" t="str">
        <x:v>sh000001</x:v>
      </x:c>
      <x:c r="B194" s="1" t="str">
        <x:v>上证综指</x:v>
      </x:c>
      <x:c r="C194" s="1" t="str">
        <x:v>2006-08</x:v>
      </x:c>
      <x:c r="D194" s="1" t="str">
        <x:v>2006-07-31</x:v>
      </x:c>
      <x:c r="E194" s="5" t="n">
        <x:v>1612.73</x:v>
      </x:c>
      <x:c r="F194" s="6" t="str">
        <x:v>2006-08-31</x:v>
      </x:c>
      <x:c r="G194" s="5" t="n">
        <x:v>1658.64</x:v>
      </x:c>
      <x:c r="H194" s="7" t="n">
        <x:f>G194/E194-1</x:f>
        <x:v>0.028467257383443023</x:v>
      </x:c>
      <x:c r="I194" s="1" t="n">
        <x:v>1</x:v>
      </x:c>
      <x:c r="J194" s="1" t="n">
        <x:v>1</x:v>
      </x:c>
      <x:c r="K194" s="1" t="str">
        <x:v>中证官方优先</x:v>
      </x:c>
    </x:row>
    <x:row r="195" ht="25" customHeight="1">
      <x:c r="A195" s="1" t="str">
        <x:v>sh000001</x:v>
      </x:c>
      <x:c r="B195" s="1" t="str">
        <x:v>上证综指</x:v>
      </x:c>
      <x:c r="C195" s="1" t="str">
        <x:v>2006-09</x:v>
      </x:c>
      <x:c r="D195" s="1" t="str">
        <x:v>2006-08-31</x:v>
      </x:c>
      <x:c r="E195" s="5" t="n">
        <x:v>1658.64</x:v>
      </x:c>
      <x:c r="F195" s="6" t="str">
        <x:v>2006-09-29</x:v>
      </x:c>
      <x:c r="G195" s="5" t="n">
        <x:v>1752.42</x:v>
      </x:c>
      <x:c r="H195" s="7" t="n">
        <x:f>G195/E195-1</x:f>
        <x:v>0.05654029807553185</x:v>
      </x:c>
      <x:c r="I195" s="1" t="n">
        <x:v>1</x:v>
      </x:c>
      <x:c r="J195" s="1" t="n">
        <x:v>1</x:v>
      </x:c>
      <x:c r="K195" s="1" t="str">
        <x:v>中证官方优先</x:v>
      </x:c>
    </x:row>
    <x:row r="196" ht="25" customHeight="1">
      <x:c r="A196" s="1" t="str">
        <x:v>sh000001</x:v>
      </x:c>
      <x:c r="B196" s="1" t="str">
        <x:v>上证综指</x:v>
      </x:c>
      <x:c r="C196" s="1" t="str">
        <x:v>2006-10</x:v>
      </x:c>
      <x:c r="D196" s="1" t="str">
        <x:v>2006-09-29</x:v>
      </x:c>
      <x:c r="E196" s="5" t="n">
        <x:v>1752.42</x:v>
      </x:c>
      <x:c r="F196" s="6" t="str">
        <x:v>2006-10-31</x:v>
      </x:c>
      <x:c r="G196" s="5" t="n">
        <x:v>1837.99</x:v>
      </x:c>
      <x:c r="H196" s="7" t="n">
        <x:f>G196/E196-1</x:f>
        <x:v>0.04882961847045797</x:v>
      </x:c>
      <x:c r="I196" s="1" t="n">
        <x:v>1</x:v>
      </x:c>
      <x:c r="J196" s="1" t="n">
        <x:v>1</x:v>
      </x:c>
      <x:c r="K196" s="1" t="str">
        <x:v>中证官方优先</x:v>
      </x:c>
    </x:row>
    <x:row r="197" ht="25" customHeight="1">
      <x:c r="A197" s="1" t="str">
        <x:v>sh000001</x:v>
      </x:c>
      <x:c r="B197" s="1" t="str">
        <x:v>上证综指</x:v>
      </x:c>
      <x:c r="C197" s="1" t="str">
        <x:v>2006-11</x:v>
      </x:c>
      <x:c r="D197" s="1" t="str">
        <x:v>2006-10-31</x:v>
      </x:c>
      <x:c r="E197" s="5" t="n">
        <x:v>1837.99</x:v>
      </x:c>
      <x:c r="F197" s="6" t="str">
        <x:v>2006-11-30</x:v>
      </x:c>
      <x:c r="G197" s="5" t="n">
        <x:v>2099.29</x:v>
      </x:c>
      <x:c r="H197" s="7" t="n">
        <x:f>G197/E197-1</x:f>
        <x:v>0.14216617065381199</x:v>
      </x:c>
      <x:c r="I197" s="1" t="n">
        <x:v>1</x:v>
      </x:c>
      <x:c r="J197" s="1" t="n">
        <x:v>1</x:v>
      </x:c>
      <x:c r="K197" s="1" t="str">
        <x:v>中证官方优先</x:v>
      </x:c>
    </x:row>
    <x:row r="198" ht="25" customHeight="1">
      <x:c r="A198" s="1" t="str">
        <x:v>sh000001</x:v>
      </x:c>
      <x:c r="B198" s="1" t="str">
        <x:v>上证综指</x:v>
      </x:c>
      <x:c r="C198" s="1" t="str">
        <x:v>2006-12</x:v>
      </x:c>
      <x:c r="D198" s="1" t="str">
        <x:v>2006-11-30</x:v>
      </x:c>
      <x:c r="E198" s="5" t="n">
        <x:v>2099.29</x:v>
      </x:c>
      <x:c r="F198" s="6" t="str">
        <x:v>2006-12-29</x:v>
      </x:c>
      <x:c r="G198" s="5" t="n">
        <x:v>2675.47</x:v>
      </x:c>
      <x:c r="H198" s="7" t="n">
        <x:f>G198/E198-1</x:f>
        <x:v>0.27446422361846134</x:v>
      </x:c>
      <x:c r="I198" s="1" t="n">
        <x:v>1</x:v>
      </x:c>
      <x:c r="J198" s="1" t="n">
        <x:v>1</x:v>
      </x:c>
      <x:c r="K198" s="1" t="str">
        <x:v>中证官方优先</x:v>
      </x:c>
    </x:row>
    <x:row r="199" ht="25" customHeight="1">
      <x:c r="A199" s="1" t="str">
        <x:v>sh000001</x:v>
      </x:c>
      <x:c r="B199" s="1" t="str">
        <x:v>上证综指</x:v>
      </x:c>
      <x:c r="C199" s="1" t="str">
        <x:v>2007-01</x:v>
      </x:c>
      <x:c r="D199" s="1" t="str">
        <x:v>2006-12-29</x:v>
      </x:c>
      <x:c r="E199" s="5" t="n">
        <x:v>2675.47</x:v>
      </x:c>
      <x:c r="F199" s="6" t="str">
        <x:v>2007-01-31</x:v>
      </x:c>
      <x:c r="G199" s="5" t="n">
        <x:v>2786.34</x:v>
      </x:c>
      <x:c r="H199" s="7" t="n">
        <x:f>G199/E199-1</x:f>
        <x:v>0.041439448022216885</x:v>
      </x:c>
      <x:c r="I199" s="1" t="n">
        <x:v>1</x:v>
      </x:c>
      <x:c r="J199" s="1" t="n">
        <x:v>1</x:v>
      </x:c>
      <x:c r="K199" s="1" t="str">
        <x:v>中证官方优先</x:v>
      </x:c>
    </x:row>
    <x:row r="200" ht="25" customHeight="1">
      <x:c r="A200" s="1" t="str">
        <x:v>sh000001</x:v>
      </x:c>
      <x:c r="B200" s="1" t="str">
        <x:v>上证综指</x:v>
      </x:c>
      <x:c r="C200" s="1" t="str">
        <x:v>2007-02</x:v>
      </x:c>
      <x:c r="D200" s="1" t="str">
        <x:v>2007-01-31</x:v>
      </x:c>
      <x:c r="E200" s="5" t="n">
        <x:v>2786.34</x:v>
      </x:c>
      <x:c r="F200" s="6" t="str">
        <x:v>2007-02-28</x:v>
      </x:c>
      <x:c r="G200" s="5" t="n">
        <x:v>2881.07</x:v>
      </x:c>
      <x:c r="H200" s="7" t="n">
        <x:f>G200/E200-1</x:f>
        <x:v>0.03399800455077262</x:v>
      </x:c>
      <x:c r="I200" s="1" t="n">
        <x:v>1</x:v>
      </x:c>
      <x:c r="J200" s="1" t="n">
        <x:v>1</x:v>
      </x:c>
      <x:c r="K200" s="1" t="str">
        <x:v>中证官方优先</x:v>
      </x:c>
    </x:row>
    <x:row r="201" ht="25" customHeight="1">
      <x:c r="A201" s="1" t="str">
        <x:v>sh000001</x:v>
      </x:c>
      <x:c r="B201" s="1" t="str">
        <x:v>上证综指</x:v>
      </x:c>
      <x:c r="C201" s="1" t="str">
        <x:v>2007-03</x:v>
      </x:c>
      <x:c r="D201" s="1" t="str">
        <x:v>2007-02-28</x:v>
      </x:c>
      <x:c r="E201" s="5" t="n">
        <x:v>2881.07</x:v>
      </x:c>
      <x:c r="F201" s="6" t="str">
        <x:v>2007-03-30</x:v>
      </x:c>
      <x:c r="G201" s="5" t="n">
        <x:v>3183.98</x:v>
      </x:c>
      <x:c r="H201" s="7" t="n">
        <x:f>G201/E201-1</x:f>
        <x:v>0.10513802163779418</x:v>
      </x:c>
      <x:c r="I201" s="1" t="n">
        <x:v>1</x:v>
      </x:c>
      <x:c r="J201" s="1" t="n">
        <x:v>1</x:v>
      </x:c>
      <x:c r="K201" s="1" t="str">
        <x:v>中证官方优先</x:v>
      </x:c>
    </x:row>
    <x:row r="202" ht="25" customHeight="1">
      <x:c r="A202" s="1" t="str">
        <x:v>sh000001</x:v>
      </x:c>
      <x:c r="B202" s="1" t="str">
        <x:v>上证综指</x:v>
      </x:c>
      <x:c r="C202" s="1" t="str">
        <x:v>2007-04</x:v>
      </x:c>
      <x:c r="D202" s="1" t="str">
        <x:v>2007-03-30</x:v>
      </x:c>
      <x:c r="E202" s="5" t="n">
        <x:v>3183.98</x:v>
      </x:c>
      <x:c r="F202" s="6" t="str">
        <x:v>2007-04-30</x:v>
      </x:c>
      <x:c r="G202" s="5" t="n">
        <x:v>3841.27</x:v>
      </x:c>
      <x:c r="H202" s="7" t="n">
        <x:f>G202/E202-1</x:f>
        <x:v>0.20643659821983795</x:v>
      </x:c>
      <x:c r="I202" s="1" t="n">
        <x:v>1</x:v>
      </x:c>
      <x:c r="J202" s="1" t="n">
        <x:v>1</x:v>
      </x:c>
      <x:c r="K202" s="1" t="str">
        <x:v>中证官方优先</x:v>
      </x:c>
    </x:row>
    <x:row r="203" ht="25" customHeight="1">
      <x:c r="A203" s="1" t="str">
        <x:v>sh000001</x:v>
      </x:c>
      <x:c r="B203" s="1" t="str">
        <x:v>上证综指</x:v>
      </x:c>
      <x:c r="C203" s="1" t="str">
        <x:v>2007-05</x:v>
      </x:c>
      <x:c r="D203" s="1" t="str">
        <x:v>2007-04-30</x:v>
      </x:c>
      <x:c r="E203" s="5" t="n">
        <x:v>3841.27</x:v>
      </x:c>
      <x:c r="F203" s="6" t="str">
        <x:v>2007-05-31</x:v>
      </x:c>
      <x:c r="G203" s="5" t="n">
        <x:v>4109.65</x:v>
      </x:c>
      <x:c r="H203" s="7" t="n">
        <x:f>G203/E203-1</x:f>
        <x:v>0.06986751777406952</x:v>
      </x:c>
      <x:c r="I203" s="1" t="n">
        <x:v>1</x:v>
      </x:c>
      <x:c r="J203" s="1" t="n">
        <x:v>1</x:v>
      </x:c>
      <x:c r="K203" s="1" t="str">
        <x:v>中证官方优先</x:v>
      </x:c>
    </x:row>
    <x:row r="204" ht="25" customHeight="1">
      <x:c r="A204" s="1" t="str">
        <x:v>sh000001</x:v>
      </x:c>
      <x:c r="B204" s="1" t="str">
        <x:v>上证综指</x:v>
      </x:c>
      <x:c r="C204" s="1" t="str">
        <x:v>2007-06</x:v>
      </x:c>
      <x:c r="D204" s="1" t="str">
        <x:v>2007-05-31</x:v>
      </x:c>
      <x:c r="E204" s="5" t="n">
        <x:v>4109.65</x:v>
      </x:c>
      <x:c r="F204" s="6" t="str">
        <x:v>2007-06-29</x:v>
      </x:c>
      <x:c r="G204" s="5" t="n">
        <x:v>3820.7</x:v>
      </x:c>
      <x:c r="H204" s="7" t="n">
        <x:f>G204/E204-1</x:f>
        <x:v>-0.07031012373316459</x:v>
      </x:c>
      <x:c r="I204" s="1" t="n">
        <x:v>1</x:v>
      </x:c>
      <x:c r="J204" s="1" t="n">
        <x:v>1</x:v>
      </x:c>
      <x:c r="K204" s="1" t="str">
        <x:v>中证官方优先</x:v>
      </x:c>
    </x:row>
    <x:row r="205" ht="25" customHeight="1">
      <x:c r="A205" s="1" t="str">
        <x:v>sh000001</x:v>
      </x:c>
      <x:c r="B205" s="1" t="str">
        <x:v>上证综指</x:v>
      </x:c>
      <x:c r="C205" s="1" t="str">
        <x:v>2007-07</x:v>
      </x:c>
      <x:c r="D205" s="1" t="str">
        <x:v>2007-06-29</x:v>
      </x:c>
      <x:c r="E205" s="5" t="n">
        <x:v>3820.7</x:v>
      </x:c>
      <x:c r="F205" s="6" t="str">
        <x:v>2007-07-31</x:v>
      </x:c>
      <x:c r="G205" s="5" t="n">
        <x:v>4471.03</x:v>
      </x:c>
      <x:c r="H205" s="7" t="n">
        <x:f>G205/E205-1</x:f>
        <x:v>0.17021226476823625</x:v>
      </x:c>
      <x:c r="I205" s="1" t="n">
        <x:v>1</x:v>
      </x:c>
      <x:c r="J205" s="1" t="n">
        <x:v>1</x:v>
      </x:c>
      <x:c r="K205" s="1" t="str">
        <x:v>中证官方优先</x:v>
      </x:c>
    </x:row>
    <x:row r="206" ht="25" customHeight="1">
      <x:c r="A206" s="1" t="str">
        <x:v>sh000001</x:v>
      </x:c>
      <x:c r="B206" s="1" t="str">
        <x:v>上证综指</x:v>
      </x:c>
      <x:c r="C206" s="1" t="str">
        <x:v>2007-08</x:v>
      </x:c>
      <x:c r="D206" s="1" t="str">
        <x:v>2007-07-31</x:v>
      </x:c>
      <x:c r="E206" s="5" t="n">
        <x:v>4471.03</x:v>
      </x:c>
      <x:c r="F206" s="6" t="str">
        <x:v>2007-08-31</x:v>
      </x:c>
      <x:c r="G206" s="5" t="n">
        <x:v>5218.83</x:v>
      </x:c>
      <x:c r="H206" s="7" t="n">
        <x:f>G206/E206-1</x:f>
        <x:v>0.16725452524362394</x:v>
      </x:c>
      <x:c r="I206" s="1" t="n">
        <x:v>1</x:v>
      </x:c>
      <x:c r="J206" s="1" t="n">
        <x:v>1</x:v>
      </x:c>
      <x:c r="K206" s="1" t="str">
        <x:v>中证官方优先</x:v>
      </x:c>
    </x:row>
    <x:row r="207" ht="25" customHeight="1">
      <x:c r="A207" s="1" t="str">
        <x:v>sh000001</x:v>
      </x:c>
      <x:c r="B207" s="1" t="str">
        <x:v>上证综指</x:v>
      </x:c>
      <x:c r="C207" s="1" t="str">
        <x:v>2007-09</x:v>
      </x:c>
      <x:c r="D207" s="1" t="str">
        <x:v>2007-08-31</x:v>
      </x:c>
      <x:c r="E207" s="5" t="n">
        <x:v>5218.83</x:v>
      </x:c>
      <x:c r="F207" s="6" t="str">
        <x:v>2007-09-28</x:v>
      </x:c>
      <x:c r="G207" s="5" t="n">
        <x:v>5552.3</x:v>
      </x:c>
      <x:c r="H207" s="7" t="n">
        <x:f>G207/E207-1</x:f>
        <x:v>0.06389746360774362</x:v>
      </x:c>
      <x:c r="I207" s="1" t="n">
        <x:v>1</x:v>
      </x:c>
      <x:c r="J207" s="1" t="n">
        <x:v>1</x:v>
      </x:c>
      <x:c r="K207" s="1" t="str">
        <x:v>中证官方优先</x:v>
      </x:c>
    </x:row>
    <x:row r="208" ht="25" customHeight="1">
      <x:c r="A208" s="1" t="str">
        <x:v>sh000001</x:v>
      </x:c>
      <x:c r="B208" s="1" t="str">
        <x:v>上证综指</x:v>
      </x:c>
      <x:c r="C208" s="1" t="str">
        <x:v>2007-10</x:v>
      </x:c>
      <x:c r="D208" s="1" t="str">
        <x:v>2007-09-28</x:v>
      </x:c>
      <x:c r="E208" s="5" t="n">
        <x:v>5552.3</x:v>
      </x:c>
      <x:c r="F208" s="6" t="str">
        <x:v>2007-10-31</x:v>
      </x:c>
      <x:c r="G208" s="5" t="n">
        <x:v>5954.77</x:v>
      </x:c>
      <x:c r="H208" s="7" t="n">
        <x:f>G208/E208-1</x:f>
        <x:v>0.07248707742737248</x:v>
      </x:c>
      <x:c r="I208" s="1" t="n">
        <x:v>1</x:v>
      </x:c>
      <x:c r="J208" s="1" t="n">
        <x:v>1</x:v>
      </x:c>
      <x:c r="K208" s="1" t="str">
        <x:v>中证官方优先</x:v>
      </x:c>
    </x:row>
    <x:row r="209" ht="25" customHeight="1">
      <x:c r="A209" s="1" t="str">
        <x:v>sh000001</x:v>
      </x:c>
      <x:c r="B209" s="1" t="str">
        <x:v>上证综指</x:v>
      </x:c>
      <x:c r="C209" s="1" t="str">
        <x:v>2007-11</x:v>
      </x:c>
      <x:c r="D209" s="1" t="str">
        <x:v>2007-10-31</x:v>
      </x:c>
      <x:c r="E209" s="5" t="n">
        <x:v>5954.77</x:v>
      </x:c>
      <x:c r="F209" s="6" t="str">
        <x:v>2007-11-30</x:v>
      </x:c>
      <x:c r="G209" s="5" t="n">
        <x:v>4871.78</x:v>
      </x:c>
      <x:c r="H209" s="7" t="n">
        <x:f>G209/E209-1</x:f>
        <x:v>-0.1818693249277471</x:v>
      </x:c>
      <x:c r="I209" s="1" t="n">
        <x:v>1</x:v>
      </x:c>
      <x:c r="J209" s="1" t="n">
        <x:v>1</x:v>
      </x:c>
      <x:c r="K209" s="1" t="str">
        <x:v>中证官方优先</x:v>
      </x:c>
    </x:row>
    <x:row r="210" ht="25" customHeight="1">
      <x:c r="A210" s="1" t="str">
        <x:v>sh000001</x:v>
      </x:c>
      <x:c r="B210" s="1" t="str">
        <x:v>上证综指</x:v>
      </x:c>
      <x:c r="C210" s="1" t="str">
        <x:v>2007-12</x:v>
      </x:c>
      <x:c r="D210" s="1" t="str">
        <x:v>2007-11-30</x:v>
      </x:c>
      <x:c r="E210" s="5" t="n">
        <x:v>4871.78</x:v>
      </x:c>
      <x:c r="F210" s="6" t="str">
        <x:v>2007-12-28</x:v>
      </x:c>
      <x:c r="G210" s="5" t="n">
        <x:v>5261.56</x:v>
      </x:c>
      <x:c r="H210" s="7" t="n">
        <x:f>G210/E210-1</x:f>
        <x:v>0.08000771791829697</x:v>
      </x:c>
      <x:c r="I210" s="1" t="n">
        <x:v>1</x:v>
      </x:c>
      <x:c r="J210" s="1" t="n">
        <x:v>1</x:v>
      </x:c>
      <x:c r="K210" s="1" t="str">
        <x:v>中证官方优先</x:v>
      </x:c>
    </x:row>
    <x:row r="211" ht="25" customHeight="1">
      <x:c r="A211" s="1" t="str">
        <x:v>sh000001</x:v>
      </x:c>
      <x:c r="B211" s="1" t="str">
        <x:v>上证综指</x:v>
      </x:c>
      <x:c r="C211" s="1" t="str">
        <x:v>2008-01</x:v>
      </x:c>
      <x:c r="D211" s="1" t="str">
        <x:v>2007-12-28</x:v>
      </x:c>
      <x:c r="E211" s="5" t="n">
        <x:v>5261.56</x:v>
      </x:c>
      <x:c r="F211" s="6" t="str">
        <x:v>2008-01-31</x:v>
      </x:c>
      <x:c r="G211" s="5" t="n">
        <x:v>4383.39</x:v>
      </x:c>
      <x:c r="H211" s="7" t="n">
        <x:f>G211/E211-1</x:f>
        <x:v>-0.1669029717422209</x:v>
      </x:c>
      <x:c r="I211" s="1" t="n">
        <x:v>1</x:v>
      </x:c>
      <x:c r="J211" s="1" t="n">
        <x:v>1</x:v>
      </x:c>
      <x:c r="K211" s="1" t="str">
        <x:v>中证官方优先</x:v>
      </x:c>
    </x:row>
    <x:row r="212" ht="25" customHeight="1">
      <x:c r="A212" s="1" t="str">
        <x:v>sh000001</x:v>
      </x:c>
      <x:c r="B212" s="1" t="str">
        <x:v>上证综指</x:v>
      </x:c>
      <x:c r="C212" s="1" t="str">
        <x:v>2008-02</x:v>
      </x:c>
      <x:c r="D212" s="1" t="str">
        <x:v>2008-01-31</x:v>
      </x:c>
      <x:c r="E212" s="5" t="n">
        <x:v>4383.39</x:v>
      </x:c>
      <x:c r="F212" s="6" t="str">
        <x:v>2008-02-29</x:v>
      </x:c>
      <x:c r="G212" s="5" t="n">
        <x:v>4348.54</x:v>
      </x:c>
      <x:c r="H212" s="7" t="n">
        <x:f>G212/E212-1</x:f>
        <x:v>-0.007950467560495444</x:v>
      </x:c>
      <x:c r="I212" s="1" t="n">
        <x:v>1</x:v>
      </x:c>
      <x:c r="J212" s="1" t="n">
        <x:v>1</x:v>
      </x:c>
      <x:c r="K212" s="1" t="str">
        <x:v>中证官方优先</x:v>
      </x:c>
    </x:row>
    <x:row r="213" ht="25" customHeight="1">
      <x:c r="A213" s="1" t="str">
        <x:v>sh000001</x:v>
      </x:c>
      <x:c r="B213" s="1" t="str">
        <x:v>上证综指</x:v>
      </x:c>
      <x:c r="C213" s="1" t="str">
        <x:v>2008-03</x:v>
      </x:c>
      <x:c r="D213" s="1" t="str">
        <x:v>2008-02-29</x:v>
      </x:c>
      <x:c r="E213" s="5" t="n">
        <x:v>4348.54</x:v>
      </x:c>
      <x:c r="F213" s="6" t="str">
        <x:v>2008-03-31</x:v>
      </x:c>
      <x:c r="G213" s="5" t="n">
        <x:v>3472.71</x:v>
      </x:c>
      <x:c r="H213" s="7" t="n">
        <x:f>G213/E213-1</x:f>
        <x:v>-0.20140782883450536</x:v>
      </x:c>
      <x:c r="I213" s="1" t="n">
        <x:v>1</x:v>
      </x:c>
      <x:c r="J213" s="1" t="n">
        <x:v>1</x:v>
      </x:c>
      <x:c r="K213" s="1" t="str">
        <x:v>中证官方优先</x:v>
      </x:c>
    </x:row>
    <x:row r="214" ht="25" customHeight="1">
      <x:c r="A214" s="1" t="str">
        <x:v>sh000001</x:v>
      </x:c>
      <x:c r="B214" s="1" t="str">
        <x:v>上证综指</x:v>
      </x:c>
      <x:c r="C214" s="1" t="str">
        <x:v>2008-04</x:v>
      </x:c>
      <x:c r="D214" s="1" t="str">
        <x:v>2008-03-31</x:v>
      </x:c>
      <x:c r="E214" s="5" t="n">
        <x:v>3472.71</x:v>
      </x:c>
      <x:c r="F214" s="6" t="str">
        <x:v>2008-04-30</x:v>
      </x:c>
      <x:c r="G214" s="5" t="n">
        <x:v>3693.11</x:v>
      </x:c>
      <x:c r="H214" s="7" t="n">
        <x:f>G214/E214-1</x:f>
        <x:v>0.06346628425638778</x:v>
      </x:c>
      <x:c r="I214" s="1" t="n">
        <x:v>1</x:v>
      </x:c>
      <x:c r="J214" s="1" t="n">
        <x:v>1</x:v>
      </x:c>
      <x:c r="K214" s="1" t="str">
        <x:v>中证官方优先</x:v>
      </x:c>
    </x:row>
    <x:row r="215" ht="25" customHeight="1">
      <x:c r="A215" s="1" t="str">
        <x:v>sh000001</x:v>
      </x:c>
      <x:c r="B215" s="1" t="str">
        <x:v>上证综指</x:v>
      </x:c>
      <x:c r="C215" s="1" t="str">
        <x:v>2008-05</x:v>
      </x:c>
      <x:c r="D215" s="1" t="str">
        <x:v>2008-04-30</x:v>
      </x:c>
      <x:c r="E215" s="5" t="n">
        <x:v>3693.11</x:v>
      </x:c>
      <x:c r="F215" s="6" t="str">
        <x:v>2008-05-30</x:v>
      </x:c>
      <x:c r="G215" s="5" t="n">
        <x:v>3433.35</x:v>
      </x:c>
      <x:c r="H215" s="7" t="n">
        <x:f>G215/E215-1</x:f>
        <x:v>-0.07033638315674329</x:v>
      </x:c>
      <x:c r="I215" s="1" t="n">
        <x:v>1</x:v>
      </x:c>
      <x:c r="J215" s="1" t="n">
        <x:v>1</x:v>
      </x:c>
      <x:c r="K215" s="1" t="str">
        <x:v>中证官方优先</x:v>
      </x:c>
    </x:row>
    <x:row r="216" ht="25" customHeight="1">
      <x:c r="A216" s="1" t="str">
        <x:v>sh000001</x:v>
      </x:c>
      <x:c r="B216" s="1" t="str">
        <x:v>上证综指</x:v>
      </x:c>
      <x:c r="C216" s="1" t="str">
        <x:v>2008-06</x:v>
      </x:c>
      <x:c r="D216" s="1" t="str">
        <x:v>2008-05-30</x:v>
      </x:c>
      <x:c r="E216" s="5" t="n">
        <x:v>3433.35</x:v>
      </x:c>
      <x:c r="F216" s="6" t="str">
        <x:v>2008-06-30</x:v>
      </x:c>
      <x:c r="G216" s="5" t="n">
        <x:v>2736.1</x:v>
      </x:c>
      <x:c r="H216" s="7" t="n">
        <x:f>G216/E216-1</x:f>
        <x:v>-0.2030815384391338</x:v>
      </x:c>
      <x:c r="I216" s="1" t="n">
        <x:v>1</x:v>
      </x:c>
      <x:c r="J216" s="1" t="n">
        <x:v>1</x:v>
      </x:c>
      <x:c r="K216" s="1" t="str">
        <x:v>中证官方优先</x:v>
      </x:c>
    </x:row>
    <x:row r="217" ht="25" customHeight="1">
      <x:c r="A217" s="1" t="str">
        <x:v>sh000001</x:v>
      </x:c>
      <x:c r="B217" s="1" t="str">
        <x:v>上证综指</x:v>
      </x:c>
      <x:c r="C217" s="1" t="str">
        <x:v>2008-07</x:v>
      </x:c>
      <x:c r="D217" s="1" t="str">
        <x:v>2008-06-30</x:v>
      </x:c>
      <x:c r="E217" s="5" t="n">
        <x:v>2736.1</x:v>
      </x:c>
      <x:c r="F217" s="6" t="str">
        <x:v>2008-07-31</x:v>
      </x:c>
      <x:c r="G217" s="5" t="n">
        <x:v>2775.72</x:v>
      </x:c>
      <x:c r="H217" s="7" t="n">
        <x:f>G217/E217-1</x:f>
        <x:v>0.01448046489528898</x:v>
      </x:c>
      <x:c r="I217" s="1" t="n">
        <x:v>1</x:v>
      </x:c>
      <x:c r="J217" s="1" t="n">
        <x:v>1</x:v>
      </x:c>
      <x:c r="K217" s="1" t="str">
        <x:v>中证官方优先</x:v>
      </x:c>
    </x:row>
    <x:row r="218" ht="25" customHeight="1">
      <x:c r="A218" s="1" t="str">
        <x:v>sh000001</x:v>
      </x:c>
      <x:c r="B218" s="1" t="str">
        <x:v>上证综指</x:v>
      </x:c>
      <x:c r="C218" s="1" t="str">
        <x:v>2008-08</x:v>
      </x:c>
      <x:c r="D218" s="1" t="str">
        <x:v>2008-07-31</x:v>
      </x:c>
      <x:c r="E218" s="5" t="n">
        <x:v>2775.72</x:v>
      </x:c>
      <x:c r="F218" s="6" t="str">
        <x:v>2008-08-29</x:v>
      </x:c>
      <x:c r="G218" s="5" t="n">
        <x:v>2397.37</x:v>
      </x:c>
      <x:c r="H218" s="7" t="n">
        <x:f>G218/E218-1</x:f>
        <x:v>-0.13630697620797483</x:v>
      </x:c>
      <x:c r="I218" s="1" t="n">
        <x:v>1</x:v>
      </x:c>
      <x:c r="J218" s="1" t="n">
        <x:v>1</x:v>
      </x:c>
      <x:c r="K218" s="1" t="str">
        <x:v>中证官方优先</x:v>
      </x:c>
    </x:row>
    <x:row r="219" ht="25" customHeight="1">
      <x:c r="A219" s="1" t="str">
        <x:v>sh000001</x:v>
      </x:c>
      <x:c r="B219" s="1" t="str">
        <x:v>上证综指</x:v>
      </x:c>
      <x:c r="C219" s="1" t="str">
        <x:v>2008-09</x:v>
      </x:c>
      <x:c r="D219" s="1" t="str">
        <x:v>2008-08-29</x:v>
      </x:c>
      <x:c r="E219" s="5" t="n">
        <x:v>2397.37</x:v>
      </x:c>
      <x:c r="F219" s="6" t="str">
        <x:v>2008-09-26</x:v>
      </x:c>
      <x:c r="G219" s="5" t="n">
        <x:v>2293.78</x:v>
      </x:c>
      <x:c r="H219" s="7" t="n">
        <x:f>G219/E219-1</x:f>
        <x:v>-0.0432098507948292</x:v>
      </x:c>
      <x:c r="I219" s="1" t="n">
        <x:v>1</x:v>
      </x:c>
      <x:c r="J219" s="1" t="n">
        <x:v>1</x:v>
      </x:c>
      <x:c r="K219" s="1" t="str">
        <x:v>中证官方优先</x:v>
      </x:c>
    </x:row>
    <x:row r="220" ht="25" customHeight="1">
      <x:c r="A220" s="1" t="str">
        <x:v>sh000001</x:v>
      </x:c>
      <x:c r="B220" s="1" t="str">
        <x:v>上证综指</x:v>
      </x:c>
      <x:c r="C220" s="1" t="str">
        <x:v>2008-10</x:v>
      </x:c>
      <x:c r="D220" s="1" t="str">
        <x:v>2008-09-26</x:v>
      </x:c>
      <x:c r="E220" s="5" t="n">
        <x:v>2293.78</x:v>
      </x:c>
      <x:c r="F220" s="6" t="str">
        <x:v>2008-10-31</x:v>
      </x:c>
      <x:c r="G220" s="5" t="n">
        <x:v>1728.79</x:v>
      </x:c>
      <x:c r="H220" s="7" t="n">
        <x:f>G220/E220-1</x:f>
        <x:v>-0.2463139446677537</x:v>
      </x:c>
      <x:c r="I220" s="1" t="n">
        <x:v>1</x:v>
      </x:c>
      <x:c r="J220" s="1" t="n">
        <x:v>1</x:v>
      </x:c>
      <x:c r="K220" s="1" t="str">
        <x:v>中证官方优先</x:v>
      </x:c>
    </x:row>
    <x:row r="221" ht="25" customHeight="1">
      <x:c r="A221" s="1" t="str">
        <x:v>sh000001</x:v>
      </x:c>
      <x:c r="B221" s="1" t="str">
        <x:v>上证综指</x:v>
      </x:c>
      <x:c r="C221" s="1" t="str">
        <x:v>2008-11</x:v>
      </x:c>
      <x:c r="D221" s="1" t="str">
        <x:v>2008-10-31</x:v>
      </x:c>
      <x:c r="E221" s="5" t="n">
        <x:v>1728.79</x:v>
      </x:c>
      <x:c r="F221" s="6" t="str">
        <x:v>2008-11-28</x:v>
      </x:c>
      <x:c r="G221" s="5" t="n">
        <x:v>1871.16</x:v>
      </x:c>
      <x:c r="H221" s="7" t="n">
        <x:f>G221/E221-1</x:f>
        <x:v>0.08235239676305395</x:v>
      </x:c>
      <x:c r="I221" s="1" t="n">
        <x:v>1</x:v>
      </x:c>
      <x:c r="J221" s="1" t="n">
        <x:v>1</x:v>
      </x:c>
      <x:c r="K221" s="1" t="str">
        <x:v>中证官方优先</x:v>
      </x:c>
    </x:row>
    <x:row r="222" ht="25" customHeight="1">
      <x:c r="A222" s="1" t="str">
        <x:v>sh000001</x:v>
      </x:c>
      <x:c r="B222" s="1" t="str">
        <x:v>上证综指</x:v>
      </x:c>
      <x:c r="C222" s="1" t="str">
        <x:v>2008-12</x:v>
      </x:c>
      <x:c r="D222" s="1" t="str">
        <x:v>2008-11-28</x:v>
      </x:c>
      <x:c r="E222" s="5" t="n">
        <x:v>1871.16</x:v>
      </x:c>
      <x:c r="F222" s="6" t="str">
        <x:v>2008-12-31</x:v>
      </x:c>
      <x:c r="G222" s="5" t="n">
        <x:v>1820.81</x:v>
      </x:c>
      <x:c r="H222" s="7" t="n">
        <x:f>G222/E222-1</x:f>
        <x:v>-0.026908441822185214</x:v>
      </x:c>
      <x:c r="I222" s="1" t="n">
        <x:v>1</x:v>
      </x:c>
      <x:c r="J222" s="1" t="n">
        <x:v>1</x:v>
      </x:c>
      <x:c r="K222" s="1" t="str">
        <x:v>中证官方优先</x:v>
      </x:c>
    </x:row>
    <x:row r="223" ht="25" customHeight="1">
      <x:c r="A223" s="1" t="str">
        <x:v>sh000001</x:v>
      </x:c>
      <x:c r="B223" s="1" t="str">
        <x:v>上证综指</x:v>
      </x:c>
      <x:c r="C223" s="1" t="str">
        <x:v>2009-01</x:v>
      </x:c>
      <x:c r="D223" s="1" t="str">
        <x:v>2008-12-31</x:v>
      </x:c>
      <x:c r="E223" s="5" t="n">
        <x:v>1820.81</x:v>
      </x:c>
      <x:c r="F223" s="6" t="str">
        <x:v>2009-01-23</x:v>
      </x:c>
      <x:c r="G223" s="5" t="n">
        <x:v>1990.66</x:v>
      </x:c>
      <x:c r="H223" s="7" t="n">
        <x:f>G223/E223-1</x:f>
        <x:v>0.09328265991509288</x:v>
      </x:c>
      <x:c r="I223" s="1" t="n">
        <x:v>1</x:v>
      </x:c>
      <x:c r="J223" s="1" t="n">
        <x:v>1</x:v>
      </x:c>
      <x:c r="K223" s="1" t="str">
        <x:v>中证官方优先</x:v>
      </x:c>
    </x:row>
    <x:row r="224" ht="25" customHeight="1">
      <x:c r="A224" s="1" t="str">
        <x:v>sh000001</x:v>
      </x:c>
      <x:c r="B224" s="1" t="str">
        <x:v>上证综指</x:v>
      </x:c>
      <x:c r="C224" s="1" t="str">
        <x:v>2009-02</x:v>
      </x:c>
      <x:c r="D224" s="1" t="str">
        <x:v>2009-01-23</x:v>
      </x:c>
      <x:c r="E224" s="5" t="n">
        <x:v>1990.66</x:v>
      </x:c>
      <x:c r="F224" s="6" t="str">
        <x:v>2009-02-27</x:v>
      </x:c>
      <x:c r="G224" s="5" t="n">
        <x:v>2082.85</x:v>
      </x:c>
      <x:c r="H224" s="7" t="n">
        <x:f>G224/E224-1</x:f>
        <x:v>0.04631127364793586</x:v>
      </x:c>
      <x:c r="I224" s="1" t="n">
        <x:v>1</x:v>
      </x:c>
      <x:c r="J224" s="1" t="n">
        <x:v>1</x:v>
      </x:c>
      <x:c r="K224" s="1" t="str">
        <x:v>中证官方优先</x:v>
      </x:c>
    </x:row>
    <x:row r="225" ht="25" customHeight="1">
      <x:c r="A225" s="1" t="str">
        <x:v>sh000001</x:v>
      </x:c>
      <x:c r="B225" s="1" t="str">
        <x:v>上证综指</x:v>
      </x:c>
      <x:c r="C225" s="1" t="str">
        <x:v>2009-03</x:v>
      </x:c>
      <x:c r="D225" s="1" t="str">
        <x:v>2009-02-27</x:v>
      </x:c>
      <x:c r="E225" s="5" t="n">
        <x:v>2082.85</x:v>
      </x:c>
      <x:c r="F225" s="6" t="str">
        <x:v>2009-03-31</x:v>
      </x:c>
      <x:c r="G225" s="5" t="n">
        <x:v>2373.21</x:v>
      </x:c>
      <x:c r="H225" s="7" t="n">
        <x:f>G225/E225-1</x:f>
        <x:v>0.13940514199294252</x:v>
      </x:c>
      <x:c r="I225" s="1" t="n">
        <x:v>1</x:v>
      </x:c>
      <x:c r="J225" s="1" t="n">
        <x:v>1</x:v>
      </x:c>
      <x:c r="K225" s="1" t="str">
        <x:v>中证官方优先</x:v>
      </x:c>
    </x:row>
    <x:row r="226" ht="25" customHeight="1">
      <x:c r="A226" s="1" t="str">
        <x:v>sh000001</x:v>
      </x:c>
      <x:c r="B226" s="1" t="str">
        <x:v>上证综指</x:v>
      </x:c>
      <x:c r="C226" s="1" t="str">
        <x:v>2009-04</x:v>
      </x:c>
      <x:c r="D226" s="1" t="str">
        <x:v>2009-03-31</x:v>
      </x:c>
      <x:c r="E226" s="5" t="n">
        <x:v>2373.21</x:v>
      </x:c>
      <x:c r="F226" s="6" t="str">
        <x:v>2009-04-30</x:v>
      </x:c>
      <x:c r="G226" s="5" t="n">
        <x:v>2477.57</x:v>
      </x:c>
      <x:c r="H226" s="7" t="n">
        <x:f>G226/E226-1</x:f>
        <x:v>0.04397419528823843</x:v>
      </x:c>
      <x:c r="I226" s="1" t="n">
        <x:v>1</x:v>
      </x:c>
      <x:c r="J226" s="1" t="n">
        <x:v>1</x:v>
      </x:c>
      <x:c r="K226" s="1" t="str">
        <x:v>中证官方优先</x:v>
      </x:c>
    </x:row>
    <x:row r="227" ht="25" customHeight="1">
      <x:c r="A227" s="1" t="str">
        <x:v>sh000001</x:v>
      </x:c>
      <x:c r="B227" s="1" t="str">
        <x:v>上证综指</x:v>
      </x:c>
      <x:c r="C227" s="1" t="str">
        <x:v>2009-05</x:v>
      </x:c>
      <x:c r="D227" s="1" t="str">
        <x:v>2009-04-30</x:v>
      </x:c>
      <x:c r="E227" s="5" t="n">
        <x:v>2477.57</x:v>
      </x:c>
      <x:c r="F227" s="6" t="str">
        <x:v>2009-05-27</x:v>
      </x:c>
      <x:c r="G227" s="5" t="n">
        <x:v>2632.93</x:v>
      </x:c>
      <x:c r="H227" s="7" t="n">
        <x:f>G227/E227-1</x:f>
        <x:v>0.06270660364792913</x:v>
      </x:c>
      <x:c r="I227" s="1" t="n">
        <x:v>1</x:v>
      </x:c>
      <x:c r="J227" s="1" t="n">
        <x:v>1</x:v>
      </x:c>
      <x:c r="K227" s="1" t="str">
        <x:v>中证官方优先</x:v>
      </x:c>
    </x:row>
    <x:row r="228" ht="25" customHeight="1">
      <x:c r="A228" s="1" t="str">
        <x:v>sh000001</x:v>
      </x:c>
      <x:c r="B228" s="1" t="str">
        <x:v>上证综指</x:v>
      </x:c>
      <x:c r="C228" s="1" t="str">
        <x:v>2009-06</x:v>
      </x:c>
      <x:c r="D228" s="1" t="str">
        <x:v>2009-05-27</x:v>
      </x:c>
      <x:c r="E228" s="5" t="n">
        <x:v>2632.93</x:v>
      </x:c>
      <x:c r="F228" s="6" t="str">
        <x:v>2009-06-30</x:v>
      </x:c>
      <x:c r="G228" s="5" t="n">
        <x:v>2959.36</x:v>
      </x:c>
      <x:c r="H228" s="7" t="n">
        <x:f>G228/E228-1</x:f>
        <x:v>0.12397974879696783</x:v>
      </x:c>
      <x:c r="I228" s="1" t="n">
        <x:v>1</x:v>
      </x:c>
      <x:c r="J228" s="1" t="n">
        <x:v>1</x:v>
      </x:c>
      <x:c r="K228" s="1" t="str">
        <x:v>中证官方优先</x:v>
      </x:c>
    </x:row>
    <x:row r="229" ht="25" customHeight="1">
      <x:c r="A229" s="1" t="str">
        <x:v>sh000001</x:v>
      </x:c>
      <x:c r="B229" s="1" t="str">
        <x:v>上证综指</x:v>
      </x:c>
      <x:c r="C229" s="1" t="str">
        <x:v>2009-07</x:v>
      </x:c>
      <x:c r="D229" s="1" t="str">
        <x:v>2009-06-30</x:v>
      </x:c>
      <x:c r="E229" s="5" t="n">
        <x:v>2959.36</x:v>
      </x:c>
      <x:c r="F229" s="6" t="str">
        <x:v>2009-07-31</x:v>
      </x:c>
      <x:c r="G229" s="5" t="n">
        <x:v>3412.06</x:v>
      </x:c>
      <x:c r="H229" s="7" t="n">
        <x:f>G229/E229-1</x:f>
        <x:v>0.15297226427335642</x:v>
      </x:c>
      <x:c r="I229" s="1" t="n">
        <x:v>1</x:v>
      </x:c>
      <x:c r="J229" s="1" t="n">
        <x:v>1</x:v>
      </x:c>
      <x:c r="K229" s="1" t="str">
        <x:v>中证官方优先</x:v>
      </x:c>
    </x:row>
    <x:row r="230" ht="25" customHeight="1">
      <x:c r="A230" s="1" t="str">
        <x:v>sh000001</x:v>
      </x:c>
      <x:c r="B230" s="1" t="str">
        <x:v>上证综指</x:v>
      </x:c>
      <x:c r="C230" s="1" t="str">
        <x:v>2009-08</x:v>
      </x:c>
      <x:c r="D230" s="1" t="str">
        <x:v>2009-07-31</x:v>
      </x:c>
      <x:c r="E230" s="5" t="n">
        <x:v>3412.06</x:v>
      </x:c>
      <x:c r="F230" s="6" t="str">
        <x:v>2009-08-31</x:v>
      </x:c>
      <x:c r="G230" s="5" t="n">
        <x:v>2667.75</x:v>
      </x:c>
      <x:c r="H230" s="7" t="n">
        <x:f>G230/E230-1</x:f>
        <x:v>-0.2181409471111293</x:v>
      </x:c>
      <x:c r="I230" s="1" t="n">
        <x:v>1</x:v>
      </x:c>
      <x:c r="J230" s="1" t="n">
        <x:v>1</x:v>
      </x:c>
      <x:c r="K230" s="1" t="str">
        <x:v>中证官方优先</x:v>
      </x:c>
    </x:row>
    <x:row r="231" ht="25" customHeight="1">
      <x:c r="A231" s="1" t="str">
        <x:v>sh000001</x:v>
      </x:c>
      <x:c r="B231" s="1" t="str">
        <x:v>上证综指</x:v>
      </x:c>
      <x:c r="C231" s="1" t="str">
        <x:v>2009-09</x:v>
      </x:c>
      <x:c r="D231" s="1" t="str">
        <x:v>2009-08-31</x:v>
      </x:c>
      <x:c r="E231" s="5" t="n">
        <x:v>2667.75</x:v>
      </x:c>
      <x:c r="F231" s="6" t="str">
        <x:v>2009-09-30</x:v>
      </x:c>
      <x:c r="G231" s="5" t="n">
        <x:v>2779.43</x:v>
      </x:c>
      <x:c r="H231" s="7" t="n">
        <x:f>G231/E231-1</x:f>
        <x:v>0.04186299315902908</x:v>
      </x:c>
      <x:c r="I231" s="1" t="n">
        <x:v>1</x:v>
      </x:c>
      <x:c r="J231" s="1" t="n">
        <x:v>1</x:v>
      </x:c>
      <x:c r="K231" s="1" t="str">
        <x:v>中证官方优先</x:v>
      </x:c>
    </x:row>
    <x:row r="232" ht="25" customHeight="1">
      <x:c r="A232" s="1" t="str">
        <x:v>sh000001</x:v>
      </x:c>
      <x:c r="B232" s="1" t="str">
        <x:v>上证综指</x:v>
      </x:c>
      <x:c r="C232" s="1" t="str">
        <x:v>2009-10</x:v>
      </x:c>
      <x:c r="D232" s="1" t="str">
        <x:v>2009-09-30</x:v>
      </x:c>
      <x:c r="E232" s="5" t="n">
        <x:v>2779.43</x:v>
      </x:c>
      <x:c r="F232" s="6" t="str">
        <x:v>2009-10-30</x:v>
      </x:c>
      <x:c r="G232" s="5" t="n">
        <x:v>2995.85</x:v>
      </x:c>
      <x:c r="H232" s="7" t="n">
        <x:f>G232/E232-1</x:f>
        <x:v>0.07786488596582752</x:v>
      </x:c>
      <x:c r="I232" s="1" t="n">
        <x:v>1</x:v>
      </x:c>
      <x:c r="J232" s="1" t="n">
        <x:v>1</x:v>
      </x:c>
      <x:c r="K232" s="1" t="str">
        <x:v>中证官方优先</x:v>
      </x:c>
    </x:row>
    <x:row r="233" ht="25" customHeight="1">
      <x:c r="A233" s="1" t="str">
        <x:v>sh000001</x:v>
      </x:c>
      <x:c r="B233" s="1" t="str">
        <x:v>上证综指</x:v>
      </x:c>
      <x:c r="C233" s="1" t="str">
        <x:v>2009-11</x:v>
      </x:c>
      <x:c r="D233" s="1" t="str">
        <x:v>2009-10-30</x:v>
      </x:c>
      <x:c r="E233" s="5" t="n">
        <x:v>2995.85</x:v>
      </x:c>
      <x:c r="F233" s="6" t="str">
        <x:v>2009-11-30</x:v>
      </x:c>
      <x:c r="G233" s="5" t="n">
        <x:v>3195.3</x:v>
      </x:c>
      <x:c r="H233" s="7" t="n">
        <x:f>G233/E233-1</x:f>
        <x:v>0.0665754293439258</x:v>
      </x:c>
      <x:c r="I233" s="1" t="n">
        <x:v>1</x:v>
      </x:c>
      <x:c r="J233" s="1" t="n">
        <x:v>1</x:v>
      </x:c>
      <x:c r="K233" s="1" t="str">
        <x:v>中证官方优先</x:v>
      </x:c>
    </x:row>
    <x:row r="234" ht="25" customHeight="1">
      <x:c r="A234" s="1" t="str">
        <x:v>sh000001</x:v>
      </x:c>
      <x:c r="B234" s="1" t="str">
        <x:v>上证综指</x:v>
      </x:c>
      <x:c r="C234" s="1" t="str">
        <x:v>2009-12</x:v>
      </x:c>
      <x:c r="D234" s="1" t="str">
        <x:v>2009-11-30</x:v>
      </x:c>
      <x:c r="E234" s="5" t="n">
        <x:v>3195.3</x:v>
      </x:c>
      <x:c r="F234" s="6" t="str">
        <x:v>2009-12-31</x:v>
      </x:c>
      <x:c r="G234" s="5" t="n">
        <x:v>3277.14</x:v>
      </x:c>
      <x:c r="H234" s="7" t="n">
        <x:f>G234/E234-1</x:f>
        <x:v>0.025612618533470854</x:v>
      </x:c>
      <x:c r="I234" s="1" t="n">
        <x:v>1</x:v>
      </x:c>
      <x:c r="J234" s="1" t="n">
        <x:v>1</x:v>
      </x:c>
      <x:c r="K234" s="1" t="str">
        <x:v>中证官方优先</x:v>
      </x:c>
    </x:row>
    <x:row r="235" ht="25" customHeight="1">
      <x:c r="A235" s="1" t="str">
        <x:v>sh000001</x:v>
      </x:c>
      <x:c r="B235" s="1" t="str">
        <x:v>上证综指</x:v>
      </x:c>
      <x:c r="C235" s="1" t="str">
        <x:v>2010-01</x:v>
      </x:c>
      <x:c r="D235" s="1" t="str">
        <x:v>2009-12-31</x:v>
      </x:c>
      <x:c r="E235" s="5" t="n">
        <x:v>3277.14</x:v>
      </x:c>
      <x:c r="F235" s="6" t="str">
        <x:v>2010-01-29</x:v>
      </x:c>
      <x:c r="G235" s="5" t="n">
        <x:v>2989.29</x:v>
      </x:c>
      <x:c r="H235" s="7" t="n">
        <x:f>G235/E235-1</x:f>
        <x:v>-0.08783573481755436</x:v>
      </x:c>
      <x:c r="I235" s="1" t="n">
        <x:v>1</x:v>
      </x:c>
      <x:c r="J235" s="1" t="n">
        <x:v>1</x:v>
      </x:c>
      <x:c r="K235" s="1" t="str">
        <x:v>中证官方优先</x:v>
      </x:c>
    </x:row>
    <x:row r="236" ht="25" customHeight="1">
      <x:c r="A236" s="1" t="str">
        <x:v>sh000001</x:v>
      </x:c>
      <x:c r="B236" s="1" t="str">
        <x:v>上证综指</x:v>
      </x:c>
      <x:c r="C236" s="1" t="str">
        <x:v>2010-02</x:v>
      </x:c>
      <x:c r="D236" s="1" t="str">
        <x:v>2010-01-29</x:v>
      </x:c>
      <x:c r="E236" s="5" t="n">
        <x:v>2989.29</x:v>
      </x:c>
      <x:c r="F236" s="6" t="str">
        <x:v>2010-02-26</x:v>
      </x:c>
      <x:c r="G236" s="5" t="n">
        <x:v>3051.94</x:v>
      </x:c>
      <x:c r="H236" s="7" t="n">
        <x:f>G236/E236-1</x:f>
        <x:v>0.020958153942909563</x:v>
      </x:c>
      <x:c r="I236" s="1" t="n">
        <x:v>1</x:v>
      </x:c>
      <x:c r="J236" s="1" t="n">
        <x:v>1</x:v>
      </x:c>
      <x:c r="K236" s="1" t="str">
        <x:v>中证官方优先</x:v>
      </x:c>
    </x:row>
    <x:row r="237" ht="25" customHeight="1">
      <x:c r="A237" s="1" t="str">
        <x:v>sh000001</x:v>
      </x:c>
      <x:c r="B237" s="1" t="str">
        <x:v>上证综指</x:v>
      </x:c>
      <x:c r="C237" s="1" t="str">
        <x:v>2010-03</x:v>
      </x:c>
      <x:c r="D237" s="1" t="str">
        <x:v>2010-02-26</x:v>
      </x:c>
      <x:c r="E237" s="5" t="n">
        <x:v>3051.94</x:v>
      </x:c>
      <x:c r="F237" s="6" t="str">
        <x:v>2010-03-31</x:v>
      </x:c>
      <x:c r="G237" s="5" t="n">
        <x:v>3109.11</x:v>
      </x:c>
      <x:c r="H237" s="7" t="n">
        <x:f>G237/E237-1</x:f>
        <x:v>0.018732347293852536</x:v>
      </x:c>
      <x:c r="I237" s="1" t="n">
        <x:v>1</x:v>
      </x:c>
      <x:c r="J237" s="1" t="n">
        <x:v>1</x:v>
      </x:c>
      <x:c r="K237" s="1" t="str">
        <x:v>中证官方优先</x:v>
      </x:c>
    </x:row>
    <x:row r="238" ht="25" customHeight="1">
      <x:c r="A238" s="1" t="str">
        <x:v>sh000001</x:v>
      </x:c>
      <x:c r="B238" s="1" t="str">
        <x:v>上证综指</x:v>
      </x:c>
      <x:c r="C238" s="1" t="str">
        <x:v>2010-04</x:v>
      </x:c>
      <x:c r="D238" s="1" t="str">
        <x:v>2010-03-31</x:v>
      </x:c>
      <x:c r="E238" s="5" t="n">
        <x:v>3109.11</x:v>
      </x:c>
      <x:c r="F238" s="6" t="str">
        <x:v>2010-04-30</x:v>
      </x:c>
      <x:c r="G238" s="5" t="n">
        <x:v>2870.61</x:v>
      </x:c>
      <x:c r="H238" s="7" t="n">
        <x:f>G238/E238-1</x:f>
        <x:v>-0.07671005528913422</x:v>
      </x:c>
      <x:c r="I238" s="1" t="n">
        <x:v>1</x:v>
      </x:c>
      <x:c r="J238" s="1" t="n">
        <x:v>1</x:v>
      </x:c>
      <x:c r="K238" s="1" t="str">
        <x:v>中证官方优先</x:v>
      </x:c>
    </x:row>
    <x:row r="239" ht="25" customHeight="1">
      <x:c r="A239" s="1" t="str">
        <x:v>sh000001</x:v>
      </x:c>
      <x:c r="B239" s="1" t="str">
        <x:v>上证综指</x:v>
      </x:c>
      <x:c r="C239" s="1" t="str">
        <x:v>2010-05</x:v>
      </x:c>
      <x:c r="D239" s="1" t="str">
        <x:v>2010-04-30</x:v>
      </x:c>
      <x:c r="E239" s="5" t="n">
        <x:v>2870.61</x:v>
      </x:c>
      <x:c r="F239" s="6" t="str">
        <x:v>2010-05-31</x:v>
      </x:c>
      <x:c r="G239" s="5" t="n">
        <x:v>2592.15</x:v>
      </x:c>
      <x:c r="H239" s="7" t="n">
        <x:f>G239/E239-1</x:f>
        <x:v>-0.09700377271729699</x:v>
      </x:c>
      <x:c r="I239" s="1" t="n">
        <x:v>1</x:v>
      </x:c>
      <x:c r="J239" s="1" t="n">
        <x:v>1</x:v>
      </x:c>
      <x:c r="K239" s="1" t="str">
        <x:v>中证官方优先</x:v>
      </x:c>
    </x:row>
    <x:row r="240" ht="25" customHeight="1">
      <x:c r="A240" s="1" t="str">
        <x:v>sh000001</x:v>
      </x:c>
      <x:c r="B240" s="1" t="str">
        <x:v>上证综指</x:v>
      </x:c>
      <x:c r="C240" s="1" t="str">
        <x:v>2010-06</x:v>
      </x:c>
      <x:c r="D240" s="1" t="str">
        <x:v>2010-05-31</x:v>
      </x:c>
      <x:c r="E240" s="5" t="n">
        <x:v>2592.15</x:v>
      </x:c>
      <x:c r="F240" s="6" t="str">
        <x:v>2010-06-30</x:v>
      </x:c>
      <x:c r="G240" s="5" t="n">
        <x:v>2398.37</x:v>
      </x:c>
      <x:c r="H240" s="7" t="n">
        <x:f>G240/E240-1</x:f>
        <x:v>-0.07475647628416571</x:v>
      </x:c>
      <x:c r="I240" s="1" t="n">
        <x:v>1</x:v>
      </x:c>
      <x:c r="J240" s="1" t="n">
        <x:v>1</x:v>
      </x:c>
      <x:c r="K240" s="1" t="str">
        <x:v>中证官方优先</x:v>
      </x:c>
    </x:row>
    <x:row r="241" ht="25" customHeight="1">
      <x:c r="A241" s="1" t="str">
        <x:v>sh000001</x:v>
      </x:c>
      <x:c r="B241" s="1" t="str">
        <x:v>上证综指</x:v>
      </x:c>
      <x:c r="C241" s="1" t="str">
        <x:v>2010-07</x:v>
      </x:c>
      <x:c r="D241" s="1" t="str">
        <x:v>2010-06-30</x:v>
      </x:c>
      <x:c r="E241" s="5" t="n">
        <x:v>2398.37</x:v>
      </x:c>
      <x:c r="F241" s="6" t="str">
        <x:v>2010-07-30</x:v>
      </x:c>
      <x:c r="G241" s="5" t="n">
        <x:v>2637.5</x:v>
      </x:c>
      <x:c r="H241" s="7" t="n">
        <x:f>G241/E241-1</x:f>
        <x:v>0.09970521645951202</x:v>
      </x:c>
      <x:c r="I241" s="1" t="n">
        <x:v>1</x:v>
      </x:c>
      <x:c r="J241" s="1" t="n">
        <x:v>1</x:v>
      </x:c>
      <x:c r="K241" s="1" t="str">
        <x:v>中证官方优先</x:v>
      </x:c>
    </x:row>
    <x:row r="242" ht="25" customHeight="1">
      <x:c r="A242" s="1" t="str">
        <x:v>sh000001</x:v>
      </x:c>
      <x:c r="B242" s="1" t="str">
        <x:v>上证综指</x:v>
      </x:c>
      <x:c r="C242" s="1" t="str">
        <x:v>2010-08</x:v>
      </x:c>
      <x:c r="D242" s="1" t="str">
        <x:v>2010-07-30</x:v>
      </x:c>
      <x:c r="E242" s="5" t="n">
        <x:v>2637.5</x:v>
      </x:c>
      <x:c r="F242" s="6" t="str">
        <x:v>2010-08-31</x:v>
      </x:c>
      <x:c r="G242" s="5" t="n">
        <x:v>2638.8</x:v>
      </x:c>
      <x:c r="H242" s="7" t="n">
        <x:f>G242/E242-1</x:f>
        <x:v>0.0004928909952608418</x:v>
      </x:c>
      <x:c r="I242" s="1" t="n">
        <x:v>1</x:v>
      </x:c>
      <x:c r="J242" s="1" t="n">
        <x:v>1</x:v>
      </x:c>
      <x:c r="K242" s="1" t="str">
        <x:v>中证官方优先</x:v>
      </x:c>
    </x:row>
    <x:row r="243" ht="25" customHeight="1">
      <x:c r="A243" s="1" t="str">
        <x:v>sh000001</x:v>
      </x:c>
      <x:c r="B243" s="1" t="str">
        <x:v>上证综指</x:v>
      </x:c>
      <x:c r="C243" s="1" t="str">
        <x:v>2010-09</x:v>
      </x:c>
      <x:c r="D243" s="1" t="str">
        <x:v>2010-08-31</x:v>
      </x:c>
      <x:c r="E243" s="5" t="n">
        <x:v>2638.8</x:v>
      </x:c>
      <x:c r="F243" s="6" t="str">
        <x:v>2010-09-30</x:v>
      </x:c>
      <x:c r="G243" s="5" t="n">
        <x:v>2655.66</x:v>
      </x:c>
      <x:c r="H243" s="7" t="n">
        <x:f>G243/E243-1</x:f>
        <x:v>0.006389267849022051</x:v>
      </x:c>
      <x:c r="I243" s="1" t="n">
        <x:v>1</x:v>
      </x:c>
      <x:c r="J243" s="1" t="n">
        <x:v>1</x:v>
      </x:c>
      <x:c r="K243" s="1" t="str">
        <x:v>中证官方优先</x:v>
      </x:c>
    </x:row>
    <x:row r="244" ht="25" customHeight="1">
      <x:c r="A244" s="1" t="str">
        <x:v>sh000001</x:v>
      </x:c>
      <x:c r="B244" s="1" t="str">
        <x:v>上证综指</x:v>
      </x:c>
      <x:c r="C244" s="1" t="str">
        <x:v>2010-10</x:v>
      </x:c>
      <x:c r="D244" s="1" t="str">
        <x:v>2010-09-30</x:v>
      </x:c>
      <x:c r="E244" s="5" t="n">
        <x:v>2655.66</x:v>
      </x:c>
      <x:c r="F244" s="6" t="str">
        <x:v>2010-10-29</x:v>
      </x:c>
      <x:c r="G244" s="5" t="n">
        <x:v>2978.84</x:v>
      </x:c>
      <x:c r="H244" s="7" t="n">
        <x:f>G244/E244-1</x:f>
        <x:v>0.12169479526746652</x:v>
      </x:c>
      <x:c r="I244" s="1" t="n">
        <x:v>1</x:v>
      </x:c>
      <x:c r="J244" s="1" t="n">
        <x:v>1</x:v>
      </x:c>
      <x:c r="K244" s="1" t="str">
        <x:v>中证官方优先</x:v>
      </x:c>
    </x:row>
    <x:row r="245" ht="25" customHeight="1">
      <x:c r="A245" s="1" t="str">
        <x:v>sh000001</x:v>
      </x:c>
      <x:c r="B245" s="1" t="str">
        <x:v>上证综指</x:v>
      </x:c>
      <x:c r="C245" s="1" t="str">
        <x:v>2010-11</x:v>
      </x:c>
      <x:c r="D245" s="1" t="str">
        <x:v>2010-10-29</x:v>
      </x:c>
      <x:c r="E245" s="5" t="n">
        <x:v>2978.84</x:v>
      </x:c>
      <x:c r="F245" s="6" t="str">
        <x:v>2010-11-30</x:v>
      </x:c>
      <x:c r="G245" s="5" t="n">
        <x:v>2820.18</x:v>
      </x:c>
      <x:c r="H245" s="7" t="n">
        <x:f>G245/E245-1</x:f>
        <x:v>-0.053262343731116935</x:v>
      </x:c>
      <x:c r="I245" s="1" t="n">
        <x:v>1</x:v>
      </x:c>
      <x:c r="J245" s="1" t="n">
        <x:v>1</x:v>
      </x:c>
      <x:c r="K245" s="1" t="str">
        <x:v>中证官方优先</x:v>
      </x:c>
    </x:row>
    <x:row r="246" ht="25" customHeight="1">
      <x:c r="A246" s="1" t="str">
        <x:v>sh000001</x:v>
      </x:c>
      <x:c r="B246" s="1" t="str">
        <x:v>上证综指</x:v>
      </x:c>
      <x:c r="C246" s="1" t="str">
        <x:v>2010-12</x:v>
      </x:c>
      <x:c r="D246" s="1" t="str">
        <x:v>2010-11-30</x:v>
      </x:c>
      <x:c r="E246" s="5" t="n">
        <x:v>2820.18</x:v>
      </x:c>
      <x:c r="F246" s="6" t="str">
        <x:v>2010-12-31</x:v>
      </x:c>
      <x:c r="G246" s="5" t="n">
        <x:v>2808.08</x:v>
      </x:c>
      <x:c r="H246" s="7" t="n">
        <x:f>G246/E246-1</x:f>
        <x:v>-0.004290506279740924</x:v>
      </x:c>
      <x:c r="I246" s="1" t="n">
        <x:v>1</x:v>
      </x:c>
      <x:c r="J246" s="1" t="n">
        <x:v>1</x:v>
      </x:c>
      <x:c r="K246" s="1" t="str">
        <x:v>中证官方优先</x:v>
      </x:c>
    </x:row>
    <x:row r="247" ht="25" customHeight="1">
      <x:c r="A247" s="1" t="str">
        <x:v>sh000001</x:v>
      </x:c>
      <x:c r="B247" s="1" t="str">
        <x:v>上证综指</x:v>
      </x:c>
      <x:c r="C247" s="1" t="str">
        <x:v>2011-01</x:v>
      </x:c>
      <x:c r="D247" s="1" t="str">
        <x:v>2010-12-31</x:v>
      </x:c>
      <x:c r="E247" s="5" t="n">
        <x:v>2808.08</x:v>
      </x:c>
      <x:c r="F247" s="6" t="str">
        <x:v>2011-01-31</x:v>
      </x:c>
      <x:c r="G247" s="5" t="n">
        <x:v>2790.69</x:v>
      </x:c>
      <x:c r="H247" s="7" t="n">
        <x:f>G247/E247-1</x:f>
        <x:v>-0.006192843508731949</x:v>
      </x:c>
      <x:c r="I247" s="1" t="n">
        <x:v>1</x:v>
      </x:c>
      <x:c r="J247" s="1" t="n">
        <x:v>1</x:v>
      </x:c>
      <x:c r="K247" s="1" t="str">
        <x:v>中证官方优先</x:v>
      </x:c>
    </x:row>
    <x:row r="248" ht="25" customHeight="1">
      <x:c r="A248" s="1" t="str">
        <x:v>sh000001</x:v>
      </x:c>
      <x:c r="B248" s="1" t="str">
        <x:v>上证综指</x:v>
      </x:c>
      <x:c r="C248" s="1" t="str">
        <x:v>2011-02</x:v>
      </x:c>
      <x:c r="D248" s="1" t="str">
        <x:v>2011-01-31</x:v>
      </x:c>
      <x:c r="E248" s="5" t="n">
        <x:v>2790.69</x:v>
      </x:c>
      <x:c r="F248" s="6" t="str">
        <x:v>2011-02-28</x:v>
      </x:c>
      <x:c r="G248" s="5" t="n">
        <x:v>2905.05</x:v>
      </x:c>
      <x:c r="H248" s="7" t="n">
        <x:f>G248/E248-1</x:f>
        <x:v>0.04097911269256005</x:v>
      </x:c>
      <x:c r="I248" s="1" t="n">
        <x:v>1</x:v>
      </x:c>
      <x:c r="J248" s="1" t="n">
        <x:v>1</x:v>
      </x:c>
      <x:c r="K248" s="1" t="str">
        <x:v>中证官方优先</x:v>
      </x:c>
    </x:row>
    <x:row r="249" ht="25" customHeight="1">
      <x:c r="A249" s="1" t="str">
        <x:v>sh000001</x:v>
      </x:c>
      <x:c r="B249" s="1" t="str">
        <x:v>上证综指</x:v>
      </x:c>
      <x:c r="C249" s="1" t="str">
        <x:v>2011-03</x:v>
      </x:c>
      <x:c r="D249" s="1" t="str">
        <x:v>2011-02-28</x:v>
      </x:c>
      <x:c r="E249" s="5" t="n">
        <x:v>2905.05</x:v>
      </x:c>
      <x:c r="F249" s="6" t="str">
        <x:v>2011-03-31</x:v>
      </x:c>
      <x:c r="G249" s="5" t="n">
        <x:v>2928.11</x:v>
      </x:c>
      <x:c r="H249" s="7" t="n">
        <x:f>G249/E249-1</x:f>
        <x:v>0.007937901240942402</x:v>
      </x:c>
      <x:c r="I249" s="1" t="n">
        <x:v>1</x:v>
      </x:c>
      <x:c r="J249" s="1" t="n">
        <x:v>1</x:v>
      </x:c>
      <x:c r="K249" s="1" t="str">
        <x:v>中证官方优先</x:v>
      </x:c>
    </x:row>
    <x:row r="250" ht="25" customHeight="1">
      <x:c r="A250" s="1" t="str">
        <x:v>sh000001</x:v>
      </x:c>
      <x:c r="B250" s="1" t="str">
        <x:v>上证综指</x:v>
      </x:c>
      <x:c r="C250" s="1" t="str">
        <x:v>2011-04</x:v>
      </x:c>
      <x:c r="D250" s="1" t="str">
        <x:v>2011-03-31</x:v>
      </x:c>
      <x:c r="E250" s="5" t="n">
        <x:v>2928.11</x:v>
      </x:c>
      <x:c r="F250" s="6" t="str">
        <x:v>2011-04-29</x:v>
      </x:c>
      <x:c r="G250" s="5" t="n">
        <x:v>2911.51</x:v>
      </x:c>
      <x:c r="H250" s="7" t="n">
        <x:f>G250/E250-1</x:f>
        <x:v>-0.005669185925392117</x:v>
      </x:c>
      <x:c r="I250" s="1" t="n">
        <x:v>1</x:v>
      </x:c>
      <x:c r="J250" s="1" t="n">
        <x:v>1</x:v>
      </x:c>
      <x:c r="K250" s="1" t="str">
        <x:v>中证官方优先</x:v>
      </x:c>
    </x:row>
    <x:row r="251" ht="25" customHeight="1">
      <x:c r="A251" s="1" t="str">
        <x:v>sh000001</x:v>
      </x:c>
      <x:c r="B251" s="1" t="str">
        <x:v>上证综指</x:v>
      </x:c>
      <x:c r="C251" s="1" t="str">
        <x:v>2011-05</x:v>
      </x:c>
      <x:c r="D251" s="1" t="str">
        <x:v>2011-04-29</x:v>
      </x:c>
      <x:c r="E251" s="5" t="n">
        <x:v>2911.51</x:v>
      </x:c>
      <x:c r="F251" s="6" t="str">
        <x:v>2011-05-31</x:v>
      </x:c>
      <x:c r="G251" s="5" t="n">
        <x:v>2743.47</x:v>
      </x:c>
      <x:c r="H251" s="7" t="n">
        <x:f>G251/E251-1</x:f>
        <x:v>-0.05771575574186605</x:v>
      </x:c>
      <x:c r="I251" s="1" t="n">
        <x:v>1</x:v>
      </x:c>
      <x:c r="J251" s="1" t="n">
        <x:v>1</x:v>
      </x:c>
      <x:c r="K251" s="1" t="str">
        <x:v>中证官方优先</x:v>
      </x:c>
    </x:row>
    <x:row r="252" ht="25" customHeight="1">
      <x:c r="A252" s="1" t="str">
        <x:v>sh000001</x:v>
      </x:c>
      <x:c r="B252" s="1" t="str">
        <x:v>上证综指</x:v>
      </x:c>
      <x:c r="C252" s="1" t="str">
        <x:v>2011-06</x:v>
      </x:c>
      <x:c r="D252" s="1" t="str">
        <x:v>2011-05-31</x:v>
      </x:c>
      <x:c r="E252" s="5" t="n">
        <x:v>2743.47</x:v>
      </x:c>
      <x:c r="F252" s="6" t="str">
        <x:v>2011-06-30</x:v>
      </x:c>
      <x:c r="G252" s="5" t="n">
        <x:v>2762.08</x:v>
      </x:c>
      <x:c r="H252" s="7" t="n">
        <x:f>G252/E252-1</x:f>
        <x:v>0.0067833801718262254</x:v>
      </x:c>
      <x:c r="I252" s="1" t="n">
        <x:v>1</x:v>
      </x:c>
      <x:c r="J252" s="1" t="n">
        <x:v>1</x:v>
      </x:c>
      <x:c r="K252" s="1" t="str">
        <x:v>中证官方优先</x:v>
      </x:c>
    </x:row>
    <x:row r="253" ht="25" customHeight="1">
      <x:c r="A253" s="1" t="str">
        <x:v>sh000001</x:v>
      </x:c>
      <x:c r="B253" s="1" t="str">
        <x:v>上证综指</x:v>
      </x:c>
      <x:c r="C253" s="1" t="str">
        <x:v>2011-07</x:v>
      </x:c>
      <x:c r="D253" s="1" t="str">
        <x:v>2011-06-30</x:v>
      </x:c>
      <x:c r="E253" s="5" t="n">
        <x:v>2762.08</x:v>
      </x:c>
      <x:c r="F253" s="6" t="str">
        <x:v>2011-07-29</x:v>
      </x:c>
      <x:c r="G253" s="5" t="n">
        <x:v>2701.73</x:v>
      </x:c>
      <x:c r="H253" s="7" t="n">
        <x:f>G253/E253-1</x:f>
        <x:v>-0.02184947575740015</x:v>
      </x:c>
      <x:c r="I253" s="1" t="n">
        <x:v>1</x:v>
      </x:c>
      <x:c r="J253" s="1" t="n">
        <x:v>1</x:v>
      </x:c>
      <x:c r="K253" s="1" t="str">
        <x:v>中证官方优先</x:v>
      </x:c>
    </x:row>
    <x:row r="254" ht="25" customHeight="1">
      <x:c r="A254" s="1" t="str">
        <x:v>sh000001</x:v>
      </x:c>
      <x:c r="B254" s="1" t="str">
        <x:v>上证综指</x:v>
      </x:c>
      <x:c r="C254" s="1" t="str">
        <x:v>2011-08</x:v>
      </x:c>
      <x:c r="D254" s="1" t="str">
        <x:v>2011-07-29</x:v>
      </x:c>
      <x:c r="E254" s="5" t="n">
        <x:v>2701.73</x:v>
      </x:c>
      <x:c r="F254" s="6" t="str">
        <x:v>2011-08-31</x:v>
      </x:c>
      <x:c r="G254" s="5" t="n">
        <x:v>2567.34</x:v>
      </x:c>
      <x:c r="H254" s="7" t="n">
        <x:f>G254/E254-1</x:f>
        <x:v>-0.04974220221857839</x:v>
      </x:c>
      <x:c r="I254" s="1" t="n">
        <x:v>1</x:v>
      </x:c>
      <x:c r="J254" s="1" t="n">
        <x:v>1</x:v>
      </x:c>
      <x:c r="K254" s="1" t="str">
        <x:v>中证官方优先</x:v>
      </x:c>
    </x:row>
    <x:row r="255" ht="25" customHeight="1">
      <x:c r="A255" s="1" t="str">
        <x:v>sh000001</x:v>
      </x:c>
      <x:c r="B255" s="1" t="str">
        <x:v>上证综指</x:v>
      </x:c>
      <x:c r="C255" s="1" t="str">
        <x:v>2011-09</x:v>
      </x:c>
      <x:c r="D255" s="1" t="str">
        <x:v>2011-08-31</x:v>
      </x:c>
      <x:c r="E255" s="5" t="n">
        <x:v>2567.34</x:v>
      </x:c>
      <x:c r="F255" s="6" t="str">
        <x:v>2011-09-30</x:v>
      </x:c>
      <x:c r="G255" s="5" t="n">
        <x:v>2359.22</x:v>
      </x:c>
      <x:c r="H255" s="7" t="n">
        <x:f>G255/E255-1</x:f>
        <x:v>-0.08106444802792012</x:v>
      </x:c>
      <x:c r="I255" s="1" t="n">
        <x:v>1</x:v>
      </x:c>
      <x:c r="J255" s="1" t="n">
        <x:v>1</x:v>
      </x:c>
      <x:c r="K255" s="1" t="str">
        <x:v>中证官方优先</x:v>
      </x:c>
    </x:row>
    <x:row r="256" ht="25" customHeight="1">
      <x:c r="A256" s="1" t="str">
        <x:v>sh000001</x:v>
      </x:c>
      <x:c r="B256" s="1" t="str">
        <x:v>上证综指</x:v>
      </x:c>
      <x:c r="C256" s="1" t="str">
        <x:v>2011-10</x:v>
      </x:c>
      <x:c r="D256" s="1" t="str">
        <x:v>2011-09-30</x:v>
      </x:c>
      <x:c r="E256" s="5" t="n">
        <x:v>2359.22</x:v>
      </x:c>
      <x:c r="F256" s="6" t="str">
        <x:v>2011-10-31</x:v>
      </x:c>
      <x:c r="G256" s="5" t="n">
        <x:v>2468.25</x:v>
      </x:c>
      <x:c r="H256" s="7" t="n">
        <x:f>G256/E256-1</x:f>
        <x:v>0.04621442680207877</x:v>
      </x:c>
      <x:c r="I256" s="1" t="n">
        <x:v>1</x:v>
      </x:c>
      <x:c r="J256" s="1" t="n">
        <x:v>1</x:v>
      </x:c>
      <x:c r="K256" s="1" t="str">
        <x:v>中证官方优先</x:v>
      </x:c>
    </x:row>
    <x:row r="257" ht="25" customHeight="1">
      <x:c r="A257" s="1" t="str">
        <x:v>sh000001</x:v>
      </x:c>
      <x:c r="B257" s="1" t="str">
        <x:v>上证综指</x:v>
      </x:c>
      <x:c r="C257" s="1" t="str">
        <x:v>2011-11</x:v>
      </x:c>
      <x:c r="D257" s="1" t="str">
        <x:v>2011-10-31</x:v>
      </x:c>
      <x:c r="E257" s="5" t="n">
        <x:v>2468.25</x:v>
      </x:c>
      <x:c r="F257" s="6" t="str">
        <x:v>2011-11-30</x:v>
      </x:c>
      <x:c r="G257" s="5" t="n">
        <x:v>2333.41</x:v>
      </x:c>
      <x:c r="H257" s="7" t="n">
        <x:f>G257/E257-1</x:f>
        <x:v>-0.05462979844019045</x:v>
      </x:c>
      <x:c r="I257" s="1" t="n">
        <x:v>1</x:v>
      </x:c>
      <x:c r="J257" s="1" t="n">
        <x:v>1</x:v>
      </x:c>
      <x:c r="K257" s="1" t="str">
        <x:v>中证官方优先</x:v>
      </x:c>
    </x:row>
    <x:row r="258" ht="25" customHeight="1">
      <x:c r="A258" s="1" t="str">
        <x:v>sh000001</x:v>
      </x:c>
      <x:c r="B258" s="1" t="str">
        <x:v>上证综指</x:v>
      </x:c>
      <x:c r="C258" s="1" t="str">
        <x:v>2011-12</x:v>
      </x:c>
      <x:c r="D258" s="1" t="str">
        <x:v>2011-11-30</x:v>
      </x:c>
      <x:c r="E258" s="5" t="n">
        <x:v>2333.41</x:v>
      </x:c>
      <x:c r="F258" s="6" t="str">
        <x:v>2011-12-30</x:v>
      </x:c>
      <x:c r="G258" s="5" t="n">
        <x:v>2199.42</x:v>
      </x:c>
      <x:c r="H258" s="7" t="n">
        <x:f>G258/E258-1</x:f>
        <x:v>-0.057422398978319245</x:v>
      </x:c>
      <x:c r="I258" s="1" t="n">
        <x:v>1</x:v>
      </x:c>
      <x:c r="J258" s="1" t="n">
        <x:v>1</x:v>
      </x:c>
      <x:c r="K258" s="1" t="str">
        <x:v>中证官方优先</x:v>
      </x:c>
    </x:row>
    <x:row r="259" ht="25" customHeight="1">
      <x:c r="A259" s="1" t="str">
        <x:v>sh000001</x:v>
      </x:c>
      <x:c r="B259" s="1" t="str">
        <x:v>上证综指</x:v>
      </x:c>
      <x:c r="C259" s="1" t="str">
        <x:v>2012-01</x:v>
      </x:c>
      <x:c r="D259" s="1" t="str">
        <x:v>2011-12-30</x:v>
      </x:c>
      <x:c r="E259" s="5" t="n">
        <x:v>2199.42</x:v>
      </x:c>
      <x:c r="F259" s="6" t="str">
        <x:v>2012-01-31</x:v>
      </x:c>
      <x:c r="G259" s="5" t="n">
        <x:v>2292.61</x:v>
      </x:c>
      <x:c r="H259" s="7" t="n">
        <x:f>G259/E259-1</x:f>
        <x:v>0.04237026125069332</x:v>
      </x:c>
      <x:c r="I259" s="1" t="n">
        <x:v>1</x:v>
      </x:c>
      <x:c r="J259" s="1" t="n">
        <x:v>1</x:v>
      </x:c>
      <x:c r="K259" s="1" t="str">
        <x:v>中证官方优先</x:v>
      </x:c>
    </x:row>
    <x:row r="260" ht="25" customHeight="1">
      <x:c r="A260" s="1" t="str">
        <x:v>sh000001</x:v>
      </x:c>
      <x:c r="B260" s="1" t="str">
        <x:v>上证综指</x:v>
      </x:c>
      <x:c r="C260" s="1" t="str">
        <x:v>2012-02</x:v>
      </x:c>
      <x:c r="D260" s="1" t="str">
        <x:v>2012-01-31</x:v>
      </x:c>
      <x:c r="E260" s="5" t="n">
        <x:v>2292.61</x:v>
      </x:c>
      <x:c r="F260" s="6" t="str">
        <x:v>2012-02-29</x:v>
      </x:c>
      <x:c r="G260" s="5" t="n">
        <x:v>2428.49</x:v>
      </x:c>
      <x:c r="H260" s="7" t="n">
        <x:f>G260/E260-1</x:f>
        <x:v>0.05926869375951416</x:v>
      </x:c>
      <x:c r="I260" s="1" t="n">
        <x:v>1</x:v>
      </x:c>
      <x:c r="J260" s="1" t="n">
        <x:v>1</x:v>
      </x:c>
      <x:c r="K260" s="1" t="str">
        <x:v>中证官方优先</x:v>
      </x:c>
    </x:row>
    <x:row r="261" ht="25" customHeight="1">
      <x:c r="A261" s="1" t="str">
        <x:v>sh000001</x:v>
      </x:c>
      <x:c r="B261" s="1" t="str">
        <x:v>上证综指</x:v>
      </x:c>
      <x:c r="C261" s="1" t="str">
        <x:v>2012-03</x:v>
      </x:c>
      <x:c r="D261" s="1" t="str">
        <x:v>2012-02-29</x:v>
      </x:c>
      <x:c r="E261" s="5" t="n">
        <x:v>2428.49</x:v>
      </x:c>
      <x:c r="F261" s="6" t="str">
        <x:v>2012-03-30</x:v>
      </x:c>
      <x:c r="G261" s="5" t="n">
        <x:v>2262.79</x:v>
      </x:c>
      <x:c r="H261" s="7" t="n">
        <x:f>G261/E261-1</x:f>
        <x:v>-0.06823169953345487</x:v>
      </x:c>
      <x:c r="I261" s="1" t="n">
        <x:v>1</x:v>
      </x:c>
      <x:c r="J261" s="1" t="n">
        <x:v>1</x:v>
      </x:c>
      <x:c r="K261" s="1" t="str">
        <x:v>中证官方优先</x:v>
      </x:c>
    </x:row>
    <x:row r="262" ht="25" customHeight="1">
      <x:c r="A262" s="1" t="str">
        <x:v>sh000001</x:v>
      </x:c>
      <x:c r="B262" s="1" t="str">
        <x:v>上证综指</x:v>
      </x:c>
      <x:c r="C262" s="1" t="str">
        <x:v>2012-04</x:v>
      </x:c>
      <x:c r="D262" s="1" t="str">
        <x:v>2012-03-30</x:v>
      </x:c>
      <x:c r="E262" s="5" t="n">
        <x:v>2262.79</x:v>
      </x:c>
      <x:c r="F262" s="6" t="str">
        <x:v>2012-04-27</x:v>
      </x:c>
      <x:c r="G262" s="5" t="n">
        <x:v>2396.32</x:v>
      </x:c>
      <x:c r="H262" s="7" t="n">
        <x:f>G262/E262-1</x:f>
        <x:v>0.05901122066121922</x:v>
      </x:c>
      <x:c r="I262" s="1" t="n">
        <x:v>1</x:v>
      </x:c>
      <x:c r="J262" s="1" t="n">
        <x:v>1</x:v>
      </x:c>
      <x:c r="K262" s="1" t="str">
        <x:v>中证官方优先</x:v>
      </x:c>
    </x:row>
    <x:row r="263" ht="25" customHeight="1">
      <x:c r="A263" s="1" t="str">
        <x:v>sh000001</x:v>
      </x:c>
      <x:c r="B263" s="1" t="str">
        <x:v>上证综指</x:v>
      </x:c>
      <x:c r="C263" s="1" t="str">
        <x:v>2012-05</x:v>
      </x:c>
      <x:c r="D263" s="1" t="str">
        <x:v>2012-04-27</x:v>
      </x:c>
      <x:c r="E263" s="5" t="n">
        <x:v>2396.32</x:v>
      </x:c>
      <x:c r="F263" s="6" t="str">
        <x:v>2012-05-31</x:v>
      </x:c>
      <x:c r="G263" s="5" t="n">
        <x:v>2372.23</x:v>
      </x:c>
      <x:c r="H263" s="7" t="n">
        <x:f>G263/E263-1</x:f>
        <x:v>-0.010052914468852259</x:v>
      </x:c>
      <x:c r="I263" s="1" t="n">
        <x:v>1</x:v>
      </x:c>
      <x:c r="J263" s="1" t="n">
        <x:v>1</x:v>
      </x:c>
      <x:c r="K263" s="1" t="str">
        <x:v>中证官方优先</x:v>
      </x:c>
    </x:row>
    <x:row r="264" ht="25" customHeight="1">
      <x:c r="A264" s="1" t="str">
        <x:v>sh000001</x:v>
      </x:c>
      <x:c r="B264" s="1" t="str">
        <x:v>上证综指</x:v>
      </x:c>
      <x:c r="C264" s="1" t="str">
        <x:v>2012-06</x:v>
      </x:c>
      <x:c r="D264" s="1" t="str">
        <x:v>2012-05-31</x:v>
      </x:c>
      <x:c r="E264" s="5" t="n">
        <x:v>2372.23</x:v>
      </x:c>
      <x:c r="F264" s="6" t="str">
        <x:v>2012-06-29</x:v>
      </x:c>
      <x:c r="G264" s="5" t="n">
        <x:v>2225.43</x:v>
      </x:c>
      <x:c r="H264" s="7" t="n">
        <x:f>G264/E264-1</x:f>
        <x:v>-0.06188270108716276</x:v>
      </x:c>
      <x:c r="I264" s="1" t="n">
        <x:v>1</x:v>
      </x:c>
      <x:c r="J264" s="1" t="n">
        <x:v>1</x:v>
      </x:c>
      <x:c r="K264" s="1" t="str">
        <x:v>中证官方优先</x:v>
      </x:c>
    </x:row>
    <x:row r="265" ht="25" customHeight="1">
      <x:c r="A265" s="1" t="str">
        <x:v>sh000001</x:v>
      </x:c>
      <x:c r="B265" s="1" t="str">
        <x:v>上证综指</x:v>
      </x:c>
      <x:c r="C265" s="1" t="str">
        <x:v>2012-07</x:v>
      </x:c>
      <x:c r="D265" s="1" t="str">
        <x:v>2012-06-29</x:v>
      </x:c>
      <x:c r="E265" s="5" t="n">
        <x:v>2225.43</x:v>
      </x:c>
      <x:c r="F265" s="6" t="str">
        <x:v>2012-07-31</x:v>
      </x:c>
      <x:c r="G265" s="5" t="n">
        <x:v>2103.63</x:v>
      </x:c>
      <x:c r="H265" s="7" t="n">
        <x:f>G265/E265-1</x:f>
        <x:v>-0.0547309958075517</x:v>
      </x:c>
      <x:c r="I265" s="1" t="n">
        <x:v>1</x:v>
      </x:c>
      <x:c r="J265" s="1" t="n">
        <x:v>1</x:v>
      </x:c>
      <x:c r="K265" s="1" t="str">
        <x:v>中证官方优先</x:v>
      </x:c>
    </x:row>
    <x:row r="266" ht="25" customHeight="1">
      <x:c r="A266" s="1" t="str">
        <x:v>sh000001</x:v>
      </x:c>
      <x:c r="B266" s="1" t="str">
        <x:v>上证综指</x:v>
      </x:c>
      <x:c r="C266" s="1" t="str">
        <x:v>2012-08</x:v>
      </x:c>
      <x:c r="D266" s="1" t="str">
        <x:v>2012-07-31</x:v>
      </x:c>
      <x:c r="E266" s="5" t="n">
        <x:v>2103.63</x:v>
      </x:c>
      <x:c r="F266" s="6" t="str">
        <x:v>2012-08-31</x:v>
      </x:c>
      <x:c r="G266" s="5" t="n">
        <x:v>2047.52</x:v>
      </x:c>
      <x:c r="H266" s="7" t="n">
        <x:f>G266/E266-1</x:f>
        <x:v>-0.026672941534395367</x:v>
      </x:c>
      <x:c r="I266" s="1" t="n">
        <x:v>1</x:v>
      </x:c>
      <x:c r="J266" s="1" t="n">
        <x:v>1</x:v>
      </x:c>
      <x:c r="K266" s="1" t="str">
        <x:v>中证官方优先</x:v>
      </x:c>
    </x:row>
    <x:row r="267" ht="25" customHeight="1">
      <x:c r="A267" s="1" t="str">
        <x:v>sh000001</x:v>
      </x:c>
      <x:c r="B267" s="1" t="str">
        <x:v>上证综指</x:v>
      </x:c>
      <x:c r="C267" s="1" t="str">
        <x:v>2012-09</x:v>
      </x:c>
      <x:c r="D267" s="1" t="str">
        <x:v>2012-08-31</x:v>
      </x:c>
      <x:c r="E267" s="5" t="n">
        <x:v>2047.52</x:v>
      </x:c>
      <x:c r="F267" s="6" t="str">
        <x:v>2012-09-28</x:v>
      </x:c>
      <x:c r="G267" s="5" t="n">
        <x:v>2086.17</x:v>
      </x:c>
      <x:c r="H267" s="7" t="n">
        <x:f>G267/E267-1</x:f>
        <x:v>0.018876494490896345</x:v>
      </x:c>
      <x:c r="I267" s="1" t="n">
        <x:v>1</x:v>
      </x:c>
      <x:c r="J267" s="1" t="n">
        <x:v>1</x:v>
      </x:c>
      <x:c r="K267" s="1" t="str">
        <x:v>中证官方优先</x:v>
      </x:c>
    </x:row>
    <x:row r="268" ht="25" customHeight="1">
      <x:c r="A268" s="1" t="str">
        <x:v>sh000001</x:v>
      </x:c>
      <x:c r="B268" s="1" t="str">
        <x:v>上证综指</x:v>
      </x:c>
      <x:c r="C268" s="1" t="str">
        <x:v>2012-10</x:v>
      </x:c>
      <x:c r="D268" s="1" t="str">
        <x:v>2012-09-28</x:v>
      </x:c>
      <x:c r="E268" s="5" t="n">
        <x:v>2086.17</x:v>
      </x:c>
      <x:c r="F268" s="6" t="str">
        <x:v>2012-10-31</x:v>
      </x:c>
      <x:c r="G268" s="5" t="n">
        <x:v>2068.88</x:v>
      </x:c>
      <x:c r="H268" s="7" t="n">
        <x:f>G268/E268-1</x:f>
        <x:v>-0.008287915174698068</x:v>
      </x:c>
      <x:c r="I268" s="1" t="n">
        <x:v>1</x:v>
      </x:c>
      <x:c r="J268" s="1" t="n">
        <x:v>1</x:v>
      </x:c>
      <x:c r="K268" s="1" t="str">
        <x:v>中证官方优先</x:v>
      </x:c>
    </x:row>
    <x:row r="269" ht="25" customHeight="1">
      <x:c r="A269" s="1" t="str">
        <x:v>sh000001</x:v>
      </x:c>
      <x:c r="B269" s="1" t="str">
        <x:v>上证综指</x:v>
      </x:c>
      <x:c r="C269" s="1" t="str">
        <x:v>2012-11</x:v>
      </x:c>
      <x:c r="D269" s="1" t="str">
        <x:v>2012-10-31</x:v>
      </x:c>
      <x:c r="E269" s="5" t="n">
        <x:v>2068.88</x:v>
      </x:c>
      <x:c r="F269" s="6" t="str">
        <x:v>2012-11-30</x:v>
      </x:c>
      <x:c r="G269" s="5" t="n">
        <x:v>1980.12</x:v>
      </x:c>
      <x:c r="H269" s="7" t="n">
        <x:f>G269/E269-1</x:f>
        <x:v>-0.042902439967518746</x:v>
      </x:c>
      <x:c r="I269" s="1" t="n">
        <x:v>1</x:v>
      </x:c>
      <x:c r="J269" s="1" t="n">
        <x:v>1</x:v>
      </x:c>
      <x:c r="K269" s="1" t="str">
        <x:v>中证官方优先</x:v>
      </x:c>
    </x:row>
    <x:row r="270" ht="25" customHeight="1">
      <x:c r="A270" s="1" t="str">
        <x:v>sh000001</x:v>
      </x:c>
      <x:c r="B270" s="1" t="str">
        <x:v>上证综指</x:v>
      </x:c>
      <x:c r="C270" s="1" t="str">
        <x:v>2012-12</x:v>
      </x:c>
      <x:c r="D270" s="1" t="str">
        <x:v>2012-11-30</x:v>
      </x:c>
      <x:c r="E270" s="5" t="n">
        <x:v>1980.12</x:v>
      </x:c>
      <x:c r="F270" s="6" t="str">
        <x:v>2012-12-31</x:v>
      </x:c>
      <x:c r="G270" s="5" t="n">
        <x:v>2269.13</x:v>
      </x:c>
      <x:c r="H270" s="7" t="n">
        <x:f>G270/E270-1</x:f>
        <x:v>0.14595580065854596</x:v>
      </x:c>
      <x:c r="I270" s="1" t="n">
        <x:v>1</x:v>
      </x:c>
      <x:c r="J270" s="1" t="n">
        <x:v>1</x:v>
      </x:c>
      <x:c r="K270" s="1" t="str">
        <x:v>中证官方优先</x:v>
      </x:c>
    </x:row>
    <x:row r="271" ht="25" customHeight="1">
      <x:c r="A271" s="1" t="str">
        <x:v>sh000001</x:v>
      </x:c>
      <x:c r="B271" s="1" t="str">
        <x:v>上证综指</x:v>
      </x:c>
      <x:c r="C271" s="1" t="str">
        <x:v>2013-01</x:v>
      </x:c>
      <x:c r="D271" s="1" t="str">
        <x:v>2012-12-31</x:v>
      </x:c>
      <x:c r="E271" s="5" t="n">
        <x:v>2269.13</x:v>
      </x:c>
      <x:c r="F271" s="6" t="str">
        <x:v>2013-01-31</x:v>
      </x:c>
      <x:c r="G271" s="5" t="n">
        <x:v>2385.42</x:v>
      </x:c>
      <x:c r="H271" s="7" t="n">
        <x:f>G271/E271-1</x:f>
        <x:v>0.0512487164684261</x:v>
      </x:c>
      <x:c r="I271" s="1" t="n">
        <x:v>1</x:v>
      </x:c>
      <x:c r="J271" s="1" t="n">
        <x:v>1</x:v>
      </x:c>
      <x:c r="K271" s="1" t="str">
        <x:v>中证官方优先</x:v>
      </x:c>
    </x:row>
    <x:row r="272" ht="25" customHeight="1">
      <x:c r="A272" s="1" t="str">
        <x:v>sh000001</x:v>
      </x:c>
      <x:c r="B272" s="1" t="str">
        <x:v>上证综指</x:v>
      </x:c>
      <x:c r="C272" s="1" t="str">
        <x:v>2013-02</x:v>
      </x:c>
      <x:c r="D272" s="1" t="str">
        <x:v>2013-01-31</x:v>
      </x:c>
      <x:c r="E272" s="5" t="n">
        <x:v>2385.42</x:v>
      </x:c>
      <x:c r="F272" s="6" t="str">
        <x:v>2013-02-28</x:v>
      </x:c>
      <x:c r="G272" s="5" t="n">
        <x:v>2365.59</x:v>
      </x:c>
      <x:c r="H272" s="7" t="n">
        <x:f>G272/E272-1</x:f>
        <x:v>-0.00831300148401537</x:v>
      </x:c>
      <x:c r="I272" s="1" t="n">
        <x:v>1</x:v>
      </x:c>
      <x:c r="J272" s="1" t="n">
        <x:v>1</x:v>
      </x:c>
      <x:c r="K272" s="1" t="str">
        <x:v>中证官方优先</x:v>
      </x:c>
    </x:row>
    <x:row r="273" ht="25" customHeight="1">
      <x:c r="A273" s="1" t="str">
        <x:v>sh000001</x:v>
      </x:c>
      <x:c r="B273" s="1" t="str">
        <x:v>上证综指</x:v>
      </x:c>
      <x:c r="C273" s="1" t="str">
        <x:v>2013-03</x:v>
      </x:c>
      <x:c r="D273" s="1" t="str">
        <x:v>2013-02-28</x:v>
      </x:c>
      <x:c r="E273" s="5" t="n">
        <x:v>2365.59</x:v>
      </x:c>
      <x:c r="F273" s="6" t="str">
        <x:v>2013-03-29</x:v>
      </x:c>
      <x:c r="G273" s="5" t="n">
        <x:v>2236.62</x:v>
      </x:c>
      <x:c r="H273" s="7" t="n">
        <x:f>G273/E273-1</x:f>
        <x:v>-0.05451916857950878</x:v>
      </x:c>
      <x:c r="I273" s="1" t="n">
        <x:v>1</x:v>
      </x:c>
      <x:c r="J273" s="1" t="n">
        <x:v>1</x:v>
      </x:c>
      <x:c r="K273" s="1" t="str">
        <x:v>中证官方优先</x:v>
      </x:c>
    </x:row>
    <x:row r="274" ht="25" customHeight="1">
      <x:c r="A274" s="1" t="str">
        <x:v>sh000001</x:v>
      </x:c>
      <x:c r="B274" s="1" t="str">
        <x:v>上证综指</x:v>
      </x:c>
      <x:c r="C274" s="1" t="str">
        <x:v>2013-04</x:v>
      </x:c>
      <x:c r="D274" s="1" t="str">
        <x:v>2013-03-29</x:v>
      </x:c>
      <x:c r="E274" s="5" t="n">
        <x:v>2236.62</x:v>
      </x:c>
      <x:c r="F274" s="6" t="str">
        <x:v>2013-04-26</x:v>
      </x:c>
      <x:c r="G274" s="5" t="n">
        <x:v>2177.91</x:v>
      </x:c>
      <x:c r="H274" s="7" t="n">
        <x:f>G274/E274-1</x:f>
        <x:v>-0.02624942994339674</x:v>
      </x:c>
      <x:c r="I274" s="1" t="n">
        <x:v>1</x:v>
      </x:c>
      <x:c r="J274" s="1" t="n">
        <x:v>1</x:v>
      </x:c>
      <x:c r="K274" s="1" t="str">
        <x:v>中证官方优先</x:v>
      </x:c>
    </x:row>
    <x:row r="275" ht="25" customHeight="1">
      <x:c r="A275" s="1" t="str">
        <x:v>sh000001</x:v>
      </x:c>
      <x:c r="B275" s="1" t="str">
        <x:v>上证综指</x:v>
      </x:c>
      <x:c r="C275" s="1" t="str">
        <x:v>2013-05</x:v>
      </x:c>
      <x:c r="D275" s="1" t="str">
        <x:v>2013-04-26</x:v>
      </x:c>
      <x:c r="E275" s="5" t="n">
        <x:v>2177.91</x:v>
      </x:c>
      <x:c r="F275" s="6" t="str">
        <x:v>2013-05-31</x:v>
      </x:c>
      <x:c r="G275" s="5" t="n">
        <x:v>2300.6</x:v>
      </x:c>
      <x:c r="H275" s="7" t="n">
        <x:f>G275/E275-1</x:f>
        <x:v>0.056333824630035334</x:v>
      </x:c>
      <x:c r="I275" s="1" t="n">
        <x:v>1</x:v>
      </x:c>
      <x:c r="J275" s="1" t="n">
        <x:v>1</x:v>
      </x:c>
      <x:c r="K275" s="1" t="str">
        <x:v>中证官方优先</x:v>
      </x:c>
    </x:row>
    <x:row r="276" ht="25" customHeight="1">
      <x:c r="A276" s="1" t="str">
        <x:v>sh000001</x:v>
      </x:c>
      <x:c r="B276" s="1" t="str">
        <x:v>上证综指</x:v>
      </x:c>
      <x:c r="C276" s="1" t="str">
        <x:v>2013-06</x:v>
      </x:c>
      <x:c r="D276" s="1" t="str">
        <x:v>2013-05-31</x:v>
      </x:c>
      <x:c r="E276" s="5" t="n">
        <x:v>2300.6</x:v>
      </x:c>
      <x:c r="F276" s="6" t="str">
        <x:v>2013-06-28</x:v>
      </x:c>
      <x:c r="G276" s="5" t="n">
        <x:v>1979.21</x:v>
      </x:c>
      <x:c r="H276" s="7" t="n">
        <x:f>G276/E276-1</x:f>
        <x:v>-0.139698339563592</x:v>
      </x:c>
      <x:c r="I276" s="1" t="n">
        <x:v>1</x:v>
      </x:c>
      <x:c r="J276" s="1" t="n">
        <x:v>1</x:v>
      </x:c>
      <x:c r="K276" s="1" t="str">
        <x:v>中证官方优先</x:v>
      </x:c>
    </x:row>
    <x:row r="277" ht="25" customHeight="1">
      <x:c r="A277" s="1" t="str">
        <x:v>sh000001</x:v>
      </x:c>
      <x:c r="B277" s="1" t="str">
        <x:v>上证综指</x:v>
      </x:c>
      <x:c r="C277" s="1" t="str">
        <x:v>2013-07</x:v>
      </x:c>
      <x:c r="D277" s="1" t="str">
        <x:v>2013-06-28</x:v>
      </x:c>
      <x:c r="E277" s="5" t="n">
        <x:v>1979.21</x:v>
      </x:c>
      <x:c r="F277" s="6" t="str">
        <x:v>2013-07-31</x:v>
      </x:c>
      <x:c r="G277" s="5" t="n">
        <x:v>1993.8</x:v>
      </x:c>
      <x:c r="H277" s="7" t="n">
        <x:f>G277/E277-1</x:f>
        <x:v>0.007371628073827408</x:v>
      </x:c>
      <x:c r="I277" s="1" t="n">
        <x:v>1</x:v>
      </x:c>
      <x:c r="J277" s="1" t="n">
        <x:v>1</x:v>
      </x:c>
      <x:c r="K277" s="1" t="str">
        <x:v>中证官方优先</x:v>
      </x:c>
    </x:row>
    <x:row r="278" ht="25" customHeight="1">
      <x:c r="A278" s="1" t="str">
        <x:v>sh000001</x:v>
      </x:c>
      <x:c r="B278" s="1" t="str">
        <x:v>上证综指</x:v>
      </x:c>
      <x:c r="C278" s="1" t="str">
        <x:v>2013-08</x:v>
      </x:c>
      <x:c r="D278" s="1" t="str">
        <x:v>2013-07-31</x:v>
      </x:c>
      <x:c r="E278" s="5" t="n">
        <x:v>1993.8</x:v>
      </x:c>
      <x:c r="F278" s="6" t="str">
        <x:v>2013-08-30</x:v>
      </x:c>
      <x:c r="G278" s="5" t="n">
        <x:v>2098.38</x:v>
      </x:c>
      <x:c r="H278" s="7" t="n">
        <x:f>G278/E278-1</x:f>
        <x:v>0.0524526030695156</x:v>
      </x:c>
      <x:c r="I278" s="1" t="n">
        <x:v>1</x:v>
      </x:c>
      <x:c r="J278" s="1" t="n">
        <x:v>1</x:v>
      </x:c>
      <x:c r="K278" s="1" t="str">
        <x:v>中证官方优先</x:v>
      </x:c>
    </x:row>
    <x:row r="279" ht="25" customHeight="1">
      <x:c r="A279" s="1" t="str">
        <x:v>sh000001</x:v>
      </x:c>
      <x:c r="B279" s="1" t="str">
        <x:v>上证综指</x:v>
      </x:c>
      <x:c r="C279" s="1" t="str">
        <x:v>2013-09</x:v>
      </x:c>
      <x:c r="D279" s="1" t="str">
        <x:v>2013-08-30</x:v>
      </x:c>
      <x:c r="E279" s="5" t="n">
        <x:v>2098.38</x:v>
      </x:c>
      <x:c r="F279" s="6" t="str">
        <x:v>2013-09-30</x:v>
      </x:c>
      <x:c r="G279" s="5" t="n">
        <x:v>2174.67</x:v>
      </x:c>
      <x:c r="H279" s="7" t="n">
        <x:f>G279/E279-1</x:f>
        <x:v>0.03635661796242817</x:v>
      </x:c>
      <x:c r="I279" s="1" t="n">
        <x:v>1</x:v>
      </x:c>
      <x:c r="J279" s="1" t="n">
        <x:v>1</x:v>
      </x:c>
      <x:c r="K279" s="1" t="str">
        <x:v>中证官方优先</x:v>
      </x:c>
    </x:row>
    <x:row r="280" ht="25" customHeight="1">
      <x:c r="A280" s="1" t="str">
        <x:v>sh000001</x:v>
      </x:c>
      <x:c r="B280" s="1" t="str">
        <x:v>上证综指</x:v>
      </x:c>
      <x:c r="C280" s="1" t="str">
        <x:v>2013-10</x:v>
      </x:c>
      <x:c r="D280" s="1" t="str">
        <x:v>2013-09-30</x:v>
      </x:c>
      <x:c r="E280" s="5" t="n">
        <x:v>2174.67</x:v>
      </x:c>
      <x:c r="F280" s="6" t="str">
        <x:v>2013-10-31</x:v>
      </x:c>
      <x:c r="G280" s="5" t="n">
        <x:v>2141.61</x:v>
      </x:c>
      <x:c r="H280" s="7" t="n">
        <x:f>G280/E280-1</x:f>
        <x:v>-0.015202306556856837</x:v>
      </x:c>
      <x:c r="I280" s="1" t="n">
        <x:v>1</x:v>
      </x:c>
      <x:c r="J280" s="1" t="n">
        <x:v>1</x:v>
      </x:c>
      <x:c r="K280" s="1" t="str">
        <x:v>中证官方优先</x:v>
      </x:c>
    </x:row>
    <x:row r="281" ht="25" customHeight="1">
      <x:c r="A281" s="1" t="str">
        <x:v>sh000001</x:v>
      </x:c>
      <x:c r="B281" s="1" t="str">
        <x:v>上证综指</x:v>
      </x:c>
      <x:c r="C281" s="1" t="str">
        <x:v>2013-11</x:v>
      </x:c>
      <x:c r="D281" s="1" t="str">
        <x:v>2013-10-31</x:v>
      </x:c>
      <x:c r="E281" s="5" t="n">
        <x:v>2141.61</x:v>
      </x:c>
      <x:c r="F281" s="6" t="str">
        <x:v>2013-11-29</x:v>
      </x:c>
      <x:c r="G281" s="5" t="n">
        <x:v>2220.5</x:v>
      </x:c>
      <x:c r="H281" s="7" t="n">
        <x:f>G281/E281-1</x:f>
        <x:v>0.03683677233483218</x:v>
      </x:c>
      <x:c r="I281" s="1" t="n">
        <x:v>1</x:v>
      </x:c>
      <x:c r="J281" s="1" t="n">
        <x:v>1</x:v>
      </x:c>
      <x:c r="K281" s="1" t="str">
        <x:v>中证官方优先</x:v>
      </x:c>
    </x:row>
    <x:row r="282" ht="25" customHeight="1">
      <x:c r="A282" s="1" t="str">
        <x:v>sh000001</x:v>
      </x:c>
      <x:c r="B282" s="1" t="str">
        <x:v>上证综指</x:v>
      </x:c>
      <x:c r="C282" s="1" t="str">
        <x:v>2013-12</x:v>
      </x:c>
      <x:c r="D282" s="1" t="str">
        <x:v>2013-11-29</x:v>
      </x:c>
      <x:c r="E282" s="5" t="n">
        <x:v>2220.5</x:v>
      </x:c>
      <x:c r="F282" s="6" t="str">
        <x:v>2013-12-31</x:v>
      </x:c>
      <x:c r="G282" s="5" t="n">
        <x:v>2115.98</x:v>
      </x:c>
      <x:c r="H282" s="7" t="n">
        <x:f>G282/E282-1</x:f>
        <x:v>-0.04707047962170685</x:v>
      </x:c>
      <x:c r="I282" s="1" t="n">
        <x:v>1</x:v>
      </x:c>
      <x:c r="J282" s="1" t="n">
        <x:v>1</x:v>
      </x:c>
      <x:c r="K282" s="1" t="str">
        <x:v>中证官方优先</x:v>
      </x:c>
    </x:row>
    <x:row r="283" ht="25" customHeight="1">
      <x:c r="A283" s="1" t="str">
        <x:v>sh000001</x:v>
      </x:c>
      <x:c r="B283" s="1" t="str">
        <x:v>上证综指</x:v>
      </x:c>
      <x:c r="C283" s="1" t="str">
        <x:v>2014-01</x:v>
      </x:c>
      <x:c r="D283" s="1" t="str">
        <x:v>2013-12-31</x:v>
      </x:c>
      <x:c r="E283" s="5" t="n">
        <x:v>2115.98</x:v>
      </x:c>
      <x:c r="F283" s="6" t="str">
        <x:v>2014-01-30</x:v>
      </x:c>
      <x:c r="G283" s="5" t="n">
        <x:v>2033.08</x:v>
      </x:c>
      <x:c r="H283" s="7" t="n">
        <x:f>G283/E283-1</x:f>
        <x:v>-0.03917806406487778</x:v>
      </x:c>
      <x:c r="I283" s="1" t="n">
        <x:v>1</x:v>
      </x:c>
      <x:c r="J283" s="1" t="n">
        <x:v>1</x:v>
      </x:c>
      <x:c r="K283" s="1" t="str">
        <x:v>中证官方优先</x:v>
      </x:c>
    </x:row>
    <x:row r="284" ht="25" customHeight="1">
      <x:c r="A284" s="1" t="str">
        <x:v>sh000001</x:v>
      </x:c>
      <x:c r="B284" s="1" t="str">
        <x:v>上证综指</x:v>
      </x:c>
      <x:c r="C284" s="1" t="str">
        <x:v>2014-02</x:v>
      </x:c>
      <x:c r="D284" s="1" t="str">
        <x:v>2014-01-30</x:v>
      </x:c>
      <x:c r="E284" s="5" t="n">
        <x:v>2033.08</x:v>
      </x:c>
      <x:c r="F284" s="6" t="str">
        <x:v>2014-02-28</x:v>
      </x:c>
      <x:c r="G284" s="5" t="n">
        <x:v>2056.3</x:v>
      </x:c>
      <x:c r="H284" s="7" t="n">
        <x:f>G284/E284-1</x:f>
        <x:v>0.01142109508725686</x:v>
      </x:c>
      <x:c r="I284" s="1" t="n">
        <x:v>1</x:v>
      </x:c>
      <x:c r="J284" s="1" t="n">
        <x:v>1</x:v>
      </x:c>
      <x:c r="K284" s="1" t="str">
        <x:v>中证官方优先</x:v>
      </x:c>
    </x:row>
    <x:row r="285" ht="25" customHeight="1">
      <x:c r="A285" s="1" t="str">
        <x:v>sh000001</x:v>
      </x:c>
      <x:c r="B285" s="1" t="str">
        <x:v>上证综指</x:v>
      </x:c>
      <x:c r="C285" s="1" t="str">
        <x:v>2014-03</x:v>
      </x:c>
      <x:c r="D285" s="1" t="str">
        <x:v>2014-02-28</x:v>
      </x:c>
      <x:c r="E285" s="5" t="n">
        <x:v>2056.3</x:v>
      </x:c>
      <x:c r="F285" s="6" t="str">
        <x:v>2014-03-31</x:v>
      </x:c>
      <x:c r="G285" s="5" t="n">
        <x:v>2033.31</x:v>
      </x:c>
      <x:c r="H285" s="7" t="n">
        <x:f>G285/E285-1</x:f>
        <x:v>-0.011180275251665761</x:v>
      </x:c>
      <x:c r="I285" s="1" t="n">
        <x:v>1</x:v>
      </x:c>
      <x:c r="J285" s="1" t="n">
        <x:v>1</x:v>
      </x:c>
      <x:c r="K285" s="1" t="str">
        <x:v>中证官方优先</x:v>
      </x:c>
    </x:row>
    <x:row r="286" ht="25" customHeight="1">
      <x:c r="A286" s="1" t="str">
        <x:v>sh000001</x:v>
      </x:c>
      <x:c r="B286" s="1" t="str">
        <x:v>上证综指</x:v>
      </x:c>
      <x:c r="C286" s="1" t="str">
        <x:v>2014-04</x:v>
      </x:c>
      <x:c r="D286" s="1" t="str">
        <x:v>2014-03-31</x:v>
      </x:c>
      <x:c r="E286" s="5" t="n">
        <x:v>2033.31</x:v>
      </x:c>
      <x:c r="F286" s="6" t="str">
        <x:v>2014-04-30</x:v>
      </x:c>
      <x:c r="G286" s="5" t="n">
        <x:v>2026.36</x:v>
      </x:c>
      <x:c r="H286" s="7" t="n">
        <x:f>G286/E286-1</x:f>
        <x:v>-0.003418072010662465</x:v>
      </x:c>
      <x:c r="I286" s="1" t="n">
        <x:v>1</x:v>
      </x:c>
      <x:c r="J286" s="1" t="n">
        <x:v>1</x:v>
      </x:c>
      <x:c r="K286" s="1" t="str">
        <x:v>中证官方优先</x:v>
      </x:c>
    </x:row>
    <x:row r="287" ht="25" customHeight="1">
      <x:c r="A287" s="1" t="str">
        <x:v>sh000001</x:v>
      </x:c>
      <x:c r="B287" s="1" t="str">
        <x:v>上证综指</x:v>
      </x:c>
      <x:c r="C287" s="1" t="str">
        <x:v>2014-05</x:v>
      </x:c>
      <x:c r="D287" s="1" t="str">
        <x:v>2014-04-30</x:v>
      </x:c>
      <x:c r="E287" s="5" t="n">
        <x:v>2026.36</x:v>
      </x:c>
      <x:c r="F287" s="6" t="str">
        <x:v>2014-05-30</x:v>
      </x:c>
      <x:c r="G287" s="5" t="n">
        <x:v>2039.21</x:v>
      </x:c>
      <x:c r="H287" s="7" t="n">
        <x:f>G287/E287-1</x:f>
        <x:v>0.006341420083302074</x:v>
      </x:c>
      <x:c r="I287" s="1" t="n">
        <x:v>1</x:v>
      </x:c>
      <x:c r="J287" s="1" t="n">
        <x:v>1</x:v>
      </x:c>
      <x:c r="K287" s="1" t="str">
        <x:v>中证官方优先</x:v>
      </x:c>
    </x:row>
    <x:row r="288" ht="25" customHeight="1">
      <x:c r="A288" s="1" t="str">
        <x:v>sh000001</x:v>
      </x:c>
      <x:c r="B288" s="1" t="str">
        <x:v>上证综指</x:v>
      </x:c>
      <x:c r="C288" s="1" t="str">
        <x:v>2014-06</x:v>
      </x:c>
      <x:c r="D288" s="1" t="str">
        <x:v>2014-05-30</x:v>
      </x:c>
      <x:c r="E288" s="5" t="n">
        <x:v>2039.21</x:v>
      </x:c>
      <x:c r="F288" s="6" t="str">
        <x:v>2014-06-30</x:v>
      </x:c>
      <x:c r="G288" s="5" t="n">
        <x:v>2048.33</x:v>
      </x:c>
      <x:c r="H288" s="7" t="n">
        <x:f>G288/E288-1</x:f>
        <x:v>0.004472320163200427</x:v>
      </x:c>
      <x:c r="I288" s="1" t="n">
        <x:v>1</x:v>
      </x:c>
      <x:c r="J288" s="1" t="n">
        <x:v>1</x:v>
      </x:c>
      <x:c r="K288" s="1" t="str">
        <x:v>中证官方优先</x:v>
      </x:c>
    </x:row>
    <x:row r="289" ht="25" customHeight="1">
      <x:c r="A289" s="1" t="str">
        <x:v>sh000001</x:v>
      </x:c>
      <x:c r="B289" s="1" t="str">
        <x:v>上证综指</x:v>
      </x:c>
      <x:c r="C289" s="1" t="str">
        <x:v>2014-07</x:v>
      </x:c>
      <x:c r="D289" s="1" t="str">
        <x:v>2014-06-30</x:v>
      </x:c>
      <x:c r="E289" s="5" t="n">
        <x:v>2048.33</x:v>
      </x:c>
      <x:c r="F289" s="6" t="str">
        <x:v>2014-07-31</x:v>
      </x:c>
      <x:c r="G289" s="5" t="n">
        <x:v>2201.56</x:v>
      </x:c>
      <x:c r="H289" s="7" t="n">
        <x:f>G289/E289-1</x:f>
        <x:v>0.07480728202975118</x:v>
      </x:c>
      <x:c r="I289" s="1" t="n">
        <x:v>1</x:v>
      </x:c>
      <x:c r="J289" s="1" t="n">
        <x:v>1</x:v>
      </x:c>
      <x:c r="K289" s="1" t="str">
        <x:v>中证官方优先</x:v>
      </x:c>
    </x:row>
    <x:row r="290" ht="25" customHeight="1">
      <x:c r="A290" s="1" t="str">
        <x:v>sh000001</x:v>
      </x:c>
      <x:c r="B290" s="1" t="str">
        <x:v>上证综指</x:v>
      </x:c>
      <x:c r="C290" s="1" t="str">
        <x:v>2014-08</x:v>
      </x:c>
      <x:c r="D290" s="1" t="str">
        <x:v>2014-07-31</x:v>
      </x:c>
      <x:c r="E290" s="5" t="n">
        <x:v>2201.56</x:v>
      </x:c>
      <x:c r="F290" s="6" t="str">
        <x:v>2014-08-29</x:v>
      </x:c>
      <x:c r="G290" s="5" t="n">
        <x:v>2217.2</x:v>
      </x:c>
      <x:c r="H290" s="7" t="n">
        <x:f>G290/E290-1</x:f>
        <x:v>0.007104053489343842</x:v>
      </x:c>
      <x:c r="I290" s="1" t="n">
        <x:v>1</x:v>
      </x:c>
      <x:c r="J290" s="1" t="n">
        <x:v>1</x:v>
      </x:c>
      <x:c r="K290" s="1" t="str">
        <x:v>中证官方优先</x:v>
      </x:c>
    </x:row>
    <x:row r="291" ht="25" customHeight="1">
      <x:c r="A291" s="1" t="str">
        <x:v>sh000001</x:v>
      </x:c>
      <x:c r="B291" s="1" t="str">
        <x:v>上证综指</x:v>
      </x:c>
      <x:c r="C291" s="1" t="str">
        <x:v>2014-09</x:v>
      </x:c>
      <x:c r="D291" s="1" t="str">
        <x:v>2014-08-29</x:v>
      </x:c>
      <x:c r="E291" s="5" t="n">
        <x:v>2217.2</x:v>
      </x:c>
      <x:c r="F291" s="6" t="str">
        <x:v>2014-09-30</x:v>
      </x:c>
      <x:c r="G291" s="5" t="n">
        <x:v>2363.87</x:v>
      </x:c>
      <x:c r="H291" s="7" t="n">
        <x:f>G291/E291-1</x:f>
        <x:v>0.06615100126285411</x:v>
      </x:c>
      <x:c r="I291" s="1" t="n">
        <x:v>1</x:v>
      </x:c>
      <x:c r="J291" s="1" t="n">
        <x:v>1</x:v>
      </x:c>
      <x:c r="K291" s="1" t="str">
        <x:v>中证官方优先</x:v>
      </x:c>
    </x:row>
    <x:row r="292" ht="25" customHeight="1">
      <x:c r="A292" s="1" t="str">
        <x:v>sh000001</x:v>
      </x:c>
      <x:c r="B292" s="1" t="str">
        <x:v>上证综指</x:v>
      </x:c>
      <x:c r="C292" s="1" t="str">
        <x:v>2014-10</x:v>
      </x:c>
      <x:c r="D292" s="1" t="str">
        <x:v>2014-09-30</x:v>
      </x:c>
      <x:c r="E292" s="5" t="n">
        <x:v>2363.87</x:v>
      </x:c>
      <x:c r="F292" s="6" t="str">
        <x:v>2014-10-31</x:v>
      </x:c>
      <x:c r="G292" s="5" t="n">
        <x:v>2420.18</x:v>
      </x:c>
      <x:c r="H292" s="7" t="n">
        <x:f>G292/E292-1</x:f>
        <x:v>0.023821106913662682</x:v>
      </x:c>
      <x:c r="I292" s="1" t="n">
        <x:v>1</x:v>
      </x:c>
      <x:c r="J292" s="1" t="n">
        <x:v>1</x:v>
      </x:c>
      <x:c r="K292" s="1" t="str">
        <x:v>中证官方优先</x:v>
      </x:c>
    </x:row>
    <x:row r="293" ht="25" customHeight="1">
      <x:c r="A293" s="1" t="str">
        <x:v>sh000001</x:v>
      </x:c>
      <x:c r="B293" s="1" t="str">
        <x:v>上证综指</x:v>
      </x:c>
      <x:c r="C293" s="1" t="str">
        <x:v>2014-11</x:v>
      </x:c>
      <x:c r="D293" s="1" t="str">
        <x:v>2014-10-31</x:v>
      </x:c>
      <x:c r="E293" s="5" t="n">
        <x:v>2420.18</x:v>
      </x:c>
      <x:c r="F293" s="6" t="str">
        <x:v>2014-11-28</x:v>
      </x:c>
      <x:c r="G293" s="5" t="n">
        <x:v>2682.84</x:v>
      </x:c>
      <x:c r="H293" s="7" t="n">
        <x:f>G293/E293-1</x:f>
        <x:v>0.1085291176689338</x:v>
      </x:c>
      <x:c r="I293" s="1" t="n">
        <x:v>1</x:v>
      </x:c>
      <x:c r="J293" s="1" t="n">
        <x:v>1</x:v>
      </x:c>
      <x:c r="K293" s="1" t="str">
        <x:v>中证官方优先</x:v>
      </x:c>
    </x:row>
    <x:row r="294" ht="25" customHeight="1">
      <x:c r="A294" s="1" t="str">
        <x:v>sh000001</x:v>
      </x:c>
      <x:c r="B294" s="1" t="str">
        <x:v>上证综指</x:v>
      </x:c>
      <x:c r="C294" s="1" t="str">
        <x:v>2014-12</x:v>
      </x:c>
      <x:c r="D294" s="1" t="str">
        <x:v>2014-11-28</x:v>
      </x:c>
      <x:c r="E294" s="5" t="n">
        <x:v>2682.84</x:v>
      </x:c>
      <x:c r="F294" s="6" t="str">
        <x:v>2014-12-31</x:v>
      </x:c>
      <x:c r="G294" s="5" t="n">
        <x:v>3234.68</x:v>
      </x:c>
      <x:c r="H294" s="7" t="n">
        <x:f>G294/E294-1</x:f>
        <x:v>0.20569247513828626</x:v>
      </x:c>
      <x:c r="I294" s="1" t="n">
        <x:v>1</x:v>
      </x:c>
      <x:c r="J294" s="1" t="n">
        <x:v>1</x:v>
      </x:c>
      <x:c r="K294" s="1" t="str">
        <x:v>中证官方优先</x:v>
      </x:c>
    </x:row>
    <x:row r="295" ht="25" customHeight="1">
      <x:c r="A295" s="1" t="str">
        <x:v>sh000001</x:v>
      </x:c>
      <x:c r="B295" s="1" t="str">
        <x:v>上证综指</x:v>
      </x:c>
      <x:c r="C295" s="1" t="str">
        <x:v>2015-01</x:v>
      </x:c>
      <x:c r="D295" s="1" t="str">
        <x:v>2014-12-31</x:v>
      </x:c>
      <x:c r="E295" s="5" t="n">
        <x:v>3234.68</x:v>
      </x:c>
      <x:c r="F295" s="6" t="str">
        <x:v>2015-01-30</x:v>
      </x:c>
      <x:c r="G295" s="5" t="n">
        <x:v>3210.36</x:v>
      </x:c>
      <x:c r="H295" s="7" t="n">
        <x:f>G295/E295-1</x:f>
        <x:v>-0.007518518060519064</x:v>
      </x:c>
      <x:c r="I295" s="1" t="n">
        <x:v>1</x:v>
      </x:c>
      <x:c r="J295" s="1" t="n">
        <x:v>1</x:v>
      </x:c>
      <x:c r="K295" s="1" t="str">
        <x:v>中证官方优先</x:v>
      </x:c>
    </x:row>
    <x:row r="296" ht="25" customHeight="1">
      <x:c r="A296" s="1" t="str">
        <x:v>sh000001</x:v>
      </x:c>
      <x:c r="B296" s="1" t="str">
        <x:v>上证综指</x:v>
      </x:c>
      <x:c r="C296" s="1" t="str">
        <x:v>2015-02</x:v>
      </x:c>
      <x:c r="D296" s="1" t="str">
        <x:v>2015-01-30</x:v>
      </x:c>
      <x:c r="E296" s="5" t="n">
        <x:v>3210.36</x:v>
      </x:c>
      <x:c r="F296" s="6" t="str">
        <x:v>2015-02-27</x:v>
      </x:c>
      <x:c r="G296" s="5" t="n">
        <x:v>3310.3</x:v>
      </x:c>
      <x:c r="H296" s="7" t="n">
        <x:f>G296/E296-1</x:f>
        <x:v>0.03113046511917661</x:v>
      </x:c>
      <x:c r="I296" s="1" t="n">
        <x:v>1</x:v>
      </x:c>
      <x:c r="J296" s="1" t="n">
        <x:v>1</x:v>
      </x:c>
      <x:c r="K296" s="1" t="str">
        <x:v>中证官方优先</x:v>
      </x:c>
    </x:row>
    <x:row r="297" ht="25" customHeight="1">
      <x:c r="A297" s="1" t="str">
        <x:v>sh000001</x:v>
      </x:c>
      <x:c r="B297" s="1" t="str">
        <x:v>上证综指</x:v>
      </x:c>
      <x:c r="C297" s="1" t="str">
        <x:v>2015-03</x:v>
      </x:c>
      <x:c r="D297" s="1" t="str">
        <x:v>2015-02-27</x:v>
      </x:c>
      <x:c r="E297" s="5" t="n">
        <x:v>3310.3</x:v>
      </x:c>
      <x:c r="F297" s="6" t="str">
        <x:v>2015-03-31</x:v>
      </x:c>
      <x:c r="G297" s="5" t="n">
        <x:v>3747.9</x:v>
      </x:c>
      <x:c r="H297" s="7" t="n">
        <x:f>G297/E297-1</x:f>
        <x:v>0.13219345678639405</x:v>
      </x:c>
      <x:c r="I297" s="1" t="n">
        <x:v>1</x:v>
      </x:c>
      <x:c r="J297" s="1" t="n">
        <x:v>1</x:v>
      </x:c>
      <x:c r="K297" s="1" t="str">
        <x:v>中证官方优先</x:v>
      </x:c>
    </x:row>
    <x:row r="298" ht="25" customHeight="1">
      <x:c r="A298" s="1" t="str">
        <x:v>sh000001</x:v>
      </x:c>
      <x:c r="B298" s="1" t="str">
        <x:v>上证综指</x:v>
      </x:c>
      <x:c r="C298" s="1" t="str">
        <x:v>2015-04</x:v>
      </x:c>
      <x:c r="D298" s="1" t="str">
        <x:v>2015-03-31</x:v>
      </x:c>
      <x:c r="E298" s="5" t="n">
        <x:v>3747.9</x:v>
      </x:c>
      <x:c r="F298" s="6" t="str">
        <x:v>2015-04-30</x:v>
      </x:c>
      <x:c r="G298" s="5" t="n">
        <x:v>4441.66</x:v>
      </x:c>
      <x:c r="H298" s="7" t="n">
        <x:f>G298/E298-1</x:f>
        <x:v>0.18510632620934375</x:v>
      </x:c>
      <x:c r="I298" s="1" t="n">
        <x:v>1</x:v>
      </x:c>
      <x:c r="J298" s="1" t="n">
        <x:v>1</x:v>
      </x:c>
      <x:c r="K298" s="1" t="str">
        <x:v>中证官方优先</x:v>
      </x:c>
    </x:row>
    <x:row r="299" ht="25" customHeight="1">
      <x:c r="A299" s="1" t="str">
        <x:v>sh000001</x:v>
      </x:c>
      <x:c r="B299" s="1" t="str">
        <x:v>上证综指</x:v>
      </x:c>
      <x:c r="C299" s="1" t="str">
        <x:v>2015-05</x:v>
      </x:c>
      <x:c r="D299" s="1" t="str">
        <x:v>2015-04-30</x:v>
      </x:c>
      <x:c r="E299" s="5" t="n">
        <x:v>4441.66</x:v>
      </x:c>
      <x:c r="F299" s="6" t="str">
        <x:v>2015-05-29</x:v>
      </x:c>
      <x:c r="G299" s="5" t="n">
        <x:v>4611.74</x:v>
      </x:c>
      <x:c r="H299" s="7" t="n">
        <x:f>G299/E299-1</x:f>
        <x:v>0.03829198993169225</x:v>
      </x:c>
      <x:c r="I299" s="1" t="n">
        <x:v>1</x:v>
      </x:c>
      <x:c r="J299" s="1" t="n">
        <x:v>1</x:v>
      </x:c>
      <x:c r="K299" s="1" t="str">
        <x:v>中证官方优先</x:v>
      </x:c>
    </x:row>
    <x:row r="300" ht="25" customHeight="1">
      <x:c r="A300" s="1" t="str">
        <x:v>sh000001</x:v>
      </x:c>
      <x:c r="B300" s="1" t="str">
        <x:v>上证综指</x:v>
      </x:c>
      <x:c r="C300" s="1" t="str">
        <x:v>2015-06</x:v>
      </x:c>
      <x:c r="D300" s="1" t="str">
        <x:v>2015-05-29</x:v>
      </x:c>
      <x:c r="E300" s="5" t="n">
        <x:v>4611.74</x:v>
      </x:c>
      <x:c r="F300" s="6" t="str">
        <x:v>2015-06-30</x:v>
      </x:c>
      <x:c r="G300" s="5" t="n">
        <x:v>4277.22</x:v>
      </x:c>
      <x:c r="H300" s="7" t="n">
        <x:f>G300/E300-1</x:f>
        <x:v>-0.07253661307879444</x:v>
      </x:c>
      <x:c r="I300" s="1" t="n">
        <x:v>1</x:v>
      </x:c>
      <x:c r="J300" s="1" t="n">
        <x:v>1</x:v>
      </x:c>
      <x:c r="K300" s="1" t="str">
        <x:v>中证官方优先</x:v>
      </x:c>
    </x:row>
    <x:row r="301" ht="25" customHeight="1">
      <x:c r="A301" s="1" t="str">
        <x:v>sh000001</x:v>
      </x:c>
      <x:c r="B301" s="1" t="str">
        <x:v>上证综指</x:v>
      </x:c>
      <x:c r="C301" s="1" t="str">
        <x:v>2015-07</x:v>
      </x:c>
      <x:c r="D301" s="1" t="str">
        <x:v>2015-06-30</x:v>
      </x:c>
      <x:c r="E301" s="5" t="n">
        <x:v>4277.22</x:v>
      </x:c>
      <x:c r="F301" s="6" t="str">
        <x:v>2015-07-31</x:v>
      </x:c>
      <x:c r="G301" s="5" t="n">
        <x:v>3663.73</x:v>
      </x:c>
      <x:c r="H301" s="7" t="n">
        <x:f>G301/E301-1</x:f>
        <x:v>-0.14343194878916687</x:v>
      </x:c>
      <x:c r="I301" s="1" t="n">
        <x:v>1</x:v>
      </x:c>
      <x:c r="J301" s="1" t="n">
        <x:v>1</x:v>
      </x:c>
      <x:c r="K301" s="1" t="str">
        <x:v>中证官方优先</x:v>
      </x:c>
    </x:row>
    <x:row r="302" ht="25" customHeight="1">
      <x:c r="A302" s="1" t="str">
        <x:v>sh000001</x:v>
      </x:c>
      <x:c r="B302" s="1" t="str">
        <x:v>上证综指</x:v>
      </x:c>
      <x:c r="C302" s="1" t="str">
        <x:v>2015-08</x:v>
      </x:c>
      <x:c r="D302" s="1" t="str">
        <x:v>2015-07-31</x:v>
      </x:c>
      <x:c r="E302" s="5" t="n">
        <x:v>3663.73</x:v>
      </x:c>
      <x:c r="F302" s="6" t="str">
        <x:v>2015-08-31</x:v>
      </x:c>
      <x:c r="G302" s="5" t="n">
        <x:v>3205.99</x:v>
      </x:c>
      <x:c r="H302" s="7" t="n">
        <x:f>G302/E302-1</x:f>
        <x:v>-0.12493824599520165</x:v>
      </x:c>
      <x:c r="I302" s="1" t="n">
        <x:v>1</x:v>
      </x:c>
      <x:c r="J302" s="1" t="n">
        <x:v>1</x:v>
      </x:c>
      <x:c r="K302" s="1" t="str">
        <x:v>中证官方优先</x:v>
      </x:c>
    </x:row>
    <x:row r="303" ht="25" customHeight="1">
      <x:c r="A303" s="1" t="str">
        <x:v>sh000001</x:v>
      </x:c>
      <x:c r="B303" s="1" t="str">
        <x:v>上证综指</x:v>
      </x:c>
      <x:c r="C303" s="1" t="str">
        <x:v>2015-09</x:v>
      </x:c>
      <x:c r="D303" s="1" t="str">
        <x:v>2015-08-31</x:v>
      </x:c>
      <x:c r="E303" s="5" t="n">
        <x:v>3205.99</x:v>
      </x:c>
      <x:c r="F303" s="6" t="str">
        <x:v>2015-09-30</x:v>
      </x:c>
      <x:c r="G303" s="5" t="n">
        <x:v>3052.78</x:v>
      </x:c>
      <x:c r="H303" s="7" t="n">
        <x:f>G303/E303-1</x:f>
        <x:v>-0.04778867058225367</x:v>
      </x:c>
      <x:c r="I303" s="1" t="n">
        <x:v>1</x:v>
      </x:c>
      <x:c r="J303" s="1" t="n">
        <x:v>1</x:v>
      </x:c>
      <x:c r="K303" s="1" t="str">
        <x:v>中证官方优先</x:v>
      </x:c>
    </x:row>
    <x:row r="304" ht="25" customHeight="1">
      <x:c r="A304" s="1" t="str">
        <x:v>sh000001</x:v>
      </x:c>
      <x:c r="B304" s="1" t="str">
        <x:v>上证综指</x:v>
      </x:c>
      <x:c r="C304" s="1" t="str">
        <x:v>2015-10</x:v>
      </x:c>
      <x:c r="D304" s="1" t="str">
        <x:v>2015-09-30</x:v>
      </x:c>
      <x:c r="E304" s="5" t="n">
        <x:v>3052.78</x:v>
      </x:c>
      <x:c r="F304" s="6" t="str">
        <x:v>2015-10-30</x:v>
      </x:c>
      <x:c r="G304" s="5" t="n">
        <x:v>3382.56</x:v>
      </x:c>
      <x:c r="H304" s="7" t="n">
        <x:f>G304/E304-1</x:f>
        <x:v>0.10802612700554892</x:v>
      </x:c>
      <x:c r="I304" s="1" t="n">
        <x:v>1</x:v>
      </x:c>
      <x:c r="J304" s="1" t="n">
        <x:v>1</x:v>
      </x:c>
      <x:c r="K304" s="1" t="str">
        <x:v>中证官方优先</x:v>
      </x:c>
    </x:row>
    <x:row r="305" ht="25" customHeight="1">
      <x:c r="A305" s="1" t="str">
        <x:v>sh000001</x:v>
      </x:c>
      <x:c r="B305" s="1" t="str">
        <x:v>上证综指</x:v>
      </x:c>
      <x:c r="C305" s="1" t="str">
        <x:v>2015-11</x:v>
      </x:c>
      <x:c r="D305" s="1" t="str">
        <x:v>2015-10-30</x:v>
      </x:c>
      <x:c r="E305" s="5" t="n">
        <x:v>3382.56</x:v>
      </x:c>
      <x:c r="F305" s="6" t="str">
        <x:v>2015-11-30</x:v>
      </x:c>
      <x:c r="G305" s="5" t="n">
        <x:v>3445.4</x:v>
      </x:c>
      <x:c r="H305" s="7" t="n">
        <x:f>G305/E305-1</x:f>
        <x:v>0.018577645333711867</x:v>
      </x:c>
      <x:c r="I305" s="1" t="n">
        <x:v>1</x:v>
      </x:c>
      <x:c r="J305" s="1" t="n">
        <x:v>1</x:v>
      </x:c>
      <x:c r="K305" s="1" t="str">
        <x:v>中证官方优先</x:v>
      </x:c>
    </x:row>
    <x:row r="306" ht="25" customHeight="1">
      <x:c r="A306" s="1" t="str">
        <x:v>sh000001</x:v>
      </x:c>
      <x:c r="B306" s="1" t="str">
        <x:v>上证综指</x:v>
      </x:c>
      <x:c r="C306" s="1" t="str">
        <x:v>2015-12</x:v>
      </x:c>
      <x:c r="D306" s="1" t="str">
        <x:v>2015-11-30</x:v>
      </x:c>
      <x:c r="E306" s="5" t="n">
        <x:v>3445.4</x:v>
      </x:c>
      <x:c r="F306" s="6" t="str">
        <x:v>2015-12-31</x:v>
      </x:c>
      <x:c r="G306" s="5" t="n">
        <x:v>3539.18</x:v>
      </x:c>
      <x:c r="H306" s="7" t="n">
        <x:f>G306/E306-1</x:f>
        <x:v>0.027218900563069415</x:v>
      </x:c>
      <x:c r="I306" s="1" t="n">
        <x:v>1</x:v>
      </x:c>
      <x:c r="J306" s="1" t="n">
        <x:v>1</x:v>
      </x:c>
      <x:c r="K306" s="1" t="str">
        <x:v>中证官方优先</x:v>
      </x:c>
    </x:row>
    <x:row r="307" ht="25" customHeight="1">
      <x:c r="A307" s="1" t="str">
        <x:v>sh000001</x:v>
      </x:c>
      <x:c r="B307" s="1" t="str">
        <x:v>上证综指</x:v>
      </x:c>
      <x:c r="C307" s="1" t="str">
        <x:v>2016-01</x:v>
      </x:c>
      <x:c r="D307" s="1" t="str">
        <x:v>2015-12-31</x:v>
      </x:c>
      <x:c r="E307" s="5" t="n">
        <x:v>3539.18</x:v>
      </x:c>
      <x:c r="F307" s="6" t="str">
        <x:v>2016-01-29</x:v>
      </x:c>
      <x:c r="G307" s="5" t="n">
        <x:v>2737.6</x:v>
      </x:c>
      <x:c r="H307" s="7" t="n">
        <x:f>G307/E307-1</x:f>
        <x:v>-0.22648749145282243</x:v>
      </x:c>
      <x:c r="I307" s="1" t="n">
        <x:v>1</x:v>
      </x:c>
      <x:c r="J307" s="1" t="n">
        <x:v>1</x:v>
      </x:c>
      <x:c r="K307" s="1" t="str">
        <x:v>中证官方优先</x:v>
      </x:c>
    </x:row>
    <x:row r="308" ht="25" customHeight="1">
      <x:c r="A308" s="1" t="str">
        <x:v>sh000001</x:v>
      </x:c>
      <x:c r="B308" s="1" t="str">
        <x:v>上证综指</x:v>
      </x:c>
      <x:c r="C308" s="1" t="str">
        <x:v>2016-02</x:v>
      </x:c>
      <x:c r="D308" s="1" t="str">
        <x:v>2016-01-29</x:v>
      </x:c>
      <x:c r="E308" s="5" t="n">
        <x:v>2737.6</x:v>
      </x:c>
      <x:c r="F308" s="6" t="str">
        <x:v>2016-02-29</x:v>
      </x:c>
      <x:c r="G308" s="5" t="n">
        <x:v>2687.98</x:v>
      </x:c>
      <x:c r="H308" s="7" t="n">
        <x:f>G308/E308-1</x:f>
        <x:v>-0.01812536528345987</x:v>
      </x:c>
      <x:c r="I308" s="1" t="n">
        <x:v>1</x:v>
      </x:c>
      <x:c r="J308" s="1" t="n">
        <x:v>1</x:v>
      </x:c>
      <x:c r="K308" s="1" t="str">
        <x:v>中证官方优先</x:v>
      </x:c>
    </x:row>
    <x:row r="309" ht="25" customHeight="1">
      <x:c r="A309" s="1" t="str">
        <x:v>sh000001</x:v>
      </x:c>
      <x:c r="B309" s="1" t="str">
        <x:v>上证综指</x:v>
      </x:c>
      <x:c r="C309" s="1" t="str">
        <x:v>2016-03</x:v>
      </x:c>
      <x:c r="D309" s="1" t="str">
        <x:v>2016-02-29</x:v>
      </x:c>
      <x:c r="E309" s="5" t="n">
        <x:v>2687.98</x:v>
      </x:c>
      <x:c r="F309" s="6" t="str">
        <x:v>2016-03-31</x:v>
      </x:c>
      <x:c r="G309" s="5" t="n">
        <x:v>3003.92</x:v>
      </x:c>
      <x:c r="H309" s="7" t="n">
        <x:f>G309/E309-1</x:f>
        <x:v>0.11753807692021523</x:v>
      </x:c>
      <x:c r="I309" s="1" t="n">
        <x:v>1</x:v>
      </x:c>
      <x:c r="J309" s="1" t="n">
        <x:v>1</x:v>
      </x:c>
      <x:c r="K309" s="1" t="str">
        <x:v>中证官方优先</x:v>
      </x:c>
    </x:row>
    <x:row r="310" ht="25" customHeight="1">
      <x:c r="A310" s="1" t="str">
        <x:v>sh000001</x:v>
      </x:c>
      <x:c r="B310" s="1" t="str">
        <x:v>上证综指</x:v>
      </x:c>
      <x:c r="C310" s="1" t="str">
        <x:v>2016-04</x:v>
      </x:c>
      <x:c r="D310" s="1" t="str">
        <x:v>2016-03-31</x:v>
      </x:c>
      <x:c r="E310" s="5" t="n">
        <x:v>3003.92</x:v>
      </x:c>
      <x:c r="F310" s="6" t="str">
        <x:v>2016-04-29</x:v>
      </x:c>
      <x:c r="G310" s="5" t="n">
        <x:v>2938.32</x:v>
      </x:c>
      <x:c r="H310" s="7" t="n">
        <x:f>G310/E310-1</x:f>
        <x:v>-0.021838131508162606</x:v>
      </x:c>
      <x:c r="I310" s="1" t="n">
        <x:v>1</x:v>
      </x:c>
      <x:c r="J310" s="1" t="n">
        <x:v>1</x:v>
      </x:c>
      <x:c r="K310" s="1" t="str">
        <x:v>中证官方优先</x:v>
      </x:c>
    </x:row>
    <x:row r="311" ht="25" customHeight="1">
      <x:c r="A311" s="1" t="str">
        <x:v>sh000001</x:v>
      </x:c>
      <x:c r="B311" s="1" t="str">
        <x:v>上证综指</x:v>
      </x:c>
      <x:c r="C311" s="1" t="str">
        <x:v>2016-05</x:v>
      </x:c>
      <x:c r="D311" s="1" t="str">
        <x:v>2016-04-29</x:v>
      </x:c>
      <x:c r="E311" s="5" t="n">
        <x:v>2938.32</x:v>
      </x:c>
      <x:c r="F311" s="6" t="str">
        <x:v>2016-05-31</x:v>
      </x:c>
      <x:c r="G311" s="5" t="n">
        <x:v>2916.62</x:v>
      </x:c>
      <x:c r="H311" s="7" t="n">
        <x:f>G311/E311-1</x:f>
        <x:v>-0.007385172479512203</x:v>
      </x:c>
      <x:c r="I311" s="1" t="n">
        <x:v>1</x:v>
      </x:c>
      <x:c r="J311" s="1" t="n">
        <x:v>1</x:v>
      </x:c>
      <x:c r="K311" s="1" t="str">
        <x:v>中证官方优先</x:v>
      </x:c>
    </x:row>
    <x:row r="312" ht="25" customHeight="1">
      <x:c r="A312" s="1" t="str">
        <x:v>sh000001</x:v>
      </x:c>
      <x:c r="B312" s="1" t="str">
        <x:v>上证综指</x:v>
      </x:c>
      <x:c r="C312" s="1" t="str">
        <x:v>2016-06</x:v>
      </x:c>
      <x:c r="D312" s="1" t="str">
        <x:v>2016-05-31</x:v>
      </x:c>
      <x:c r="E312" s="5" t="n">
        <x:v>2916.62</x:v>
      </x:c>
      <x:c r="F312" s="6" t="str">
        <x:v>2016-06-30</x:v>
      </x:c>
      <x:c r="G312" s="5" t="n">
        <x:v>2929.61</x:v>
      </x:c>
      <x:c r="H312" s="7" t="n">
        <x:f>G312/E312-1</x:f>
        <x:v>0.004453785546283173</x:v>
      </x:c>
      <x:c r="I312" s="1" t="n">
        <x:v>1</x:v>
      </x:c>
      <x:c r="J312" s="1" t="n">
        <x:v>1</x:v>
      </x:c>
      <x:c r="K312" s="1" t="str">
        <x:v>中证官方优先</x:v>
      </x:c>
    </x:row>
    <x:row r="313" ht="25" customHeight="1">
      <x:c r="A313" s="1" t="str">
        <x:v>sh000001</x:v>
      </x:c>
      <x:c r="B313" s="1" t="str">
        <x:v>上证综指</x:v>
      </x:c>
      <x:c r="C313" s="1" t="str">
        <x:v>2016-07</x:v>
      </x:c>
      <x:c r="D313" s="1" t="str">
        <x:v>2016-06-30</x:v>
      </x:c>
      <x:c r="E313" s="5" t="n">
        <x:v>2929.61</x:v>
      </x:c>
      <x:c r="F313" s="6" t="str">
        <x:v>2016-07-29</x:v>
      </x:c>
      <x:c r="G313" s="5" t="n">
        <x:v>2979.34</x:v>
      </x:c>
      <x:c r="H313" s="7" t="n">
        <x:f>G313/E313-1</x:f>
        <x:v>0.0169749557108283</x:v>
      </x:c>
      <x:c r="I313" s="1" t="n">
        <x:v>1</x:v>
      </x:c>
      <x:c r="J313" s="1" t="n">
        <x:v>1</x:v>
      </x:c>
      <x:c r="K313" s="1" t="str">
        <x:v>中证官方优先</x:v>
      </x:c>
    </x:row>
    <x:row r="314" ht="25" customHeight="1">
      <x:c r="A314" s="1" t="str">
        <x:v>sh000001</x:v>
      </x:c>
      <x:c r="B314" s="1" t="str">
        <x:v>上证综指</x:v>
      </x:c>
      <x:c r="C314" s="1" t="str">
        <x:v>2016-08</x:v>
      </x:c>
      <x:c r="D314" s="1" t="str">
        <x:v>2016-07-29</x:v>
      </x:c>
      <x:c r="E314" s="5" t="n">
        <x:v>2979.34</x:v>
      </x:c>
      <x:c r="F314" s="6" t="str">
        <x:v>2016-08-31</x:v>
      </x:c>
      <x:c r="G314" s="5" t="n">
        <x:v>3085.49</x:v>
      </x:c>
      <x:c r="H314" s="7" t="n">
        <x:f>G314/E314-1</x:f>
        <x:v>0.035628696288439565</x:v>
      </x:c>
      <x:c r="I314" s="1" t="n">
        <x:v>1</x:v>
      </x:c>
      <x:c r="J314" s="1" t="n">
        <x:v>1</x:v>
      </x:c>
      <x:c r="K314" s="1" t="str">
        <x:v>中证官方优先</x:v>
      </x:c>
    </x:row>
    <x:row r="315" ht="25" customHeight="1">
      <x:c r="A315" s="1" t="str">
        <x:v>sh000001</x:v>
      </x:c>
      <x:c r="B315" s="1" t="str">
        <x:v>上证综指</x:v>
      </x:c>
      <x:c r="C315" s="1" t="str">
        <x:v>2016-09</x:v>
      </x:c>
      <x:c r="D315" s="1" t="str">
        <x:v>2016-08-31</x:v>
      </x:c>
      <x:c r="E315" s="5" t="n">
        <x:v>3085.49</x:v>
      </x:c>
      <x:c r="F315" s="6" t="str">
        <x:v>2016-09-30</x:v>
      </x:c>
      <x:c r="G315" s="5" t="n">
        <x:v>3004.7</x:v>
      </x:c>
      <x:c r="H315" s="7" t="n">
        <x:f>G315/E315-1</x:f>
        <x:v>-0.026183847622257672</x:v>
      </x:c>
      <x:c r="I315" s="1" t="n">
        <x:v>1</x:v>
      </x:c>
      <x:c r="J315" s="1" t="n">
        <x:v>1</x:v>
      </x:c>
      <x:c r="K315" s="1" t="str">
        <x:v>中证官方优先</x:v>
      </x:c>
    </x:row>
    <x:row r="316" ht="25" customHeight="1">
      <x:c r="A316" s="1" t="str">
        <x:v>sh000001</x:v>
      </x:c>
      <x:c r="B316" s="1" t="str">
        <x:v>上证综指</x:v>
      </x:c>
      <x:c r="C316" s="1" t="str">
        <x:v>2016-10</x:v>
      </x:c>
      <x:c r="D316" s="1" t="str">
        <x:v>2016-09-30</x:v>
      </x:c>
      <x:c r="E316" s="5" t="n">
        <x:v>3004.7</x:v>
      </x:c>
      <x:c r="F316" s="6" t="str">
        <x:v>2016-10-31</x:v>
      </x:c>
      <x:c r="G316" s="5" t="n">
        <x:v>3100.49</x:v>
      </x:c>
      <x:c r="H316" s="7" t="n">
        <x:f>G316/E316-1</x:f>
        <x:v>0.03188005458115617</x:v>
      </x:c>
      <x:c r="I316" s="1" t="n">
        <x:v>1</x:v>
      </x:c>
      <x:c r="J316" s="1" t="n">
        <x:v>1</x:v>
      </x:c>
      <x:c r="K316" s="1" t="str">
        <x:v>中证官方优先</x:v>
      </x:c>
    </x:row>
    <x:row r="317" ht="25" customHeight="1">
      <x:c r="A317" s="1" t="str">
        <x:v>sh000001</x:v>
      </x:c>
      <x:c r="B317" s="1" t="str">
        <x:v>上证综指</x:v>
      </x:c>
      <x:c r="C317" s="1" t="str">
        <x:v>2016-11</x:v>
      </x:c>
      <x:c r="D317" s="1" t="str">
        <x:v>2016-10-31</x:v>
      </x:c>
      <x:c r="E317" s="5" t="n">
        <x:v>3100.49</x:v>
      </x:c>
      <x:c r="F317" s="6" t="str">
        <x:v>2016-11-30</x:v>
      </x:c>
      <x:c r="G317" s="5" t="n">
        <x:v>3250.03</x:v>
      </x:c>
      <x:c r="H317" s="7" t="n">
        <x:f>G317/E317-1</x:f>
        <x:v>0.04823108605413995</x:v>
      </x:c>
      <x:c r="I317" s="1" t="n">
        <x:v>1</x:v>
      </x:c>
      <x:c r="J317" s="1" t="n">
        <x:v>1</x:v>
      </x:c>
      <x:c r="K317" s="1" t="str">
        <x:v>中证官方优先</x:v>
      </x:c>
    </x:row>
    <x:row r="318" ht="25" customHeight="1">
      <x:c r="A318" s="1" t="str">
        <x:v>sh000001</x:v>
      </x:c>
      <x:c r="B318" s="1" t="str">
        <x:v>上证综指</x:v>
      </x:c>
      <x:c r="C318" s="1" t="str">
        <x:v>2016-12</x:v>
      </x:c>
      <x:c r="D318" s="1" t="str">
        <x:v>2016-11-30</x:v>
      </x:c>
      <x:c r="E318" s="5" t="n">
        <x:v>3250.03</x:v>
      </x:c>
      <x:c r="F318" s="6" t="str">
        <x:v>2016-12-30</x:v>
      </x:c>
      <x:c r="G318" s="5" t="n">
        <x:v>3103.64</x:v>
      </x:c>
      <x:c r="H318" s="7" t="n">
        <x:f>G318/E318-1</x:f>
        <x:v>-0.045042661144666485</x:v>
      </x:c>
      <x:c r="I318" s="1" t="n">
        <x:v>1</x:v>
      </x:c>
      <x:c r="J318" s="1" t="n">
        <x:v>1</x:v>
      </x:c>
      <x:c r="K318" s="1" t="str">
        <x:v>中证官方优先</x:v>
      </x:c>
    </x:row>
    <x:row r="319" ht="25" customHeight="1">
      <x:c r="A319" s="1" t="str">
        <x:v>sh000001</x:v>
      </x:c>
      <x:c r="B319" s="1" t="str">
        <x:v>上证综指</x:v>
      </x:c>
      <x:c r="C319" s="1" t="str">
        <x:v>2017-01</x:v>
      </x:c>
      <x:c r="D319" s="1" t="str">
        <x:v>2016-12-30</x:v>
      </x:c>
      <x:c r="E319" s="5" t="n">
        <x:v>3103.64</x:v>
      </x:c>
      <x:c r="F319" s="6" t="str">
        <x:v>2017-01-26</x:v>
      </x:c>
      <x:c r="G319" s="5" t="n">
        <x:v>3159.17</x:v>
      </x:c>
      <x:c r="H319" s="7" t="n">
        <x:f>G319/E319-1</x:f>
        <x:v>0.017891894678506493</x:v>
      </x:c>
      <x:c r="I319" s="1" t="n">
        <x:v>1</x:v>
      </x:c>
      <x:c r="J319" s="1" t="n">
        <x:v>1</x:v>
      </x:c>
      <x:c r="K319" s="1" t="str">
        <x:v>中证官方优先</x:v>
      </x:c>
    </x:row>
    <x:row r="320" ht="25" customHeight="1">
      <x:c r="A320" s="1" t="str">
        <x:v>sh000001</x:v>
      </x:c>
      <x:c r="B320" s="1" t="str">
        <x:v>上证综指</x:v>
      </x:c>
      <x:c r="C320" s="1" t="str">
        <x:v>2017-02</x:v>
      </x:c>
      <x:c r="D320" s="1" t="str">
        <x:v>2017-01-26</x:v>
      </x:c>
      <x:c r="E320" s="5" t="n">
        <x:v>3159.17</x:v>
      </x:c>
      <x:c r="F320" s="6" t="str">
        <x:v>2017-02-28</x:v>
      </x:c>
      <x:c r="G320" s="5" t="n">
        <x:v>3241.73</x:v>
      </x:c>
      <x:c r="H320" s="7" t="n">
        <x:f>G320/E320-1</x:f>
        <x:v>0.02613344644321125</x:v>
      </x:c>
      <x:c r="I320" s="1" t="n">
        <x:v>1</x:v>
      </x:c>
      <x:c r="J320" s="1" t="n">
        <x:v>1</x:v>
      </x:c>
      <x:c r="K320" s="1" t="str">
        <x:v>中证官方优先</x:v>
      </x:c>
    </x:row>
    <x:row r="321" ht="25" customHeight="1">
      <x:c r="A321" s="1" t="str">
        <x:v>sh000001</x:v>
      </x:c>
      <x:c r="B321" s="1" t="str">
        <x:v>上证综指</x:v>
      </x:c>
      <x:c r="C321" s="1" t="str">
        <x:v>2017-03</x:v>
      </x:c>
      <x:c r="D321" s="1" t="str">
        <x:v>2017-02-28</x:v>
      </x:c>
      <x:c r="E321" s="5" t="n">
        <x:v>3241.73</x:v>
      </x:c>
      <x:c r="F321" s="6" t="str">
        <x:v>2017-03-31</x:v>
      </x:c>
      <x:c r="G321" s="5" t="n">
        <x:v>3222.51</x:v>
      </x:c>
      <x:c r="H321" s="7" t="n">
        <x:f>G321/E321-1</x:f>
        <x:v>-0.005928933007992576</x:v>
      </x:c>
      <x:c r="I321" s="1" t="n">
        <x:v>1</x:v>
      </x:c>
      <x:c r="J321" s="1" t="n">
        <x:v>1</x:v>
      </x:c>
      <x:c r="K321" s="1" t="str">
        <x:v>中证官方优先</x:v>
      </x:c>
    </x:row>
    <x:row r="322" ht="25" customHeight="1">
      <x:c r="A322" s="1" t="str">
        <x:v>sh000001</x:v>
      </x:c>
      <x:c r="B322" s="1" t="str">
        <x:v>上证综指</x:v>
      </x:c>
      <x:c r="C322" s="1" t="str">
        <x:v>2017-04</x:v>
      </x:c>
      <x:c r="D322" s="1" t="str">
        <x:v>2017-03-31</x:v>
      </x:c>
      <x:c r="E322" s="5" t="n">
        <x:v>3222.51</x:v>
      </x:c>
      <x:c r="F322" s="6" t="str">
        <x:v>2017-04-28</x:v>
      </x:c>
      <x:c r="G322" s="5" t="n">
        <x:v>3154.66</x:v>
      </x:c>
      <x:c r="H322" s="7" t="n">
        <x:f>G322/E322-1</x:f>
        <x:v>-0.021055016120974157</x:v>
      </x:c>
      <x:c r="I322" s="1" t="n">
        <x:v>1</x:v>
      </x:c>
      <x:c r="J322" s="1" t="n">
        <x:v>1</x:v>
      </x:c>
      <x:c r="K322" s="1" t="str">
        <x:v>中证官方优先</x:v>
      </x:c>
    </x:row>
    <x:row r="323" ht="25" customHeight="1">
      <x:c r="A323" s="1" t="str">
        <x:v>sh000001</x:v>
      </x:c>
      <x:c r="B323" s="1" t="str">
        <x:v>上证综指</x:v>
      </x:c>
      <x:c r="C323" s="1" t="str">
        <x:v>2017-05</x:v>
      </x:c>
      <x:c r="D323" s="1" t="str">
        <x:v>2017-04-28</x:v>
      </x:c>
      <x:c r="E323" s="5" t="n">
        <x:v>3154.66</x:v>
      </x:c>
      <x:c r="F323" s="6" t="str">
        <x:v>2017-05-31</x:v>
      </x:c>
      <x:c r="G323" s="5" t="n">
        <x:v>3117.18</x:v>
      </x:c>
      <x:c r="H323" s="7" t="n">
        <x:f>G323/E323-1</x:f>
        <x:v>-0.011880836603627709</x:v>
      </x:c>
      <x:c r="I323" s="1" t="n">
        <x:v>1</x:v>
      </x:c>
      <x:c r="J323" s="1" t="n">
        <x:v>1</x:v>
      </x:c>
      <x:c r="K323" s="1" t="str">
        <x:v>中证官方优先</x:v>
      </x:c>
    </x:row>
    <x:row r="324" ht="25" customHeight="1">
      <x:c r="A324" s="1" t="str">
        <x:v>sh000001</x:v>
      </x:c>
      <x:c r="B324" s="1" t="str">
        <x:v>上证综指</x:v>
      </x:c>
      <x:c r="C324" s="1" t="str">
        <x:v>2017-06</x:v>
      </x:c>
      <x:c r="D324" s="1" t="str">
        <x:v>2017-05-31</x:v>
      </x:c>
      <x:c r="E324" s="5" t="n">
        <x:v>3117.18</x:v>
      </x:c>
      <x:c r="F324" s="6" t="str">
        <x:v>2017-06-30</x:v>
      </x:c>
      <x:c r="G324" s="5" t="n">
        <x:v>3192.43</x:v>
      </x:c>
      <x:c r="H324" s="7" t="n">
        <x:f>G324/E324-1</x:f>
        <x:v>0.024140408959379966</x:v>
      </x:c>
      <x:c r="I324" s="1" t="n">
        <x:v>1</x:v>
      </x:c>
      <x:c r="J324" s="1" t="n">
        <x:v>1</x:v>
      </x:c>
      <x:c r="K324" s="1" t="str">
        <x:v>中证官方优先</x:v>
      </x:c>
    </x:row>
    <x:row r="325" ht="25" customHeight="1">
      <x:c r="A325" s="1" t="str">
        <x:v>sh000001</x:v>
      </x:c>
      <x:c r="B325" s="1" t="str">
        <x:v>上证综指</x:v>
      </x:c>
      <x:c r="C325" s="1" t="str">
        <x:v>2017-07</x:v>
      </x:c>
      <x:c r="D325" s="1" t="str">
        <x:v>2017-06-30</x:v>
      </x:c>
      <x:c r="E325" s="5" t="n">
        <x:v>3192.43</x:v>
      </x:c>
      <x:c r="F325" s="6" t="str">
        <x:v>2017-07-31</x:v>
      </x:c>
      <x:c r="G325" s="5" t="n">
        <x:v>3273.03</x:v>
      </x:c>
      <x:c r="H325" s="7" t="n">
        <x:f>G325/E325-1</x:f>
        <x:v>0.02524722546774716</x:v>
      </x:c>
      <x:c r="I325" s="1" t="n">
        <x:v>1</x:v>
      </x:c>
      <x:c r="J325" s="1" t="n">
        <x:v>1</x:v>
      </x:c>
      <x:c r="K325" s="1" t="str">
        <x:v>中证官方优先</x:v>
      </x:c>
    </x:row>
    <x:row r="326" ht="25" customHeight="1">
      <x:c r="A326" s="1" t="str">
        <x:v>sh000001</x:v>
      </x:c>
      <x:c r="B326" s="1" t="str">
        <x:v>上证综指</x:v>
      </x:c>
      <x:c r="C326" s="1" t="str">
        <x:v>2017-08</x:v>
      </x:c>
      <x:c r="D326" s="1" t="str">
        <x:v>2017-07-31</x:v>
      </x:c>
      <x:c r="E326" s="5" t="n">
        <x:v>3273.03</x:v>
      </x:c>
      <x:c r="F326" s="6" t="str">
        <x:v>2017-08-31</x:v>
      </x:c>
      <x:c r="G326" s="5" t="n">
        <x:v>3360.81</x:v>
      </x:c>
      <x:c r="H326" s="7" t="n">
        <x:f>G326/E326-1</x:f>
        <x:v>0.02681918589197152</x:v>
      </x:c>
      <x:c r="I326" s="1" t="n">
        <x:v>1</x:v>
      </x:c>
      <x:c r="J326" s="1" t="n">
        <x:v>1</x:v>
      </x:c>
      <x:c r="K326" s="1" t="str">
        <x:v>中证官方优先</x:v>
      </x:c>
    </x:row>
    <x:row r="327" ht="25" customHeight="1">
      <x:c r="A327" s="1" t="str">
        <x:v>sh000001</x:v>
      </x:c>
      <x:c r="B327" s="1" t="str">
        <x:v>上证综指</x:v>
      </x:c>
      <x:c r="C327" s="1" t="str">
        <x:v>2017-09</x:v>
      </x:c>
      <x:c r="D327" s="1" t="str">
        <x:v>2017-08-31</x:v>
      </x:c>
      <x:c r="E327" s="5" t="n">
        <x:v>3360.81</x:v>
      </x:c>
      <x:c r="F327" s="6" t="str">
        <x:v>2017-09-29</x:v>
      </x:c>
      <x:c r="G327" s="5" t="n">
        <x:v>3348.94</x:v>
      </x:c>
      <x:c r="H327" s="7" t="n">
        <x:f>G327/E327-1</x:f>
        <x:v>-0.0035318866582757513</x:v>
      </x:c>
      <x:c r="I327" s="1" t="n">
        <x:v>1</x:v>
      </x:c>
      <x:c r="J327" s="1" t="n">
        <x:v>1</x:v>
      </x:c>
      <x:c r="K327" s="1" t="str">
        <x:v>中证官方优先</x:v>
      </x:c>
    </x:row>
    <x:row r="328" ht="25" customHeight="1">
      <x:c r="A328" s="1" t="str">
        <x:v>sh000001</x:v>
      </x:c>
      <x:c r="B328" s="1" t="str">
        <x:v>上证综指</x:v>
      </x:c>
      <x:c r="C328" s="1" t="str">
        <x:v>2017-10</x:v>
      </x:c>
      <x:c r="D328" s="1" t="str">
        <x:v>2017-09-29</x:v>
      </x:c>
      <x:c r="E328" s="5" t="n">
        <x:v>3348.94</x:v>
      </x:c>
      <x:c r="F328" s="6" t="str">
        <x:v>2017-10-31</x:v>
      </x:c>
      <x:c r="G328" s="5" t="n">
        <x:v>3393.34</x:v>
      </x:c>
      <x:c r="H328" s="7" t="n">
        <x:f>G328/E328-1</x:f>
        <x:v>0.013257926388648311</x:v>
      </x:c>
      <x:c r="I328" s="1" t="n">
        <x:v>1</x:v>
      </x:c>
      <x:c r="J328" s="1" t="n">
        <x:v>1</x:v>
      </x:c>
      <x:c r="K328" s="1" t="str">
        <x:v>中证官方优先</x:v>
      </x:c>
    </x:row>
    <x:row r="329" ht="25" customHeight="1">
      <x:c r="A329" s="1" t="str">
        <x:v>sh000001</x:v>
      </x:c>
      <x:c r="B329" s="1" t="str">
        <x:v>上证综指</x:v>
      </x:c>
      <x:c r="C329" s="1" t="str">
        <x:v>2017-11</x:v>
      </x:c>
      <x:c r="D329" s="1" t="str">
        <x:v>2017-10-31</x:v>
      </x:c>
      <x:c r="E329" s="5" t="n">
        <x:v>3393.34</x:v>
      </x:c>
      <x:c r="F329" s="6" t="str">
        <x:v>2017-11-30</x:v>
      </x:c>
      <x:c r="G329" s="5" t="n">
        <x:v>3317.19</x:v>
      </x:c>
      <x:c r="H329" s="7" t="n">
        <x:f>G329/E329-1</x:f>
        <x:v>-0.022441016815291204</x:v>
      </x:c>
      <x:c r="I329" s="1" t="n">
        <x:v>1</x:v>
      </x:c>
      <x:c r="J329" s="1" t="n">
        <x:v>1</x:v>
      </x:c>
      <x:c r="K329" s="1" t="str">
        <x:v>中证官方优先</x:v>
      </x:c>
    </x:row>
    <x:row r="330" ht="25" customHeight="1">
      <x:c r="A330" s="1" t="str">
        <x:v>sh000001</x:v>
      </x:c>
      <x:c r="B330" s="1" t="str">
        <x:v>上证综指</x:v>
      </x:c>
      <x:c r="C330" s="1" t="str">
        <x:v>2017-12</x:v>
      </x:c>
      <x:c r="D330" s="1" t="str">
        <x:v>2017-11-30</x:v>
      </x:c>
      <x:c r="E330" s="5" t="n">
        <x:v>3317.19</x:v>
      </x:c>
      <x:c r="F330" s="6" t="str">
        <x:v>2017-12-29</x:v>
      </x:c>
      <x:c r="G330" s="5" t="n">
        <x:v>3307.17</x:v>
      </x:c>
      <x:c r="H330" s="7" t="n">
        <x:f>G330/E330-1</x:f>
        <x:v>-0.00302062890579069</x:v>
      </x:c>
      <x:c r="I330" s="1" t="n">
        <x:v>1</x:v>
      </x:c>
      <x:c r="J330" s="1" t="n">
        <x:v>1</x:v>
      </x:c>
      <x:c r="K330" s="1" t="str">
        <x:v>中证官方优先</x:v>
      </x:c>
    </x:row>
    <x:row r="331" ht="25" customHeight="1">
      <x:c r="A331" s="1" t="str">
        <x:v>sh000001</x:v>
      </x:c>
      <x:c r="B331" s="1" t="str">
        <x:v>上证综指</x:v>
      </x:c>
      <x:c r="C331" s="1" t="str">
        <x:v>2018-01</x:v>
      </x:c>
      <x:c r="D331" s="1" t="str">
        <x:v>2017-12-29</x:v>
      </x:c>
      <x:c r="E331" s="5" t="n">
        <x:v>3307.17</x:v>
      </x:c>
      <x:c r="F331" s="6" t="str">
        <x:v>2018-01-31</x:v>
      </x:c>
      <x:c r="G331" s="5" t="n">
        <x:v>3480.83</x:v>
      </x:c>
      <x:c r="H331" s="7" t="n">
        <x:f>G331/E331-1</x:f>
        <x:v>0.05251015218449617</x:v>
      </x:c>
      <x:c r="I331" s="1" t="n">
        <x:v>1</x:v>
      </x:c>
      <x:c r="J331" s="1" t="n">
        <x:v>1</x:v>
      </x:c>
      <x:c r="K331" s="1" t="str">
        <x:v>中证官方优先</x:v>
      </x:c>
    </x:row>
    <x:row r="332" ht="25" customHeight="1">
      <x:c r="A332" s="1" t="str">
        <x:v>sh000001</x:v>
      </x:c>
      <x:c r="B332" s="1" t="str">
        <x:v>上证综指</x:v>
      </x:c>
      <x:c r="C332" s="1" t="str">
        <x:v>2018-02</x:v>
      </x:c>
      <x:c r="D332" s="1" t="str">
        <x:v>2018-01-31</x:v>
      </x:c>
      <x:c r="E332" s="5" t="n">
        <x:v>3480.83</x:v>
      </x:c>
      <x:c r="F332" s="6" t="str">
        <x:v>2018-02-28</x:v>
      </x:c>
      <x:c r="G332" s="5" t="n">
        <x:v>3259.41</x:v>
      </x:c>
      <x:c r="H332" s="7" t="n">
        <x:f>G332/E332-1</x:f>
        <x:v>-0.06361126512929394</x:v>
      </x:c>
      <x:c r="I332" s="1" t="n">
        <x:v>1</x:v>
      </x:c>
      <x:c r="J332" s="1" t="n">
        <x:v>1</x:v>
      </x:c>
      <x:c r="K332" s="1" t="str">
        <x:v>中证官方优先</x:v>
      </x:c>
    </x:row>
    <x:row r="333" ht="25" customHeight="1">
      <x:c r="A333" s="1" t="str">
        <x:v>sh000001</x:v>
      </x:c>
      <x:c r="B333" s="1" t="str">
        <x:v>上证综指</x:v>
      </x:c>
      <x:c r="C333" s="1" t="str">
        <x:v>2018-03</x:v>
      </x:c>
      <x:c r="D333" s="1" t="str">
        <x:v>2018-02-28</x:v>
      </x:c>
      <x:c r="E333" s="5" t="n">
        <x:v>3259.41</x:v>
      </x:c>
      <x:c r="F333" s="6" t="str">
        <x:v>2018-03-30</x:v>
      </x:c>
      <x:c r="G333" s="5" t="n">
        <x:v>3168.9</x:v>
      </x:c>
      <x:c r="H333" s="7" t="n">
        <x:f>G333/E333-1</x:f>
        <x:v>-0.027768829328007172</x:v>
      </x:c>
      <x:c r="I333" s="1" t="n">
        <x:v>1</x:v>
      </x:c>
      <x:c r="J333" s="1" t="n">
        <x:v>1</x:v>
      </x:c>
      <x:c r="K333" s="1" t="str">
        <x:v>中证官方优先</x:v>
      </x:c>
    </x:row>
    <x:row r="334" ht="25" customHeight="1">
      <x:c r="A334" s="1" t="str">
        <x:v>sh000001</x:v>
      </x:c>
      <x:c r="B334" s="1" t="str">
        <x:v>上证综指</x:v>
      </x:c>
      <x:c r="C334" s="1" t="str">
        <x:v>2018-04</x:v>
      </x:c>
      <x:c r="D334" s="1" t="str">
        <x:v>2018-03-30</x:v>
      </x:c>
      <x:c r="E334" s="5" t="n">
        <x:v>3168.9</x:v>
      </x:c>
      <x:c r="F334" s="6" t="str">
        <x:v>2018-04-27</x:v>
      </x:c>
      <x:c r="G334" s="5" t="n">
        <x:v>3082.23</x:v>
      </x:c>
      <x:c r="H334" s="7" t="n">
        <x:f>G334/E334-1</x:f>
        <x:v>-0.027350184606645844</x:v>
      </x:c>
      <x:c r="I334" s="1" t="n">
        <x:v>1</x:v>
      </x:c>
      <x:c r="J334" s="1" t="n">
        <x:v>1</x:v>
      </x:c>
      <x:c r="K334" s="1" t="str">
        <x:v>中证官方优先</x:v>
      </x:c>
    </x:row>
    <x:row r="335" ht="25" customHeight="1">
      <x:c r="A335" s="1" t="str">
        <x:v>sh000001</x:v>
      </x:c>
      <x:c r="B335" s="1" t="str">
        <x:v>上证综指</x:v>
      </x:c>
      <x:c r="C335" s="1" t="str">
        <x:v>2018-05</x:v>
      </x:c>
      <x:c r="D335" s="1" t="str">
        <x:v>2018-04-27</x:v>
      </x:c>
      <x:c r="E335" s="5" t="n">
        <x:v>3082.23</x:v>
      </x:c>
      <x:c r="F335" s="6" t="str">
        <x:v>2018-05-31</x:v>
      </x:c>
      <x:c r="G335" s="5" t="n">
        <x:v>3095.47</x:v>
      </x:c>
      <x:c r="H335" s="7" t="n">
        <x:f>G335/E335-1</x:f>
        <x:v>0.004295591179113822</x:v>
      </x:c>
      <x:c r="I335" s="1" t="n">
        <x:v>1</x:v>
      </x:c>
      <x:c r="J335" s="1" t="n">
        <x:v>1</x:v>
      </x:c>
      <x:c r="K335" s="1" t="str">
        <x:v>中证官方优先</x:v>
      </x:c>
    </x:row>
    <x:row r="336" ht="25" customHeight="1">
      <x:c r="A336" s="1" t="str">
        <x:v>sh000001</x:v>
      </x:c>
      <x:c r="B336" s="1" t="str">
        <x:v>上证综指</x:v>
      </x:c>
      <x:c r="C336" s="1" t="str">
        <x:v>2018-06</x:v>
      </x:c>
      <x:c r="D336" s="1" t="str">
        <x:v>2018-05-31</x:v>
      </x:c>
      <x:c r="E336" s="5" t="n">
        <x:v>3095.47</x:v>
      </x:c>
      <x:c r="F336" s="6" t="str">
        <x:v>2018-06-29</x:v>
      </x:c>
      <x:c r="G336" s="5" t="n">
        <x:v>2847.42</x:v>
      </x:c>
      <x:c r="H336" s="7" t="n">
        <x:f>G336/E336-1</x:f>
        <x:v>-0.08013322694130443</x:v>
      </x:c>
      <x:c r="I336" s="1" t="n">
        <x:v>1</x:v>
      </x:c>
      <x:c r="J336" s="1" t="n">
        <x:v>1</x:v>
      </x:c>
      <x:c r="K336" s="1" t="str">
        <x:v>中证官方优先</x:v>
      </x:c>
    </x:row>
    <x:row r="337" ht="25" customHeight="1">
      <x:c r="A337" s="1" t="str">
        <x:v>sh000001</x:v>
      </x:c>
      <x:c r="B337" s="1" t="str">
        <x:v>上证综指</x:v>
      </x:c>
      <x:c r="C337" s="1" t="str">
        <x:v>2018-07</x:v>
      </x:c>
      <x:c r="D337" s="1" t="str">
        <x:v>2018-06-29</x:v>
      </x:c>
      <x:c r="E337" s="5" t="n">
        <x:v>2847.42</x:v>
      </x:c>
      <x:c r="F337" s="6" t="str">
        <x:v>2018-07-31</x:v>
      </x:c>
      <x:c r="G337" s="5" t="n">
        <x:v>2876.4</x:v>
      </x:c>
      <x:c r="H337" s="7" t="n">
        <x:f>G337/E337-1</x:f>
        <x:v>0.010177634490170062</x:v>
      </x:c>
      <x:c r="I337" s="1" t="n">
        <x:v>1</x:v>
      </x:c>
      <x:c r="J337" s="1" t="n">
        <x:v>1</x:v>
      </x:c>
      <x:c r="K337" s="1" t="str">
        <x:v>中证官方优先</x:v>
      </x:c>
    </x:row>
    <x:row r="338" ht="25" customHeight="1">
      <x:c r="A338" s="1" t="str">
        <x:v>sh000001</x:v>
      </x:c>
      <x:c r="B338" s="1" t="str">
        <x:v>上证综指</x:v>
      </x:c>
      <x:c r="C338" s="1" t="str">
        <x:v>2018-08</x:v>
      </x:c>
      <x:c r="D338" s="1" t="str">
        <x:v>2018-07-31</x:v>
      </x:c>
      <x:c r="E338" s="5" t="n">
        <x:v>2876.4</x:v>
      </x:c>
      <x:c r="F338" s="6" t="str">
        <x:v>2018-08-31</x:v>
      </x:c>
      <x:c r="G338" s="5" t="n">
        <x:v>2725.25</x:v>
      </x:c>
      <x:c r="H338" s="7" t="n">
        <x:f>G338/E338-1</x:f>
        <x:v>-0.05254832429425671</x:v>
      </x:c>
      <x:c r="I338" s="1" t="n">
        <x:v>1</x:v>
      </x:c>
      <x:c r="J338" s="1" t="n">
        <x:v>1</x:v>
      </x:c>
      <x:c r="K338" s="1" t="str">
        <x:v>中证官方优先</x:v>
      </x:c>
    </x:row>
    <x:row r="339" ht="25" customHeight="1">
      <x:c r="A339" s="1" t="str">
        <x:v>sh000001</x:v>
      </x:c>
      <x:c r="B339" s="1" t="str">
        <x:v>上证综指</x:v>
      </x:c>
      <x:c r="C339" s="1" t="str">
        <x:v>2018-09</x:v>
      </x:c>
      <x:c r="D339" s="1" t="str">
        <x:v>2018-08-31</x:v>
      </x:c>
      <x:c r="E339" s="5" t="n">
        <x:v>2725.25</x:v>
      </x:c>
      <x:c r="F339" s="6" t="str">
        <x:v>2018-09-28</x:v>
      </x:c>
      <x:c r="G339" s="5" t="n">
        <x:v>2821.35</x:v>
      </x:c>
      <x:c r="H339" s="7" t="n">
        <x:f>G339/E339-1</x:f>
        <x:v>0.03526281992477753</x:v>
      </x:c>
      <x:c r="I339" s="1" t="n">
        <x:v>1</x:v>
      </x:c>
      <x:c r="J339" s="1" t="n">
        <x:v>1</x:v>
      </x:c>
      <x:c r="K339" s="1" t="str">
        <x:v>中证官方优先</x:v>
      </x:c>
    </x:row>
    <x:row r="340" ht="25" customHeight="1">
      <x:c r="A340" s="1" t="str">
        <x:v>sh000001</x:v>
      </x:c>
      <x:c r="B340" s="1" t="str">
        <x:v>上证综指</x:v>
      </x:c>
      <x:c r="C340" s="1" t="str">
        <x:v>2018-10</x:v>
      </x:c>
      <x:c r="D340" s="1" t="str">
        <x:v>2018-09-28</x:v>
      </x:c>
      <x:c r="E340" s="5" t="n">
        <x:v>2821.35</x:v>
      </x:c>
      <x:c r="F340" s="6" t="str">
        <x:v>2018-10-31</x:v>
      </x:c>
      <x:c r="G340" s="5" t="n">
        <x:v>2602.78</x:v>
      </x:c>
      <x:c r="H340" s="7" t="n">
        <x:f>G340/E340-1</x:f>
        <x:v>-0.07747000549382377</x:v>
      </x:c>
      <x:c r="I340" s="1" t="n">
        <x:v>1</x:v>
      </x:c>
      <x:c r="J340" s="1" t="n">
        <x:v>1</x:v>
      </x:c>
      <x:c r="K340" s="1" t="str">
        <x:v>中证官方优先</x:v>
      </x:c>
    </x:row>
    <x:row r="341" ht="25" customHeight="1">
      <x:c r="A341" s="1" t="str">
        <x:v>sh000001</x:v>
      </x:c>
      <x:c r="B341" s="1" t="str">
        <x:v>上证综指</x:v>
      </x:c>
      <x:c r="C341" s="1" t="str">
        <x:v>2018-11</x:v>
      </x:c>
      <x:c r="D341" s="1" t="str">
        <x:v>2018-10-31</x:v>
      </x:c>
      <x:c r="E341" s="5" t="n">
        <x:v>2602.78</x:v>
      </x:c>
      <x:c r="F341" s="6" t="str">
        <x:v>2018-11-30</x:v>
      </x:c>
      <x:c r="G341" s="5" t="n">
        <x:v>2588.19</x:v>
      </x:c>
      <x:c r="H341" s="7" t="n">
        <x:f>G341/E341-1</x:f>
        <x:v>-0.005605544840516785</x:v>
      </x:c>
      <x:c r="I341" s="1" t="n">
        <x:v>1</x:v>
      </x:c>
      <x:c r="J341" s="1" t="n">
        <x:v>1</x:v>
      </x:c>
      <x:c r="K341" s="1" t="str">
        <x:v>中证官方优先</x:v>
      </x:c>
    </x:row>
    <x:row r="342" ht="25" customHeight="1">
      <x:c r="A342" s="1" t="str">
        <x:v>sh000001</x:v>
      </x:c>
      <x:c r="B342" s="1" t="str">
        <x:v>上证综指</x:v>
      </x:c>
      <x:c r="C342" s="1" t="str">
        <x:v>2018-12</x:v>
      </x:c>
      <x:c r="D342" s="1" t="str">
        <x:v>2018-11-30</x:v>
      </x:c>
      <x:c r="E342" s="5" t="n">
        <x:v>2588.19</x:v>
      </x:c>
      <x:c r="F342" s="6" t="str">
        <x:v>2018-12-28</x:v>
      </x:c>
      <x:c r="G342" s="5" t="n">
        <x:v>2493.9</x:v>
      </x:c>
      <x:c r="H342" s="7" t="n">
        <x:f>G342/E342-1</x:f>
        <x:v>-0.03643086481286151</x:v>
      </x:c>
      <x:c r="I342" s="1" t="n">
        <x:v>1</x:v>
      </x:c>
      <x:c r="J342" s="1" t="n">
        <x:v>1</x:v>
      </x:c>
      <x:c r="K342" s="1" t="str">
        <x:v>中证官方优先</x:v>
      </x:c>
    </x:row>
    <x:row r="343" ht="25" customHeight="1">
      <x:c r="A343" s="1" t="str">
        <x:v>sh000001</x:v>
      </x:c>
      <x:c r="B343" s="1" t="str">
        <x:v>上证综指</x:v>
      </x:c>
      <x:c r="C343" s="1" t="str">
        <x:v>2019-01</x:v>
      </x:c>
      <x:c r="D343" s="1" t="str">
        <x:v>2018-12-28</x:v>
      </x:c>
      <x:c r="E343" s="5" t="n">
        <x:v>2493.9</x:v>
      </x:c>
      <x:c r="F343" s="6" t="str">
        <x:v>2019-01-31</x:v>
      </x:c>
      <x:c r="G343" s="5" t="n">
        <x:v>2584.57</x:v>
      </x:c>
      <x:c r="H343" s="7" t="n">
        <x:f>G343/E343-1</x:f>
        <x:v>0.036356710373310897</x:v>
      </x:c>
      <x:c r="I343" s="1" t="n">
        <x:v>1</x:v>
      </x:c>
      <x:c r="J343" s="1" t="n">
        <x:v>1</x:v>
      </x:c>
      <x:c r="K343" s="1" t="str">
        <x:v>中证官方优先</x:v>
      </x:c>
    </x:row>
    <x:row r="344" ht="25" customHeight="1">
      <x:c r="A344" s="1" t="str">
        <x:v>sh000001</x:v>
      </x:c>
      <x:c r="B344" s="1" t="str">
        <x:v>上证综指</x:v>
      </x:c>
      <x:c r="C344" s="1" t="str">
        <x:v>2019-02</x:v>
      </x:c>
      <x:c r="D344" s="1" t="str">
        <x:v>2019-01-31</x:v>
      </x:c>
      <x:c r="E344" s="5" t="n">
        <x:v>2584.57</x:v>
      </x:c>
      <x:c r="F344" s="6" t="str">
        <x:v>2019-02-28</x:v>
      </x:c>
      <x:c r="G344" s="5" t="n">
        <x:v>2940.95</x:v>
      </x:c>
      <x:c r="H344" s="7" t="n">
        <x:f>G344/E344-1</x:f>
        <x:v>0.13788754028716554</x:v>
      </x:c>
      <x:c r="I344" s="1" t="n">
        <x:v>1</x:v>
      </x:c>
      <x:c r="J344" s="1" t="n">
        <x:v>1</x:v>
      </x:c>
      <x:c r="K344" s="1" t="str">
        <x:v>中证官方优先</x:v>
      </x:c>
    </x:row>
    <x:row r="345" ht="25" customHeight="1">
      <x:c r="A345" s="1" t="str">
        <x:v>sh000001</x:v>
      </x:c>
      <x:c r="B345" s="1" t="str">
        <x:v>上证综指</x:v>
      </x:c>
      <x:c r="C345" s="1" t="str">
        <x:v>2019-03</x:v>
      </x:c>
      <x:c r="D345" s="1" t="str">
        <x:v>2019-02-28</x:v>
      </x:c>
      <x:c r="E345" s="5" t="n">
        <x:v>2940.95</x:v>
      </x:c>
      <x:c r="F345" s="6" t="str">
        <x:v>2019-03-29</x:v>
      </x:c>
      <x:c r="G345" s="5" t="n">
        <x:v>3090.76</x:v>
      </x:c>
      <x:c r="H345" s="7" t="n">
        <x:f>G345/E345-1</x:f>
        <x:v>0.05093932232781939</x:v>
      </x:c>
      <x:c r="I345" s="1" t="n">
        <x:v>1</x:v>
      </x:c>
      <x:c r="J345" s="1" t="n">
        <x:v>1</x:v>
      </x:c>
      <x:c r="K345" s="1" t="str">
        <x:v>中证官方优先</x:v>
      </x:c>
    </x:row>
    <x:row r="346" ht="25" customHeight="1">
      <x:c r="A346" s="1" t="str">
        <x:v>sh000001</x:v>
      </x:c>
      <x:c r="B346" s="1" t="str">
        <x:v>上证综指</x:v>
      </x:c>
      <x:c r="C346" s="1" t="str">
        <x:v>2019-04</x:v>
      </x:c>
      <x:c r="D346" s="1" t="str">
        <x:v>2019-03-29</x:v>
      </x:c>
      <x:c r="E346" s="5" t="n">
        <x:v>3090.76</x:v>
      </x:c>
      <x:c r="F346" s="6" t="str">
        <x:v>2019-04-30</x:v>
      </x:c>
      <x:c r="G346" s="5" t="n">
        <x:v>3078.34</x:v>
      </x:c>
      <x:c r="H346" s="7" t="n">
        <x:f>G346/E346-1</x:f>
        <x:v>-0.00401842912422834</x:v>
      </x:c>
      <x:c r="I346" s="1" t="n">
        <x:v>1</x:v>
      </x:c>
      <x:c r="J346" s="1" t="n">
        <x:v>1</x:v>
      </x:c>
      <x:c r="K346" s="1" t="str">
        <x:v>中证官方优先</x:v>
      </x:c>
    </x:row>
    <x:row r="347" ht="25" customHeight="1">
      <x:c r="A347" s="1" t="str">
        <x:v>sh000001</x:v>
      </x:c>
      <x:c r="B347" s="1" t="str">
        <x:v>上证综指</x:v>
      </x:c>
      <x:c r="C347" s="1" t="str">
        <x:v>2019-05</x:v>
      </x:c>
      <x:c r="D347" s="1" t="str">
        <x:v>2019-04-30</x:v>
      </x:c>
      <x:c r="E347" s="5" t="n">
        <x:v>3078.34</x:v>
      </x:c>
      <x:c r="F347" s="6" t="str">
        <x:v>2019-05-31</x:v>
      </x:c>
      <x:c r="G347" s="5" t="n">
        <x:v>2898.7</x:v>
      </x:c>
      <x:c r="H347" s="7" t="n">
        <x:f>G347/E347-1</x:f>
        <x:v>-0.058356127003515</x:v>
      </x:c>
      <x:c r="I347" s="1" t="n">
        <x:v>1</x:v>
      </x:c>
      <x:c r="J347" s="1" t="n">
        <x:v>1</x:v>
      </x:c>
      <x:c r="K347" s="1" t="str">
        <x:v>中证官方优先</x:v>
      </x:c>
    </x:row>
    <x:row r="348" ht="25" customHeight="1">
      <x:c r="A348" s="1" t="str">
        <x:v>sh000001</x:v>
      </x:c>
      <x:c r="B348" s="1" t="str">
        <x:v>上证综指</x:v>
      </x:c>
      <x:c r="C348" s="1" t="str">
        <x:v>2019-06</x:v>
      </x:c>
      <x:c r="D348" s="1" t="str">
        <x:v>2019-05-31</x:v>
      </x:c>
      <x:c r="E348" s="5" t="n">
        <x:v>2898.7</x:v>
      </x:c>
      <x:c r="F348" s="6" t="str">
        <x:v>2019-06-28</x:v>
      </x:c>
      <x:c r="G348" s="5" t="n">
        <x:v>2978.88</x:v>
      </x:c>
      <x:c r="H348" s="7" t="n">
        <x:f>G348/E348-1</x:f>
        <x:v>0.027660675475213115</x:v>
      </x:c>
      <x:c r="I348" s="1" t="n">
        <x:v>1</x:v>
      </x:c>
      <x:c r="J348" s="1" t="n">
        <x:v>1</x:v>
      </x:c>
      <x:c r="K348" s="1" t="str">
        <x:v>中证官方优先</x:v>
      </x:c>
    </x:row>
    <x:row r="349" ht="25" customHeight="1">
      <x:c r="A349" s="1" t="str">
        <x:v>sh000001</x:v>
      </x:c>
      <x:c r="B349" s="1" t="str">
        <x:v>上证综指</x:v>
      </x:c>
      <x:c r="C349" s="1" t="str">
        <x:v>2019-07</x:v>
      </x:c>
      <x:c r="D349" s="1" t="str">
        <x:v>2019-06-28</x:v>
      </x:c>
      <x:c r="E349" s="5" t="n">
        <x:v>2978.88</x:v>
      </x:c>
      <x:c r="F349" s="6" t="str">
        <x:v>2019-07-31</x:v>
      </x:c>
      <x:c r="G349" s="5" t="n">
        <x:v>2932.51</x:v>
      </x:c>
      <x:c r="H349" s="7" t="n">
        <x:f>G349/E349-1</x:f>
        <x:v>-0.015566253088408977</x:v>
      </x:c>
      <x:c r="I349" s="1" t="n">
        <x:v>1</x:v>
      </x:c>
      <x:c r="J349" s="1" t="n">
        <x:v>1</x:v>
      </x:c>
      <x:c r="K349" s="1" t="str">
        <x:v>中证官方优先</x:v>
      </x:c>
    </x:row>
    <x:row r="350" ht="25" customHeight="1">
      <x:c r="A350" s="1" t="str">
        <x:v>sh000001</x:v>
      </x:c>
      <x:c r="B350" s="1" t="str">
        <x:v>上证综指</x:v>
      </x:c>
      <x:c r="C350" s="1" t="str">
        <x:v>2019-08</x:v>
      </x:c>
      <x:c r="D350" s="1" t="str">
        <x:v>2019-07-31</x:v>
      </x:c>
      <x:c r="E350" s="5" t="n">
        <x:v>2932.51</x:v>
      </x:c>
      <x:c r="F350" s="6" t="str">
        <x:v>2019-08-30</x:v>
      </x:c>
      <x:c r="G350" s="5" t="n">
        <x:v>2886.24</x:v>
      </x:c>
      <x:c r="H350" s="7" t="n">
        <x:f>G350/E350-1</x:f>
        <x:v>-0.01577829231613892</x:v>
      </x:c>
      <x:c r="I350" s="1" t="n">
        <x:v>1</x:v>
      </x:c>
      <x:c r="J350" s="1" t="n">
        <x:v>1</x:v>
      </x:c>
      <x:c r="K350" s="1" t="str">
        <x:v>中证官方优先</x:v>
      </x:c>
    </x:row>
    <x:row r="351" ht="25" customHeight="1">
      <x:c r="A351" s="1" t="str">
        <x:v>sh000001</x:v>
      </x:c>
      <x:c r="B351" s="1" t="str">
        <x:v>上证综指</x:v>
      </x:c>
      <x:c r="C351" s="1" t="str">
        <x:v>2019-09</x:v>
      </x:c>
      <x:c r="D351" s="1" t="str">
        <x:v>2019-08-30</x:v>
      </x:c>
      <x:c r="E351" s="5" t="n">
        <x:v>2886.24</x:v>
      </x:c>
      <x:c r="F351" s="6" t="str">
        <x:v>2019-09-30</x:v>
      </x:c>
      <x:c r="G351" s="5" t="n">
        <x:v>2905.19</x:v>
      </x:c>
      <x:c r="H351" s="7" t="n">
        <x:f>G351/E351-1</x:f>
        <x:v>0.006565635567381989</x:v>
      </x:c>
      <x:c r="I351" s="1" t="n">
        <x:v>1</x:v>
      </x:c>
      <x:c r="J351" s="1" t="n">
        <x:v>1</x:v>
      </x:c>
      <x:c r="K351" s="1" t="str">
        <x:v>中证官方优先</x:v>
      </x:c>
    </x:row>
    <x:row r="352" ht="25" customHeight="1">
      <x:c r="A352" s="1" t="str">
        <x:v>sh000001</x:v>
      </x:c>
      <x:c r="B352" s="1" t="str">
        <x:v>上证综指</x:v>
      </x:c>
      <x:c r="C352" s="1" t="str">
        <x:v>2019-10</x:v>
      </x:c>
      <x:c r="D352" s="1" t="str">
        <x:v>2019-09-30</x:v>
      </x:c>
      <x:c r="E352" s="5" t="n">
        <x:v>2905.19</x:v>
      </x:c>
      <x:c r="F352" s="6" t="str">
        <x:v>2019-10-31</x:v>
      </x:c>
      <x:c r="G352" s="5" t="n">
        <x:v>2929.06</x:v>
      </x:c>
      <x:c r="H352" s="7" t="n">
        <x:f>G352/E352-1</x:f>
        <x:v>0.008216330085123458</x:v>
      </x:c>
      <x:c r="I352" s="1" t="n">
        <x:v>1</x:v>
      </x:c>
      <x:c r="J352" s="1" t="n">
        <x:v>1</x:v>
      </x:c>
      <x:c r="K352" s="1" t="str">
        <x:v>中证官方优先</x:v>
      </x:c>
    </x:row>
    <x:row r="353" ht="25" customHeight="1">
      <x:c r="A353" s="1" t="str">
        <x:v>sh000001</x:v>
      </x:c>
      <x:c r="B353" s="1" t="str">
        <x:v>上证综指</x:v>
      </x:c>
      <x:c r="C353" s="1" t="str">
        <x:v>2019-11</x:v>
      </x:c>
      <x:c r="D353" s="1" t="str">
        <x:v>2019-10-31</x:v>
      </x:c>
      <x:c r="E353" s="5" t="n">
        <x:v>2929.06</x:v>
      </x:c>
      <x:c r="F353" s="6" t="str">
        <x:v>2019-11-29</x:v>
      </x:c>
      <x:c r="G353" s="5" t="n">
        <x:v>2871.98</x:v>
      </x:c>
      <x:c r="H353" s="7" t="n">
        <x:f>G353/E353-1</x:f>
        <x:v>-0.019487480625183462</x:v>
      </x:c>
      <x:c r="I353" s="1" t="n">
        <x:v>1</x:v>
      </x:c>
      <x:c r="J353" s="1" t="n">
        <x:v>1</x:v>
      </x:c>
      <x:c r="K353" s="1" t="str">
        <x:v>中证官方优先</x:v>
      </x:c>
    </x:row>
    <x:row r="354" ht="25" customHeight="1">
      <x:c r="A354" s="1" t="str">
        <x:v>sh000001</x:v>
      </x:c>
      <x:c r="B354" s="1" t="str">
        <x:v>上证综指</x:v>
      </x:c>
      <x:c r="C354" s="1" t="str">
        <x:v>2019-12</x:v>
      </x:c>
      <x:c r="D354" s="1" t="str">
        <x:v>2019-11-29</x:v>
      </x:c>
      <x:c r="E354" s="5" t="n">
        <x:v>2871.98</x:v>
      </x:c>
      <x:c r="F354" s="6" t="str">
        <x:v>2019-12-31</x:v>
      </x:c>
      <x:c r="G354" s="5" t="n">
        <x:v>3050.12</x:v>
      </x:c>
      <x:c r="H354" s="7" t="n">
        <x:f>G354/E354-1</x:f>
        <x:v>0.06202689433770425</x:v>
      </x:c>
      <x:c r="I354" s="1" t="n">
        <x:v>1</x:v>
      </x:c>
      <x:c r="J354" s="1" t="n">
        <x:v>1</x:v>
      </x:c>
      <x:c r="K354" s="1" t="str">
        <x:v>中证官方优先</x:v>
      </x:c>
    </x:row>
    <x:row r="355" ht="25" customHeight="1">
      <x:c r="A355" s="1" t="str">
        <x:v>sh000001</x:v>
      </x:c>
      <x:c r="B355" s="1" t="str">
        <x:v>上证综指</x:v>
      </x:c>
      <x:c r="C355" s="1" t="str">
        <x:v>2020-01</x:v>
      </x:c>
      <x:c r="D355" s="1" t="str">
        <x:v>2019-12-31</x:v>
      </x:c>
      <x:c r="E355" s="5" t="n">
        <x:v>3050.12</x:v>
      </x:c>
      <x:c r="F355" s="6" t="str">
        <x:v>2020-01-23</x:v>
      </x:c>
      <x:c r="G355" s="5" t="n">
        <x:v>2976.53</x:v>
      </x:c>
      <x:c r="H355" s="7" t="n">
        <x:f>G355/E355-1</x:f>
        <x:v>-0.024126919596605956</x:v>
      </x:c>
      <x:c r="I355" s="1" t="n">
        <x:v>1</x:v>
      </x:c>
      <x:c r="J355" s="1" t="n">
        <x:v>1</x:v>
      </x:c>
      <x:c r="K355" s="1" t="str">
        <x:v>中证官方优先</x:v>
      </x:c>
    </x:row>
    <x:row r="356" ht="25" customHeight="1">
      <x:c r="A356" s="1" t="str">
        <x:v>sh000001</x:v>
      </x:c>
      <x:c r="B356" s="1" t="str">
        <x:v>上证综指</x:v>
      </x:c>
      <x:c r="C356" s="1" t="str">
        <x:v>2020-02</x:v>
      </x:c>
      <x:c r="D356" s="1" t="str">
        <x:v>2020-01-23</x:v>
      </x:c>
      <x:c r="E356" s="5" t="n">
        <x:v>2976.53</x:v>
      </x:c>
      <x:c r="F356" s="6" t="str">
        <x:v>2020-02-28</x:v>
      </x:c>
      <x:c r="G356" s="5" t="n">
        <x:v>2880.3</x:v>
      </x:c>
      <x:c r="H356" s="7" t="n">
        <x:f>G356/E356-1</x:f>
        <x:v>-0.03232959184016293</x:v>
      </x:c>
      <x:c r="I356" s="1" t="n">
        <x:v>1</x:v>
      </x:c>
      <x:c r="J356" s="1" t="n">
        <x:v>1</x:v>
      </x:c>
      <x:c r="K356" s="1" t="str">
        <x:v>中证官方优先</x:v>
      </x:c>
    </x:row>
    <x:row r="357" ht="25" customHeight="1">
      <x:c r="A357" s="1" t="str">
        <x:v>sh000001</x:v>
      </x:c>
      <x:c r="B357" s="1" t="str">
        <x:v>上证综指</x:v>
      </x:c>
      <x:c r="C357" s="1" t="str">
        <x:v>2020-03</x:v>
      </x:c>
      <x:c r="D357" s="1" t="str">
        <x:v>2020-02-28</x:v>
      </x:c>
      <x:c r="E357" s="5" t="n">
        <x:v>2880.3</x:v>
      </x:c>
      <x:c r="F357" s="6" t="str">
        <x:v>2020-03-31</x:v>
      </x:c>
      <x:c r="G357" s="5" t="n">
        <x:v>2750.3</x:v>
      </x:c>
      <x:c r="H357" s="7" t="n">
        <x:f>G357/E357-1</x:f>
        <x:v>-0.04513418741103359</x:v>
      </x:c>
      <x:c r="I357" s="1" t="n">
        <x:v>1</x:v>
      </x:c>
      <x:c r="J357" s="1" t="n">
        <x:v>1</x:v>
      </x:c>
      <x:c r="K357" s="1" t="str">
        <x:v>中证官方优先</x:v>
      </x:c>
    </x:row>
    <x:row r="358" ht="25" customHeight="1">
      <x:c r="A358" s="1" t="str">
        <x:v>sh000001</x:v>
      </x:c>
      <x:c r="B358" s="1" t="str">
        <x:v>上证综指</x:v>
      </x:c>
      <x:c r="C358" s="1" t="str">
        <x:v>2020-04</x:v>
      </x:c>
      <x:c r="D358" s="1" t="str">
        <x:v>2020-03-31</x:v>
      </x:c>
      <x:c r="E358" s="5" t="n">
        <x:v>2750.3</x:v>
      </x:c>
      <x:c r="F358" s="6" t="str">
        <x:v>2020-04-30</x:v>
      </x:c>
      <x:c r="G358" s="5" t="n">
        <x:v>2860.08</x:v>
      </x:c>
      <x:c r="H358" s="7" t="n">
        <x:f>G358/E358-1</x:f>
        <x:v>0.039915645565938185</x:v>
      </x:c>
      <x:c r="I358" s="1" t="n">
        <x:v>1</x:v>
      </x:c>
      <x:c r="J358" s="1" t="n">
        <x:v>1</x:v>
      </x:c>
      <x:c r="K358" s="1" t="str">
        <x:v>中证官方优先</x:v>
      </x:c>
    </x:row>
    <x:row r="359" ht="25" customHeight="1">
      <x:c r="A359" s="1" t="str">
        <x:v>sh000001</x:v>
      </x:c>
      <x:c r="B359" s="1" t="str">
        <x:v>上证综指</x:v>
      </x:c>
      <x:c r="C359" s="1" t="str">
        <x:v>2020-05</x:v>
      </x:c>
      <x:c r="D359" s="1" t="str">
        <x:v>2020-04-30</x:v>
      </x:c>
      <x:c r="E359" s="5" t="n">
        <x:v>2860.08</x:v>
      </x:c>
      <x:c r="F359" s="6" t="str">
        <x:v>2020-05-29</x:v>
      </x:c>
      <x:c r="G359" s="5" t="n">
        <x:v>2852.35</x:v>
      </x:c>
      <x:c r="H359" s="7" t="n">
        <x:f>G359/E359-1</x:f>
        <x:v>-0.002702721602192981</x:v>
      </x:c>
      <x:c r="I359" s="1" t="n">
        <x:v>1</x:v>
      </x:c>
      <x:c r="J359" s="1" t="n">
        <x:v>1</x:v>
      </x:c>
      <x:c r="K359" s="1" t="str">
        <x:v>中证官方优先</x:v>
      </x:c>
    </x:row>
    <x:row r="360" ht="25" customHeight="1">
      <x:c r="A360" s="1" t="str">
        <x:v>sh000001</x:v>
      </x:c>
      <x:c r="B360" s="1" t="str">
        <x:v>上证综指</x:v>
      </x:c>
      <x:c r="C360" s="1" t="str">
        <x:v>2020-06</x:v>
      </x:c>
      <x:c r="D360" s="1" t="str">
        <x:v>2020-05-29</x:v>
      </x:c>
      <x:c r="E360" s="5" t="n">
        <x:v>2852.35</x:v>
      </x:c>
      <x:c r="F360" s="6" t="str">
        <x:v>2020-06-30</x:v>
      </x:c>
      <x:c r="G360" s="5" t="n">
        <x:v>2984.67</x:v>
      </x:c>
      <x:c r="H360" s="7" t="n">
        <x:f>G360/E360-1</x:f>
        <x:v>0.04638981892124039</x:v>
      </x:c>
      <x:c r="I360" s="1" t="n">
        <x:v>1</x:v>
      </x:c>
      <x:c r="J360" s="1" t="n">
        <x:v>1</x:v>
      </x:c>
      <x:c r="K360" s="1" t="str">
        <x:v>中证官方优先</x:v>
      </x:c>
    </x:row>
    <x:row r="361" ht="25" customHeight="1">
      <x:c r="A361" s="1" t="str">
        <x:v>sh000001</x:v>
      </x:c>
      <x:c r="B361" s="1" t="str">
        <x:v>上证综指</x:v>
      </x:c>
      <x:c r="C361" s="1" t="str">
        <x:v>2020-07</x:v>
      </x:c>
      <x:c r="D361" s="1" t="str">
        <x:v>2020-06-30</x:v>
      </x:c>
      <x:c r="E361" s="5" t="n">
        <x:v>2984.67</x:v>
      </x:c>
      <x:c r="F361" s="6" t="str">
        <x:v>2020-07-31</x:v>
      </x:c>
      <x:c r="G361" s="5" t="n">
        <x:v>3310.01</x:v>
      </x:c>
      <x:c r="H361" s="7" t="n">
        <x:f>G361/E361-1</x:f>
        <x:v>0.1090036754482071</x:v>
      </x:c>
      <x:c r="I361" s="1" t="n">
        <x:v>1</x:v>
      </x:c>
      <x:c r="J361" s="1" t="n">
        <x:v>1</x:v>
      </x:c>
      <x:c r="K361" s="1" t="str">
        <x:v>中证官方优先</x:v>
      </x:c>
    </x:row>
    <x:row r="362" ht="25" customHeight="1">
      <x:c r="A362" s="1" t="str">
        <x:v>sh000001</x:v>
      </x:c>
      <x:c r="B362" s="1" t="str">
        <x:v>上证综指</x:v>
      </x:c>
      <x:c r="C362" s="1" t="str">
        <x:v>2020-08</x:v>
      </x:c>
      <x:c r="D362" s="1" t="str">
        <x:v>2020-07-31</x:v>
      </x:c>
      <x:c r="E362" s="5" t="n">
        <x:v>3310.01</x:v>
      </x:c>
      <x:c r="F362" s="6" t="str">
        <x:v>2020-08-31</x:v>
      </x:c>
      <x:c r="G362" s="5" t="n">
        <x:v>3395.68</x:v>
      </x:c>
      <x:c r="H362" s="7" t="n">
        <x:f>G362/E362-1</x:f>
        <x:v>0.025882097032939422</x:v>
      </x:c>
      <x:c r="I362" s="1" t="n">
        <x:v>1</x:v>
      </x:c>
      <x:c r="J362" s="1" t="n">
        <x:v>1</x:v>
      </x:c>
      <x:c r="K362" s="1" t="str">
        <x:v>中证官方优先</x:v>
      </x:c>
    </x:row>
    <x:row r="363" ht="25" customHeight="1">
      <x:c r="A363" s="1" t="str">
        <x:v>sh000001</x:v>
      </x:c>
      <x:c r="B363" s="1" t="str">
        <x:v>上证综指</x:v>
      </x:c>
      <x:c r="C363" s="1" t="str">
        <x:v>2020-09</x:v>
      </x:c>
      <x:c r="D363" s="1" t="str">
        <x:v>2020-08-31</x:v>
      </x:c>
      <x:c r="E363" s="5" t="n">
        <x:v>3395.68</x:v>
      </x:c>
      <x:c r="F363" s="6" t="str">
        <x:v>2020-09-30</x:v>
      </x:c>
      <x:c r="G363" s="5" t="n">
        <x:v>3218.05</x:v>
      </x:c>
      <x:c r="H363" s="7" t="n">
        <x:f>G363/E363-1</x:f>
        <x:v>-0.05231058285821977</x:v>
      </x:c>
      <x:c r="I363" s="1" t="n">
        <x:v>1</x:v>
      </x:c>
      <x:c r="J363" s="1" t="n">
        <x:v>1</x:v>
      </x:c>
      <x:c r="K363" s="1" t="str">
        <x:v>中证官方优先</x:v>
      </x:c>
    </x:row>
    <x:row r="364" ht="25" customHeight="1">
      <x:c r="A364" s="1" t="str">
        <x:v>sh000001</x:v>
      </x:c>
      <x:c r="B364" s="1" t="str">
        <x:v>上证综指</x:v>
      </x:c>
      <x:c r="C364" s="1" t="str">
        <x:v>2020-10</x:v>
      </x:c>
      <x:c r="D364" s="1" t="str">
        <x:v>2020-09-30</x:v>
      </x:c>
      <x:c r="E364" s="5" t="n">
        <x:v>3218.05</x:v>
      </x:c>
      <x:c r="F364" s="6" t="str">
        <x:v>2020-10-30</x:v>
      </x:c>
      <x:c r="G364" s="5" t="n">
        <x:v>3224.53</x:v>
      </x:c>
      <x:c r="H364" s="7" t="n">
        <x:f>G364/E364-1</x:f>
        <x:v>0.0020136418017122626</x:v>
      </x:c>
      <x:c r="I364" s="1" t="n">
        <x:v>1</x:v>
      </x:c>
      <x:c r="J364" s="1" t="n">
        <x:v>1</x:v>
      </x:c>
      <x:c r="K364" s="1" t="str">
        <x:v>中证官方优先</x:v>
      </x:c>
    </x:row>
    <x:row r="365" ht="25" customHeight="1">
      <x:c r="A365" s="1" t="str">
        <x:v>sh000001</x:v>
      </x:c>
      <x:c r="B365" s="1" t="str">
        <x:v>上证综指</x:v>
      </x:c>
      <x:c r="C365" s="1" t="str">
        <x:v>2020-11</x:v>
      </x:c>
      <x:c r="D365" s="1" t="str">
        <x:v>2020-10-30</x:v>
      </x:c>
      <x:c r="E365" s="5" t="n">
        <x:v>3224.53</x:v>
      </x:c>
      <x:c r="F365" s="6" t="str">
        <x:v>2020-11-30</x:v>
      </x:c>
      <x:c r="G365" s="5" t="n">
        <x:v>3391.76</x:v>
      </x:c>
      <x:c r="H365" s="7" t="n">
        <x:f>G365/E365-1</x:f>
        <x:v>0.051861821722855694</x:v>
      </x:c>
      <x:c r="I365" s="1" t="n">
        <x:v>1</x:v>
      </x:c>
      <x:c r="J365" s="1" t="n">
        <x:v>1</x:v>
      </x:c>
      <x:c r="K365" s="1" t="str">
        <x:v>中证官方优先</x:v>
      </x:c>
    </x:row>
    <x:row r="366" ht="25" customHeight="1">
      <x:c r="A366" s="1" t="str">
        <x:v>sh000001</x:v>
      </x:c>
      <x:c r="B366" s="1" t="str">
        <x:v>上证综指</x:v>
      </x:c>
      <x:c r="C366" s="1" t="str">
        <x:v>2020-12</x:v>
      </x:c>
      <x:c r="D366" s="1" t="str">
        <x:v>2020-11-30</x:v>
      </x:c>
      <x:c r="E366" s="5" t="n">
        <x:v>3391.76</x:v>
      </x:c>
      <x:c r="F366" s="6" t="str">
        <x:v>2020-12-31</x:v>
      </x:c>
      <x:c r="G366" s="5" t="n">
        <x:v>3473.07</x:v>
      </x:c>
      <x:c r="H366" s="7" t="n">
        <x:f>G366/E366-1</x:f>
        <x:v>0.02397280467957641</x:v>
      </x:c>
      <x:c r="I366" s="1" t="n">
        <x:v>1</x:v>
      </x:c>
      <x:c r="J366" s="1" t="n">
        <x:v>1</x:v>
      </x:c>
      <x:c r="K366" s="1" t="str">
        <x:v>中证官方优先</x:v>
      </x:c>
    </x:row>
    <x:row r="367" ht="25" customHeight="1">
      <x:c r="A367" s="1" t="str">
        <x:v>sh000001</x:v>
      </x:c>
      <x:c r="B367" s="1" t="str">
        <x:v>上证综指</x:v>
      </x:c>
      <x:c r="C367" s="1" t="str">
        <x:v>2021-01</x:v>
      </x:c>
      <x:c r="D367" s="1" t="str">
        <x:v>2020-12-31</x:v>
      </x:c>
      <x:c r="E367" s="5" t="n">
        <x:v>3473.07</x:v>
      </x:c>
      <x:c r="F367" s="6" t="str">
        <x:v>2021-01-29</x:v>
      </x:c>
      <x:c r="G367" s="5" t="n">
        <x:v>3483.07</x:v>
      </x:c>
      <x:c r="H367" s="7" t="n">
        <x:f>G367/E367-1</x:f>
        <x:v>0.002879296990846658</x:v>
      </x:c>
      <x:c r="I367" s="1" t="n">
        <x:v>1</x:v>
      </x:c>
      <x:c r="J367" s="1" t="n">
        <x:v>1</x:v>
      </x:c>
      <x:c r="K367" s="1" t="str">
        <x:v>中证官方优先</x:v>
      </x:c>
    </x:row>
    <x:row r="368" ht="25" customHeight="1">
      <x:c r="A368" s="1" t="str">
        <x:v>sh000001</x:v>
      </x:c>
      <x:c r="B368" s="1" t="str">
        <x:v>上证综指</x:v>
      </x:c>
      <x:c r="C368" s="1" t="str">
        <x:v>2021-02</x:v>
      </x:c>
      <x:c r="D368" s="1" t="str">
        <x:v>2021-01-29</x:v>
      </x:c>
      <x:c r="E368" s="5" t="n">
        <x:v>3483.07</x:v>
      </x:c>
      <x:c r="F368" s="6" t="str">
        <x:v>2021-02-26</x:v>
      </x:c>
      <x:c r="G368" s="5" t="n">
        <x:v>3509.08</x:v>
      </x:c>
      <x:c r="H368" s="7" t="n">
        <x:f>G368/E368-1</x:f>
        <x:v>0.007467550178434479</x:v>
      </x:c>
      <x:c r="I368" s="1" t="n">
        <x:v>1</x:v>
      </x:c>
      <x:c r="J368" s="1" t="n">
        <x:v>1</x:v>
      </x:c>
      <x:c r="K368" s="1" t="str">
        <x:v>中证官方优先</x:v>
      </x:c>
    </x:row>
    <x:row r="369" ht="25" customHeight="1">
      <x:c r="A369" s="1" t="str">
        <x:v>sh000001</x:v>
      </x:c>
      <x:c r="B369" s="1" t="str">
        <x:v>上证综指</x:v>
      </x:c>
      <x:c r="C369" s="1" t="str">
        <x:v>2021-03</x:v>
      </x:c>
      <x:c r="D369" s="1" t="str">
        <x:v>2021-02-26</x:v>
      </x:c>
      <x:c r="E369" s="5" t="n">
        <x:v>3509.08</x:v>
      </x:c>
      <x:c r="F369" s="6" t="str">
        <x:v>2021-03-31</x:v>
      </x:c>
      <x:c r="G369" s="5" t="n">
        <x:v>3441.91</x:v>
      </x:c>
      <x:c r="H369" s="7" t="n">
        <x:f>G369/E369-1</x:f>
        <x:v>-0.019141769352650884</x:v>
      </x:c>
      <x:c r="I369" s="1" t="n">
        <x:v>1</x:v>
      </x:c>
      <x:c r="J369" s="1" t="n">
        <x:v>1</x:v>
      </x:c>
      <x:c r="K369" s="1" t="str">
        <x:v>中证官方优先</x:v>
      </x:c>
    </x:row>
    <x:row r="370" ht="25" customHeight="1">
      <x:c r="A370" s="1" t="str">
        <x:v>sh000001</x:v>
      </x:c>
      <x:c r="B370" s="1" t="str">
        <x:v>上证综指</x:v>
      </x:c>
      <x:c r="C370" s="1" t="str">
        <x:v>2021-04</x:v>
      </x:c>
      <x:c r="D370" s="1" t="str">
        <x:v>2021-03-31</x:v>
      </x:c>
      <x:c r="E370" s="5" t="n">
        <x:v>3441.91</x:v>
      </x:c>
      <x:c r="F370" s="6" t="str">
        <x:v>2021-04-30</x:v>
      </x:c>
      <x:c r="G370" s="5" t="n">
        <x:v>3446.86</x:v>
      </x:c>
      <x:c r="H370" s="7" t="n">
        <x:f>G370/E370-1</x:f>
        <x:v>0.001438154977904782</x:v>
      </x:c>
      <x:c r="I370" s="1" t="n">
        <x:v>1</x:v>
      </x:c>
      <x:c r="J370" s="1" t="n">
        <x:v>1</x:v>
      </x:c>
      <x:c r="K370" s="1" t="str">
        <x:v>中证官方优先</x:v>
      </x:c>
    </x:row>
    <x:row r="371" ht="25" customHeight="1">
      <x:c r="A371" s="1" t="str">
        <x:v>sh000001</x:v>
      </x:c>
      <x:c r="B371" s="1" t="str">
        <x:v>上证综指</x:v>
      </x:c>
      <x:c r="C371" s="1" t="str">
        <x:v>2021-05</x:v>
      </x:c>
      <x:c r="D371" s="1" t="str">
        <x:v>2021-04-30</x:v>
      </x:c>
      <x:c r="E371" s="5" t="n">
        <x:v>3446.86</x:v>
      </x:c>
      <x:c r="F371" s="6" t="str">
        <x:v>2021-05-31</x:v>
      </x:c>
      <x:c r="G371" s="5" t="n">
        <x:v>3615.48</x:v>
      </x:c>
      <x:c r="H371" s="7" t="n">
        <x:f>G371/E371-1</x:f>
        <x:v>0.048919886505399024</x:v>
      </x:c>
      <x:c r="I371" s="1" t="n">
        <x:v>1</x:v>
      </x:c>
      <x:c r="J371" s="1" t="n">
        <x:v>1</x:v>
      </x:c>
      <x:c r="K371" s="1" t="str">
        <x:v>中证官方优先</x:v>
      </x:c>
    </x:row>
    <x:row r="372" ht="25" customHeight="1">
      <x:c r="A372" s="1" t="str">
        <x:v>sh000001</x:v>
      </x:c>
      <x:c r="B372" s="1" t="str">
        <x:v>上证综指</x:v>
      </x:c>
      <x:c r="C372" s="1" t="str">
        <x:v>2021-06</x:v>
      </x:c>
      <x:c r="D372" s="1" t="str">
        <x:v>2021-05-31</x:v>
      </x:c>
      <x:c r="E372" s="5" t="n">
        <x:v>3615.48</x:v>
      </x:c>
      <x:c r="F372" s="6" t="str">
        <x:v>2021-06-30</x:v>
      </x:c>
      <x:c r="G372" s="5" t="n">
        <x:v>3591.2</x:v>
      </x:c>
      <x:c r="H372" s="7" t="n">
        <x:f>G372/E372-1</x:f>
        <x:v>-0.006715567504176567</x:v>
      </x:c>
      <x:c r="I372" s="1" t="n">
        <x:v>1</x:v>
      </x:c>
      <x:c r="J372" s="1" t="n">
        <x:v>1</x:v>
      </x:c>
      <x:c r="K372" s="1" t="str">
        <x:v>中证官方优先</x:v>
      </x:c>
    </x:row>
    <x:row r="373" ht="25" customHeight="1">
      <x:c r="A373" s="1" t="str">
        <x:v>sh000001</x:v>
      </x:c>
      <x:c r="B373" s="1" t="str">
        <x:v>上证综指</x:v>
      </x:c>
      <x:c r="C373" s="1" t="str">
        <x:v>2021-07</x:v>
      </x:c>
      <x:c r="D373" s="1" t="str">
        <x:v>2021-06-30</x:v>
      </x:c>
      <x:c r="E373" s="5" t="n">
        <x:v>3591.2</x:v>
      </x:c>
      <x:c r="F373" s="6" t="str">
        <x:v>2021-07-30</x:v>
      </x:c>
      <x:c r="G373" s="5" t="n">
        <x:v>3397.36</x:v>
      </x:c>
      <x:c r="H373" s="7" t="n">
        <x:f>G373/E373-1</x:f>
        <x:v>-0.05397638672310079</x:v>
      </x:c>
      <x:c r="I373" s="1" t="n">
        <x:v>1</x:v>
      </x:c>
      <x:c r="J373" s="1" t="n">
        <x:v>1</x:v>
      </x:c>
      <x:c r="K373" s="1" t="str">
        <x:v>中证官方优先</x:v>
      </x:c>
    </x:row>
    <x:row r="374" ht="25" customHeight="1">
      <x:c r="A374" s="1" t="str">
        <x:v>sh000001</x:v>
      </x:c>
      <x:c r="B374" s="1" t="str">
        <x:v>上证综指</x:v>
      </x:c>
      <x:c r="C374" s="1" t="str">
        <x:v>2021-08</x:v>
      </x:c>
      <x:c r="D374" s="1" t="str">
        <x:v>2021-07-30</x:v>
      </x:c>
      <x:c r="E374" s="5" t="n">
        <x:v>3397.36</x:v>
      </x:c>
      <x:c r="F374" s="6" t="str">
        <x:v>2021-08-31</x:v>
      </x:c>
      <x:c r="G374" s="5" t="n">
        <x:v>3543.94</x:v>
      </x:c>
      <x:c r="H374" s="7" t="n">
        <x:f>G374/E374-1</x:f>
        <x:v>0.04314526573574784</x:v>
      </x:c>
      <x:c r="I374" s="1" t="n">
        <x:v>1</x:v>
      </x:c>
      <x:c r="J374" s="1" t="n">
        <x:v>1</x:v>
      </x:c>
      <x:c r="K374" s="1" t="str">
        <x:v>中证官方优先</x:v>
      </x:c>
    </x:row>
    <x:row r="375" ht="25" customHeight="1">
      <x:c r="A375" s="1" t="str">
        <x:v>sh000001</x:v>
      </x:c>
      <x:c r="B375" s="1" t="str">
        <x:v>上证综指</x:v>
      </x:c>
      <x:c r="C375" s="1" t="str">
        <x:v>2021-09</x:v>
      </x:c>
      <x:c r="D375" s="1" t="str">
        <x:v>2021-08-31</x:v>
      </x:c>
      <x:c r="E375" s="5" t="n">
        <x:v>3543.94</x:v>
      </x:c>
      <x:c r="F375" s="6" t="str">
        <x:v>2021-09-30</x:v>
      </x:c>
      <x:c r="G375" s="5" t="n">
        <x:v>3568.17</x:v>
      </x:c>
      <x:c r="H375" s="7" t="n">
        <x:f>G375/E375-1</x:f>
        <x:v>0.006837023200167103</x:v>
      </x:c>
      <x:c r="I375" s="1" t="n">
        <x:v>1</x:v>
      </x:c>
      <x:c r="J375" s="1" t="n">
        <x:v>1</x:v>
      </x:c>
      <x:c r="K375" s="1" t="str">
        <x:v>中证官方优先</x:v>
      </x:c>
    </x:row>
    <x:row r="376" ht="25" customHeight="1">
      <x:c r="A376" s="1" t="str">
        <x:v>sh000001</x:v>
      </x:c>
      <x:c r="B376" s="1" t="str">
        <x:v>上证综指</x:v>
      </x:c>
      <x:c r="C376" s="1" t="str">
        <x:v>2021-10</x:v>
      </x:c>
      <x:c r="D376" s="1" t="str">
        <x:v>2021-09-30</x:v>
      </x:c>
      <x:c r="E376" s="5" t="n">
        <x:v>3568.17</x:v>
      </x:c>
      <x:c r="F376" s="6" t="str">
        <x:v>2021-10-29</x:v>
      </x:c>
      <x:c r="G376" s="5" t="n">
        <x:v>3547.34</x:v>
      </x:c>
      <x:c r="H376" s="7" t="n">
        <x:f>G376/E376-1</x:f>
        <x:v>-0.005837726341514027</x:v>
      </x:c>
      <x:c r="I376" s="1" t="n">
        <x:v>1</x:v>
      </x:c>
      <x:c r="J376" s="1" t="n">
        <x:v>1</x:v>
      </x:c>
      <x:c r="K376" s="1" t="str">
        <x:v>中证官方优先</x:v>
      </x:c>
    </x:row>
    <x:row r="377" ht="25" customHeight="1">
      <x:c r="A377" s="1" t="str">
        <x:v>sh000001</x:v>
      </x:c>
      <x:c r="B377" s="1" t="str">
        <x:v>上证综指</x:v>
      </x:c>
      <x:c r="C377" s="1" t="str">
        <x:v>2021-11</x:v>
      </x:c>
      <x:c r="D377" s="1" t="str">
        <x:v>2021-10-29</x:v>
      </x:c>
      <x:c r="E377" s="5" t="n">
        <x:v>3547.34</x:v>
      </x:c>
      <x:c r="F377" s="6" t="str">
        <x:v>2021-11-30</x:v>
      </x:c>
      <x:c r="G377" s="5" t="n">
        <x:v>3563.89</x:v>
      </x:c>
      <x:c r="H377" s="7" t="n">
        <x:f>G377/E377-1</x:f>
        <x:v>0.004665467646179922</x:v>
      </x:c>
      <x:c r="I377" s="1" t="n">
        <x:v>1</x:v>
      </x:c>
      <x:c r="J377" s="1" t="n">
        <x:v>1</x:v>
      </x:c>
      <x:c r="K377" s="1" t="str">
        <x:v>中证官方优先</x:v>
      </x:c>
    </x:row>
    <x:row r="378" ht="25" customHeight="1">
      <x:c r="A378" s="1" t="str">
        <x:v>sh000001</x:v>
      </x:c>
      <x:c r="B378" s="1" t="str">
        <x:v>上证综指</x:v>
      </x:c>
      <x:c r="C378" s="1" t="str">
        <x:v>2021-12</x:v>
      </x:c>
      <x:c r="D378" s="1" t="str">
        <x:v>2021-11-30</x:v>
      </x:c>
      <x:c r="E378" s="5" t="n">
        <x:v>3563.89</x:v>
      </x:c>
      <x:c r="F378" s="6" t="str">
        <x:v>2021-12-31</x:v>
      </x:c>
      <x:c r="G378" s="5" t="n">
        <x:v>3639.78</x:v>
      </x:c>
      <x:c r="H378" s="7" t="n">
        <x:f>G378/E378-1</x:f>
        <x:v>0.021294147686937714</x:v>
      </x:c>
      <x:c r="I378" s="1" t="n">
        <x:v>1</x:v>
      </x:c>
      <x:c r="J378" s="1" t="n">
        <x:v>1</x:v>
      </x:c>
      <x:c r="K378" s="1" t="str">
        <x:v>中证官方优先</x:v>
      </x:c>
    </x:row>
    <x:row r="379" ht="25" customHeight="1">
      <x:c r="A379" s="1" t="str">
        <x:v>sh000001</x:v>
      </x:c>
      <x:c r="B379" s="1" t="str">
        <x:v>上证综指</x:v>
      </x:c>
      <x:c r="C379" s="1" t="str">
        <x:v>2022-01</x:v>
      </x:c>
      <x:c r="D379" s="1" t="str">
        <x:v>2021-12-31</x:v>
      </x:c>
      <x:c r="E379" s="5" t="n">
        <x:v>3639.78</x:v>
      </x:c>
      <x:c r="F379" s="6" t="str">
        <x:v>2022-01-28</x:v>
      </x:c>
      <x:c r="G379" s="5" t="n">
        <x:v>3361.44</x:v>
      </x:c>
      <x:c r="H379" s="7" t="n">
        <x:f>G379/E379-1</x:f>
        <x:v>-0.0764716548802401</x:v>
      </x:c>
      <x:c r="I379" s="1" t="n">
        <x:v>1</x:v>
      </x:c>
      <x:c r="J379" s="1" t="n">
        <x:v>1</x:v>
      </x:c>
      <x:c r="K379" s="1" t="str">
        <x:v>中证官方优先</x:v>
      </x:c>
    </x:row>
    <x:row r="380" ht="25" customHeight="1">
      <x:c r="A380" s="1" t="str">
        <x:v>sh000001</x:v>
      </x:c>
      <x:c r="B380" s="1" t="str">
        <x:v>上证综指</x:v>
      </x:c>
      <x:c r="C380" s="1" t="str">
        <x:v>2022-02</x:v>
      </x:c>
      <x:c r="D380" s="1" t="str">
        <x:v>2022-01-28</x:v>
      </x:c>
      <x:c r="E380" s="5" t="n">
        <x:v>3361.44</x:v>
      </x:c>
      <x:c r="F380" s="6" t="str">
        <x:v>2022-02-28</x:v>
      </x:c>
      <x:c r="G380" s="5" t="n">
        <x:v>3462.31</x:v>
      </x:c>
      <x:c r="H380" s="7" t="n">
        <x:f>G380/E380-1</x:f>
        <x:v>0.030007972773573144</x:v>
      </x:c>
      <x:c r="I380" s="1" t="n">
        <x:v>1</x:v>
      </x:c>
      <x:c r="J380" s="1" t="n">
        <x:v>1</x:v>
      </x:c>
      <x:c r="K380" s="1" t="str">
        <x:v>中证官方优先</x:v>
      </x:c>
    </x:row>
    <x:row r="381" ht="25" customHeight="1">
      <x:c r="A381" s="1" t="str">
        <x:v>sh000001</x:v>
      </x:c>
      <x:c r="B381" s="1" t="str">
        <x:v>上证综指</x:v>
      </x:c>
      <x:c r="C381" s="1" t="str">
        <x:v>2022-03</x:v>
      </x:c>
      <x:c r="D381" s="1" t="str">
        <x:v>2022-02-28</x:v>
      </x:c>
      <x:c r="E381" s="5" t="n">
        <x:v>3462.31</x:v>
      </x:c>
      <x:c r="F381" s="6" t="str">
        <x:v>2022-03-31</x:v>
      </x:c>
      <x:c r="G381" s="5" t="n">
        <x:v>3252.2</x:v>
      </x:c>
      <x:c r="H381" s="7" t="n">
        <x:f>G381/E381-1</x:f>
        <x:v>-0.060684918450398806</x:v>
      </x:c>
      <x:c r="I381" s="1" t="n">
        <x:v>1</x:v>
      </x:c>
      <x:c r="J381" s="1" t="n">
        <x:v>1</x:v>
      </x:c>
      <x:c r="K381" s="1" t="str">
        <x:v>中证官方优先</x:v>
      </x:c>
    </x:row>
    <x:row r="382" ht="25" customHeight="1">
      <x:c r="A382" s="1" t="str">
        <x:v>sh000001</x:v>
      </x:c>
      <x:c r="B382" s="1" t="str">
        <x:v>上证综指</x:v>
      </x:c>
      <x:c r="C382" s="1" t="str">
        <x:v>2022-04</x:v>
      </x:c>
      <x:c r="D382" s="1" t="str">
        <x:v>2022-03-31</x:v>
      </x:c>
      <x:c r="E382" s="5" t="n">
        <x:v>3252.2</x:v>
      </x:c>
      <x:c r="F382" s="6" t="str">
        <x:v>2022-04-29</x:v>
      </x:c>
      <x:c r="G382" s="5" t="n">
        <x:v>3047.06</x:v>
      </x:c>
      <x:c r="H382" s="7" t="n">
        <x:f>G382/E382-1</x:f>
        <x:v>-0.06307730151897173</x:v>
      </x:c>
      <x:c r="I382" s="1" t="n">
        <x:v>1</x:v>
      </x:c>
      <x:c r="J382" s="1" t="n">
        <x:v>1</x:v>
      </x:c>
      <x:c r="K382" s="1" t="str">
        <x:v>中证官方优先</x:v>
      </x:c>
    </x:row>
    <x:row r="383" ht="25" customHeight="1">
      <x:c r="A383" s="1" t="str">
        <x:v>sh000001</x:v>
      </x:c>
      <x:c r="B383" s="1" t="str">
        <x:v>上证综指</x:v>
      </x:c>
      <x:c r="C383" s="1" t="str">
        <x:v>2022-05</x:v>
      </x:c>
      <x:c r="D383" s="1" t="str">
        <x:v>2022-04-29</x:v>
      </x:c>
      <x:c r="E383" s="5" t="n">
        <x:v>3047.06</x:v>
      </x:c>
      <x:c r="F383" s="6" t="str">
        <x:v>2022-05-31</x:v>
      </x:c>
      <x:c r="G383" s="5" t="n">
        <x:v>3186.43</x:v>
      </x:c>
      <x:c r="H383" s="7" t="n">
        <x:f>G383/E383-1</x:f>
        <x:v>0.04573917152927742</x:v>
      </x:c>
      <x:c r="I383" s="1" t="n">
        <x:v>1</x:v>
      </x:c>
      <x:c r="J383" s="1" t="n">
        <x:v>1</x:v>
      </x:c>
      <x:c r="K383" s="1" t="str">
        <x:v>中证官方优先</x:v>
      </x:c>
    </x:row>
    <x:row r="384" ht="25" customHeight="1">
      <x:c r="A384" s="1" t="str">
        <x:v>sh000001</x:v>
      </x:c>
      <x:c r="B384" s="1" t="str">
        <x:v>上证综指</x:v>
      </x:c>
      <x:c r="C384" s="1" t="str">
        <x:v>2022-06</x:v>
      </x:c>
      <x:c r="D384" s="1" t="str">
        <x:v>2022-05-31</x:v>
      </x:c>
      <x:c r="E384" s="5" t="n">
        <x:v>3186.43</x:v>
      </x:c>
      <x:c r="F384" s="6" t="str">
        <x:v>2022-06-30</x:v>
      </x:c>
      <x:c r="G384" s="5" t="n">
        <x:v>3398.62</x:v>
      </x:c>
      <x:c r="H384" s="7" t="n">
        <x:f>G384/E384-1</x:f>
        <x:v>0.06659176570644898</x:v>
      </x:c>
      <x:c r="I384" s="1" t="n">
        <x:v>1</x:v>
      </x:c>
      <x:c r="J384" s="1" t="n">
        <x:v>1</x:v>
      </x:c>
      <x:c r="K384" s="1" t="str">
        <x:v>中证官方优先</x:v>
      </x:c>
    </x:row>
    <x:row r="385" ht="25" customHeight="1">
      <x:c r="A385" s="1" t="str">
        <x:v>sh000001</x:v>
      </x:c>
      <x:c r="B385" s="1" t="str">
        <x:v>上证综指</x:v>
      </x:c>
      <x:c r="C385" s="1" t="str">
        <x:v>2022-07</x:v>
      </x:c>
      <x:c r="D385" s="1" t="str">
        <x:v>2022-06-30</x:v>
      </x:c>
      <x:c r="E385" s="5" t="n">
        <x:v>3398.62</x:v>
      </x:c>
      <x:c r="F385" s="6" t="str">
        <x:v>2022-07-29</x:v>
      </x:c>
      <x:c r="G385" s="5" t="n">
        <x:v>3253.24</x:v>
      </x:c>
      <x:c r="H385" s="7" t="n">
        <x:f>G385/E385-1</x:f>
        <x:v>-0.04277618562828445</x:v>
      </x:c>
      <x:c r="I385" s="1" t="n">
        <x:v>1</x:v>
      </x:c>
      <x:c r="J385" s="1" t="n">
        <x:v>1</x:v>
      </x:c>
      <x:c r="K385" s="1" t="str">
        <x:v>中证官方优先</x:v>
      </x:c>
    </x:row>
    <x:row r="386" ht="25" customHeight="1">
      <x:c r="A386" s="1" t="str">
        <x:v>sh000001</x:v>
      </x:c>
      <x:c r="B386" s="1" t="str">
        <x:v>上证综指</x:v>
      </x:c>
      <x:c r="C386" s="1" t="str">
        <x:v>2022-08</x:v>
      </x:c>
      <x:c r="D386" s="1" t="str">
        <x:v>2022-07-29</x:v>
      </x:c>
      <x:c r="E386" s="5" t="n">
        <x:v>3253.24</x:v>
      </x:c>
      <x:c r="F386" s="6" t="str">
        <x:v>2022-08-31</x:v>
      </x:c>
      <x:c r="G386" s="5" t="n">
        <x:v>3202.14</x:v>
      </x:c>
      <x:c r="H386" s="7" t="n">
        <x:f>G386/E386-1</x:f>
        <x:v>-0.015707417835757576</x:v>
      </x:c>
      <x:c r="I386" s="1" t="n">
        <x:v>1</x:v>
      </x:c>
      <x:c r="J386" s="1" t="n">
        <x:v>1</x:v>
      </x:c>
      <x:c r="K386" s="1" t="str">
        <x:v>中证官方优先</x:v>
      </x:c>
    </x:row>
    <x:row r="387" ht="25" customHeight="1">
      <x:c r="A387" s="1" t="str">
        <x:v>sh000001</x:v>
      </x:c>
      <x:c r="B387" s="1" t="str">
        <x:v>上证综指</x:v>
      </x:c>
      <x:c r="C387" s="1" t="str">
        <x:v>2022-09</x:v>
      </x:c>
      <x:c r="D387" s="1" t="str">
        <x:v>2022-08-31</x:v>
      </x:c>
      <x:c r="E387" s="5" t="n">
        <x:v>3202.14</x:v>
      </x:c>
      <x:c r="F387" s="6" t="str">
        <x:v>2022-09-30</x:v>
      </x:c>
      <x:c r="G387" s="5" t="n">
        <x:v>3024.39</x:v>
      </x:c>
      <x:c r="H387" s="7" t="n">
        <x:f>G387/E387-1</x:f>
        <x:v>-0.055509752852779704</x:v>
      </x:c>
      <x:c r="I387" s="1" t="n">
        <x:v>1</x:v>
      </x:c>
      <x:c r="J387" s="1" t="n">
        <x:v>1</x:v>
      </x:c>
      <x:c r="K387" s="1" t="str">
        <x:v>中证官方优先</x:v>
      </x:c>
    </x:row>
    <x:row r="388" ht="25" customHeight="1">
      <x:c r="A388" s="1" t="str">
        <x:v>sh000001</x:v>
      </x:c>
      <x:c r="B388" s="1" t="str">
        <x:v>上证综指</x:v>
      </x:c>
      <x:c r="C388" s="1" t="str">
        <x:v>2022-10</x:v>
      </x:c>
      <x:c r="D388" s="1" t="str">
        <x:v>2022-09-30</x:v>
      </x:c>
      <x:c r="E388" s="5" t="n">
        <x:v>3024.39</x:v>
      </x:c>
      <x:c r="F388" s="6" t="str">
        <x:v>2022-10-31</x:v>
      </x:c>
      <x:c r="G388" s="5" t="n">
        <x:v>2893.48</x:v>
      </x:c>
      <x:c r="H388" s="7" t="n">
        <x:f>G388/E388-1</x:f>
        <x:v>-0.04328476155522265</x:v>
      </x:c>
      <x:c r="I388" s="1" t="n">
        <x:v>1</x:v>
      </x:c>
      <x:c r="J388" s="1" t="n">
        <x:v>1</x:v>
      </x:c>
      <x:c r="K388" s="1" t="str">
        <x:v>中证官方优先</x:v>
      </x:c>
    </x:row>
    <x:row r="389" ht="25" customHeight="1">
      <x:c r="A389" s="1" t="str">
        <x:v>sh000001</x:v>
      </x:c>
      <x:c r="B389" s="1" t="str">
        <x:v>上证综指</x:v>
      </x:c>
      <x:c r="C389" s="1" t="str">
        <x:v>2022-11</x:v>
      </x:c>
      <x:c r="D389" s="1" t="str">
        <x:v>2022-10-31</x:v>
      </x:c>
      <x:c r="E389" s="5" t="n">
        <x:v>2893.48</x:v>
      </x:c>
      <x:c r="F389" s="6" t="str">
        <x:v>2022-11-30</x:v>
      </x:c>
      <x:c r="G389" s="5" t="n">
        <x:v>3151.34</x:v>
      </x:c>
      <x:c r="H389" s="7" t="n">
        <x:f>G389/E389-1</x:f>
        <x:v>0.08911760233352228</x:v>
      </x:c>
      <x:c r="I389" s="1" t="n">
        <x:v>1</x:v>
      </x:c>
      <x:c r="J389" s="1" t="n">
        <x:v>1</x:v>
      </x:c>
      <x:c r="K389" s="1" t="str">
        <x:v>中证官方优先</x:v>
      </x:c>
    </x:row>
    <x:row r="390" ht="25" customHeight="1">
      <x:c r="A390" s="1" t="str">
        <x:v>sh000001</x:v>
      </x:c>
      <x:c r="B390" s="1" t="str">
        <x:v>上证综指</x:v>
      </x:c>
      <x:c r="C390" s="1" t="str">
        <x:v>2022-12</x:v>
      </x:c>
      <x:c r="D390" s="1" t="str">
        <x:v>2022-11-30</x:v>
      </x:c>
      <x:c r="E390" s="5" t="n">
        <x:v>3151.34</x:v>
      </x:c>
      <x:c r="F390" s="6" t="str">
        <x:v>2022-12-30</x:v>
      </x:c>
      <x:c r="G390" s="5" t="n">
        <x:v>3089.26</x:v>
      </x:c>
      <x:c r="H390" s="7" t="n">
        <x:f>G390/E390-1</x:f>
        <x:v>-0.019699556379191074</x:v>
      </x:c>
      <x:c r="I390" s="1" t="n">
        <x:v>1</x:v>
      </x:c>
      <x:c r="J390" s="1" t="n">
        <x:v>1</x:v>
      </x:c>
      <x:c r="K390" s="1" t="str">
        <x:v>中证官方优先</x:v>
      </x:c>
    </x:row>
    <x:row r="391" ht="25" customHeight="1">
      <x:c r="A391" s="1" t="str">
        <x:v>sh000001</x:v>
      </x:c>
      <x:c r="B391" s="1" t="str">
        <x:v>上证综指</x:v>
      </x:c>
      <x:c r="C391" s="1" t="str">
        <x:v>2023-01</x:v>
      </x:c>
      <x:c r="D391" s="1" t="str">
        <x:v>2022-12-30</x:v>
      </x:c>
      <x:c r="E391" s="5" t="n">
        <x:v>3089.26</x:v>
      </x:c>
      <x:c r="F391" s="6" t="str">
        <x:v>2023-01-31</x:v>
      </x:c>
      <x:c r="G391" s="5" t="n">
        <x:v>3255.67</x:v>
      </x:c>
      <x:c r="H391" s="7" t="n">
        <x:f>G391/E391-1</x:f>
        <x:v>0.053867269184205924</x:v>
      </x:c>
      <x:c r="I391" s="1" t="n">
        <x:v>1</x:v>
      </x:c>
      <x:c r="J391" s="1" t="n">
        <x:v>1</x:v>
      </x:c>
      <x:c r="K391" s="1" t="str">
        <x:v>中证官方优先</x:v>
      </x:c>
    </x:row>
    <x:row r="392" ht="25" customHeight="1">
      <x:c r="A392" s="1" t="str">
        <x:v>sh000001</x:v>
      </x:c>
      <x:c r="B392" s="1" t="str">
        <x:v>上证综指</x:v>
      </x:c>
      <x:c r="C392" s="1" t="str">
        <x:v>2023-02</x:v>
      </x:c>
      <x:c r="D392" s="1" t="str">
        <x:v>2023-01-31</x:v>
      </x:c>
      <x:c r="E392" s="5" t="n">
        <x:v>3255.67</x:v>
      </x:c>
      <x:c r="F392" s="6" t="str">
        <x:v>2023-02-28</x:v>
      </x:c>
      <x:c r="G392" s="5" t="n">
        <x:v>3279.61</x:v>
      </x:c>
      <x:c r="H392" s="7" t="n">
        <x:f>G392/E392-1</x:f>
        <x:v>0.0073533251220179174</x:v>
      </x:c>
      <x:c r="I392" s="1" t="n">
        <x:v>1</x:v>
      </x:c>
      <x:c r="J392" s="1" t="n">
        <x:v>1</x:v>
      </x:c>
      <x:c r="K392" s="1" t="str">
        <x:v>中证官方优先</x:v>
      </x:c>
    </x:row>
    <x:row r="393" ht="25" customHeight="1">
      <x:c r="A393" s="1" t="str">
        <x:v>sh000001</x:v>
      </x:c>
      <x:c r="B393" s="1" t="str">
        <x:v>上证综指</x:v>
      </x:c>
      <x:c r="C393" s="1" t="str">
        <x:v>2023-03</x:v>
      </x:c>
      <x:c r="D393" s="1" t="str">
        <x:v>2023-02-28</x:v>
      </x:c>
      <x:c r="E393" s="5" t="n">
        <x:v>3279.61</x:v>
      </x:c>
      <x:c r="F393" s="6" t="str">
        <x:v>2023-03-31</x:v>
      </x:c>
      <x:c r="G393" s="5" t="n">
        <x:v>3272.86</x:v>
      </x:c>
      <x:c r="H393" s="7" t="n">
        <x:f>G393/E393-1</x:f>
        <x:v>-0.0020581715508856124</x:v>
      </x:c>
      <x:c r="I393" s="1" t="n">
        <x:v>1</x:v>
      </x:c>
      <x:c r="J393" s="1" t="n">
        <x:v>1</x:v>
      </x:c>
      <x:c r="K393" s="1" t="str">
        <x:v>中证官方优先</x:v>
      </x:c>
    </x:row>
    <x:row r="394" ht="25" customHeight="1">
      <x:c r="A394" s="1" t="str">
        <x:v>sh000001</x:v>
      </x:c>
      <x:c r="B394" s="1" t="str">
        <x:v>上证综指</x:v>
      </x:c>
      <x:c r="C394" s="1" t="str">
        <x:v>2023-04</x:v>
      </x:c>
      <x:c r="D394" s="1" t="str">
        <x:v>2023-03-31</x:v>
      </x:c>
      <x:c r="E394" s="5" t="n">
        <x:v>3272.86</x:v>
      </x:c>
      <x:c r="F394" s="6" t="str">
        <x:v>2023-04-28</x:v>
      </x:c>
      <x:c r="G394" s="5" t="n">
        <x:v>3323.27</x:v>
      </x:c>
      <x:c r="H394" s="7" t="n">
        <x:f>G394/E394-1</x:f>
        <x:v>0.015402430901413355</x:v>
      </x:c>
      <x:c r="I394" s="1" t="n">
        <x:v>1</x:v>
      </x:c>
      <x:c r="J394" s="1" t="n">
        <x:v>1</x:v>
      </x:c>
      <x:c r="K394" s="1" t="str">
        <x:v>中证官方优先</x:v>
      </x:c>
    </x:row>
    <x:row r="395" ht="25" customHeight="1">
      <x:c r="A395" s="1" t="str">
        <x:v>sh000001</x:v>
      </x:c>
      <x:c r="B395" s="1" t="str">
        <x:v>上证综指</x:v>
      </x:c>
      <x:c r="C395" s="1" t="str">
        <x:v>2023-05</x:v>
      </x:c>
      <x:c r="D395" s="1" t="str">
        <x:v>2023-04-28</x:v>
      </x:c>
      <x:c r="E395" s="5" t="n">
        <x:v>3323.27</x:v>
      </x:c>
      <x:c r="F395" s="6" t="str">
        <x:v>2023-05-31</x:v>
      </x:c>
      <x:c r="G395" s="5" t="n">
        <x:v>3204.56</x:v>
      </x:c>
      <x:c r="H395" s="7" t="n">
        <x:f>G395/E395-1</x:f>
        <x:v>-0.03572084121964214</x:v>
      </x:c>
      <x:c r="I395" s="1" t="n">
        <x:v>1</x:v>
      </x:c>
      <x:c r="J395" s="1" t="n">
        <x:v>1</x:v>
      </x:c>
      <x:c r="K395" s="1" t="str">
        <x:v>中证官方优先</x:v>
      </x:c>
    </x:row>
    <x:row r="396" ht="25" customHeight="1">
      <x:c r="A396" s="1" t="str">
        <x:v>sh000001</x:v>
      </x:c>
      <x:c r="B396" s="1" t="str">
        <x:v>上证综指</x:v>
      </x:c>
      <x:c r="C396" s="1" t="str">
        <x:v>2023-06</x:v>
      </x:c>
      <x:c r="D396" s="1" t="str">
        <x:v>2023-05-31</x:v>
      </x:c>
      <x:c r="E396" s="5" t="n">
        <x:v>3204.56</x:v>
      </x:c>
      <x:c r="F396" s="6" t="str">
        <x:v>2023-06-30</x:v>
      </x:c>
      <x:c r="G396" s="5" t="n">
        <x:v>3202.06</x:v>
      </x:c>
      <x:c r="H396" s="7" t="n">
        <x:f>G396/E396-1</x:f>
        <x:v>-0.0007801383029183429</x:v>
      </x:c>
      <x:c r="I396" s="1" t="n">
        <x:v>1</x:v>
      </x:c>
      <x:c r="J396" s="1" t="n">
        <x:v>1</x:v>
      </x:c>
      <x:c r="K396" s="1" t="str">
        <x:v>中证官方优先</x:v>
      </x:c>
    </x:row>
    <x:row r="397" ht="25" customHeight="1">
      <x:c r="A397" s="1" t="str">
        <x:v>sh000001</x:v>
      </x:c>
      <x:c r="B397" s="1" t="str">
        <x:v>上证综指</x:v>
      </x:c>
      <x:c r="C397" s="1" t="str">
        <x:v>2023-07</x:v>
      </x:c>
      <x:c r="D397" s="1" t="str">
        <x:v>2023-06-30</x:v>
      </x:c>
      <x:c r="E397" s="5" t="n">
        <x:v>3202.06</x:v>
      </x:c>
      <x:c r="F397" s="6" t="str">
        <x:v>2023-07-31</x:v>
      </x:c>
      <x:c r="G397" s="5" t="n">
        <x:v>3291.04</x:v>
      </x:c>
      <x:c r="H397" s="7" t="n">
        <x:f>G397/E397-1</x:f>
        <x:v>0.0277883612424501</x:v>
      </x:c>
      <x:c r="I397" s="1" t="n">
        <x:v>1</x:v>
      </x:c>
      <x:c r="J397" s="1" t="n">
        <x:v>1</x:v>
      </x:c>
      <x:c r="K397" s="1" t="str">
        <x:v>中证官方优先</x:v>
      </x:c>
    </x:row>
    <x:row r="398" ht="25" customHeight="1">
      <x:c r="A398" s="1" t="str">
        <x:v>sh000001</x:v>
      </x:c>
      <x:c r="B398" s="1" t="str">
        <x:v>上证综指</x:v>
      </x:c>
      <x:c r="C398" s="1" t="str">
        <x:v>2023-08</x:v>
      </x:c>
      <x:c r="D398" s="1" t="str">
        <x:v>2023-07-31</x:v>
      </x:c>
      <x:c r="E398" s="5" t="n">
        <x:v>3291.04</x:v>
      </x:c>
      <x:c r="F398" s="6" t="str">
        <x:v>2023-08-31</x:v>
      </x:c>
      <x:c r="G398" s="5" t="n">
        <x:v>3119.88</x:v>
      </x:c>
      <x:c r="H398" s="7" t="n">
        <x:f>G398/E398-1</x:f>
        <x:v>-0.052007875929797276</x:v>
      </x:c>
      <x:c r="I398" s="1" t="n">
        <x:v>1</x:v>
      </x:c>
      <x:c r="J398" s="1" t="n">
        <x:v>1</x:v>
      </x:c>
      <x:c r="K398" s="1" t="str">
        <x:v>中证官方优先</x:v>
      </x:c>
    </x:row>
    <x:row r="399" ht="25" customHeight="1">
      <x:c r="A399" s="1" t="str">
        <x:v>sh000001</x:v>
      </x:c>
      <x:c r="B399" s="1" t="str">
        <x:v>上证综指</x:v>
      </x:c>
      <x:c r="C399" s="1" t="str">
        <x:v>2023-09</x:v>
      </x:c>
      <x:c r="D399" s="1" t="str">
        <x:v>2023-08-31</x:v>
      </x:c>
      <x:c r="E399" s="5" t="n">
        <x:v>3119.88</x:v>
      </x:c>
      <x:c r="F399" s="6" t="str">
        <x:v>2023-09-28</x:v>
      </x:c>
      <x:c r="G399" s="5" t="n">
        <x:v>3110.48</x:v>
      </x:c>
      <x:c r="H399" s="7" t="n">
        <x:f>G399/E399-1</x:f>
        <x:v>-0.0030129363949895627</x:v>
      </x:c>
      <x:c r="I399" s="1" t="n">
        <x:v>1</x:v>
      </x:c>
      <x:c r="J399" s="1" t="n">
        <x:v>1</x:v>
      </x:c>
      <x:c r="K399" s="1" t="str">
        <x:v>中证官方优先</x:v>
      </x:c>
    </x:row>
    <x:row r="400" ht="25" customHeight="1">
      <x:c r="A400" s="1" t="str">
        <x:v>sh000001</x:v>
      </x:c>
      <x:c r="B400" s="1" t="str">
        <x:v>上证综指</x:v>
      </x:c>
      <x:c r="C400" s="1" t="str">
        <x:v>2023-10</x:v>
      </x:c>
      <x:c r="D400" s="1" t="str">
        <x:v>2023-09-28</x:v>
      </x:c>
      <x:c r="E400" s="5" t="n">
        <x:v>3110.48</x:v>
      </x:c>
      <x:c r="F400" s="6" t="str">
        <x:v>2023-10-31</x:v>
      </x:c>
      <x:c r="G400" s="5" t="n">
        <x:v>3018.77</x:v>
      </x:c>
      <x:c r="H400" s="7" t="n">
        <x:f>G400/E400-1</x:f>
        <x:v>-0.029484195365345522</x:v>
      </x:c>
      <x:c r="I400" s="1" t="n">
        <x:v>1</x:v>
      </x:c>
      <x:c r="J400" s="1" t="n">
        <x:v>1</x:v>
      </x:c>
      <x:c r="K400" s="1" t="str">
        <x:v>中证官方优先</x:v>
      </x:c>
    </x:row>
    <x:row r="401" ht="25" customHeight="1">
      <x:c r="A401" s="1" t="str">
        <x:v>sh000001</x:v>
      </x:c>
      <x:c r="B401" s="1" t="str">
        <x:v>上证综指</x:v>
      </x:c>
      <x:c r="C401" s="1" t="str">
        <x:v>2023-11</x:v>
      </x:c>
      <x:c r="D401" s="1" t="str">
        <x:v>2023-10-31</x:v>
      </x:c>
      <x:c r="E401" s="5" t="n">
        <x:v>3018.77</x:v>
      </x:c>
      <x:c r="F401" s="6" t="str">
        <x:v>2023-11-30</x:v>
      </x:c>
      <x:c r="G401" s="5" t="n">
        <x:v>3029.67</x:v>
      </x:c>
      <x:c r="H401" s="7" t="n">
        <x:f>G401/E401-1</x:f>
        <x:v>0.0036107421234476966</x:v>
      </x:c>
      <x:c r="I401" s="1" t="n">
        <x:v>1</x:v>
      </x:c>
      <x:c r="J401" s="1" t="n">
        <x:v>1</x:v>
      </x:c>
      <x:c r="K401" s="1" t="str">
        <x:v>中证官方优先</x:v>
      </x:c>
    </x:row>
    <x:row r="402" ht="25" customHeight="1">
      <x:c r="A402" s="1" t="str">
        <x:v>sh000001</x:v>
      </x:c>
      <x:c r="B402" s="1" t="str">
        <x:v>上证综指</x:v>
      </x:c>
      <x:c r="C402" s="1" t="str">
        <x:v>2023-12</x:v>
      </x:c>
      <x:c r="D402" s="1" t="str">
        <x:v>2023-11-30</x:v>
      </x:c>
      <x:c r="E402" s="5" t="n">
        <x:v>3029.67</x:v>
      </x:c>
      <x:c r="F402" s="6" t="str">
        <x:v>2023-12-29</x:v>
      </x:c>
      <x:c r="G402" s="5" t="n">
        <x:v>2974.93</x:v>
      </x:c>
      <x:c r="H402" s="7" t="n">
        <x:f>G402/E402-1</x:f>
        <x:v>-0.018067974399852194</x:v>
      </x:c>
      <x:c r="I402" s="1" t="n">
        <x:v>1</x:v>
      </x:c>
      <x:c r="J402" s="1" t="n">
        <x:v>1</x:v>
      </x:c>
      <x:c r="K402" s="1" t="str">
        <x:v>中证官方优先</x:v>
      </x:c>
    </x:row>
    <x:row r="403" ht="25" customHeight="1">
      <x:c r="A403" s="1" t="str">
        <x:v>sh000001</x:v>
      </x:c>
      <x:c r="B403" s="1" t="str">
        <x:v>上证综指</x:v>
      </x:c>
      <x:c r="C403" s="1" t="str">
        <x:v>2024-01</x:v>
      </x:c>
      <x:c r="D403" s="1" t="str">
        <x:v>2023-12-29</x:v>
      </x:c>
      <x:c r="E403" s="5" t="n">
        <x:v>2974.93</x:v>
      </x:c>
      <x:c r="F403" s="6" t="str">
        <x:v>2024-01-31</x:v>
      </x:c>
      <x:c r="G403" s="5" t="n">
        <x:v>2788.55</x:v>
      </x:c>
      <x:c r="H403" s="7" t="n">
        <x:f>G403/E403-1</x:f>
        <x:v>-0.06265021361847156</x:v>
      </x:c>
      <x:c r="I403" s="1" t="n">
        <x:v>1</x:v>
      </x:c>
      <x:c r="J403" s="1" t="n">
        <x:v>1</x:v>
      </x:c>
      <x:c r="K403" s="1" t="str">
        <x:v>中证官方优先</x:v>
      </x:c>
    </x:row>
    <x:row r="404" ht="25" customHeight="1">
      <x:c r="A404" s="1" t="str">
        <x:v>sh000001</x:v>
      </x:c>
      <x:c r="B404" s="1" t="str">
        <x:v>上证综指</x:v>
      </x:c>
      <x:c r="C404" s="1" t="str">
        <x:v>2024-02</x:v>
      </x:c>
      <x:c r="D404" s="1" t="str">
        <x:v>2024-01-31</x:v>
      </x:c>
      <x:c r="E404" s="5" t="n">
        <x:v>2788.55</x:v>
      </x:c>
      <x:c r="F404" s="6" t="str">
        <x:v>2024-02-29</x:v>
      </x:c>
      <x:c r="G404" s="5" t="n">
        <x:v>3015.17</x:v>
      </x:c>
      <x:c r="H404" s="7" t="n">
        <x:f>G404/E404-1</x:f>
        <x:v>0.08126804253106457</x:v>
      </x:c>
      <x:c r="I404" s="1" t="n">
        <x:v>1</x:v>
      </x:c>
      <x:c r="J404" s="1" t="n">
        <x:v>1</x:v>
      </x:c>
      <x:c r="K404" s="1" t="str">
        <x:v>中证官方优先</x:v>
      </x:c>
    </x:row>
    <x:row r="405" ht="25" customHeight="1">
      <x:c r="A405" s="1" t="str">
        <x:v>sh000001</x:v>
      </x:c>
      <x:c r="B405" s="1" t="str">
        <x:v>上证综指</x:v>
      </x:c>
      <x:c r="C405" s="1" t="str">
        <x:v>2024-03</x:v>
      </x:c>
      <x:c r="D405" s="1" t="str">
        <x:v>2024-02-29</x:v>
      </x:c>
      <x:c r="E405" s="5" t="n">
        <x:v>3015.17</x:v>
      </x:c>
      <x:c r="F405" s="6" t="str">
        <x:v>2024-03-29</x:v>
      </x:c>
      <x:c r="G405" s="5" t="n">
        <x:v>3041.17</x:v>
      </x:c>
      <x:c r="H405" s="7" t="n">
        <x:f>G405/E405-1</x:f>
        <x:v>0.008623062712881824</x:v>
      </x:c>
      <x:c r="I405" s="1" t="n">
        <x:v>1</x:v>
      </x:c>
      <x:c r="J405" s="1" t="n">
        <x:v>1</x:v>
      </x:c>
      <x:c r="K405" s="1" t="str">
        <x:v>中证官方优先</x:v>
      </x:c>
    </x:row>
    <x:row r="406" ht="25" customHeight="1">
      <x:c r="A406" s="1" t="str">
        <x:v>sh000001</x:v>
      </x:c>
      <x:c r="B406" s="1" t="str">
        <x:v>上证综指</x:v>
      </x:c>
      <x:c r="C406" s="1" t="str">
        <x:v>2024-04</x:v>
      </x:c>
      <x:c r="D406" s="1" t="str">
        <x:v>2024-03-29</x:v>
      </x:c>
      <x:c r="E406" s="5" t="n">
        <x:v>3041.17</x:v>
      </x:c>
      <x:c r="F406" s="6" t="str">
        <x:v>2024-04-30</x:v>
      </x:c>
      <x:c r="G406" s="5" t="n">
        <x:v>3104.82</x:v>
      </x:c>
      <x:c r="H406" s="7" t="n">
        <x:f>G406/E406-1</x:f>
        <x:v>0.020929444917581197</x:v>
      </x:c>
      <x:c r="I406" s="1" t="n">
        <x:v>1</x:v>
      </x:c>
      <x:c r="J406" s="1" t="n">
        <x:v>1</x:v>
      </x:c>
      <x:c r="K406" s="1" t="str">
        <x:v>中证官方优先</x:v>
      </x:c>
    </x:row>
    <x:row r="407" ht="25" customHeight="1">
      <x:c r="A407" s="1" t="str">
        <x:v>sh000001</x:v>
      </x:c>
      <x:c r="B407" s="1" t="str">
        <x:v>上证综指</x:v>
      </x:c>
      <x:c r="C407" s="1" t="str">
        <x:v>2024-05</x:v>
      </x:c>
      <x:c r="D407" s="1" t="str">
        <x:v>2024-04-30</x:v>
      </x:c>
      <x:c r="E407" s="5" t="n">
        <x:v>3104.82</x:v>
      </x:c>
      <x:c r="F407" s="6" t="str">
        <x:v>2024-05-31</x:v>
      </x:c>
      <x:c r="G407" s="5" t="n">
        <x:v>3086.81</x:v>
      </x:c>
      <x:c r="H407" s="7" t="n">
        <x:f>G407/E407-1</x:f>
        <x:v>-0.005800658331239883</x:v>
      </x:c>
      <x:c r="I407" s="1" t="n">
        <x:v>1</x:v>
      </x:c>
      <x:c r="J407" s="1" t="n">
        <x:v>1</x:v>
      </x:c>
      <x:c r="K407" s="1" t="str">
        <x:v>中证官方优先</x:v>
      </x:c>
    </x:row>
    <x:row r="408" ht="25" customHeight="1">
      <x:c r="A408" s="1" t="str">
        <x:v>sh000001</x:v>
      </x:c>
      <x:c r="B408" s="1" t="str">
        <x:v>上证综指</x:v>
      </x:c>
      <x:c r="C408" s="1" t="str">
        <x:v>2024-06</x:v>
      </x:c>
      <x:c r="D408" s="1" t="str">
        <x:v>2024-05-31</x:v>
      </x:c>
      <x:c r="E408" s="5" t="n">
        <x:v>3086.81</x:v>
      </x:c>
      <x:c r="F408" s="6" t="str">
        <x:v>2024-06-28</x:v>
      </x:c>
      <x:c r="G408" s="5" t="n">
        <x:v>2967.4</x:v>
      </x:c>
      <x:c r="H408" s="7" t="n">
        <x:f>G408/E408-1</x:f>
        <x:v>-0.03868394880151349</x:v>
      </x:c>
      <x:c r="I408" s="1" t="n">
        <x:v>1</x:v>
      </x:c>
      <x:c r="J408" s="1" t="n">
        <x:v>1</x:v>
      </x:c>
      <x:c r="K408" s="1" t="str">
        <x:v>中证官方优先</x:v>
      </x:c>
    </x:row>
    <x:row r="409" ht="25" customHeight="1">
      <x:c r="A409" s="1" t="str">
        <x:v>sh000001</x:v>
      </x:c>
      <x:c r="B409" s="1" t="str">
        <x:v>上证综指</x:v>
      </x:c>
      <x:c r="C409" s="1" t="str">
        <x:v>2024-07</x:v>
      </x:c>
      <x:c r="D409" s="1" t="str">
        <x:v>2024-06-28</x:v>
      </x:c>
      <x:c r="E409" s="5" t="n">
        <x:v>2967.4</x:v>
      </x:c>
      <x:c r="F409" s="6" t="str">
        <x:v>2024-07-31</x:v>
      </x:c>
      <x:c r="G409" s="5" t="n">
        <x:v>2938.75</x:v>
      </x:c>
      <x:c r="H409" s="7" t="n">
        <x:f>G409/E409-1</x:f>
        <x:v>-0.009654916762148691</x:v>
      </x:c>
      <x:c r="I409" s="1" t="n">
        <x:v>1</x:v>
      </x:c>
      <x:c r="J409" s="1" t="n">
        <x:v>1</x:v>
      </x:c>
      <x:c r="K409" s="1" t="str">
        <x:v>中证官方优先</x:v>
      </x:c>
    </x:row>
    <x:row r="410" ht="25" customHeight="1">
      <x:c r="A410" s="1" t="str">
        <x:v>sh000001</x:v>
      </x:c>
      <x:c r="B410" s="1" t="str">
        <x:v>上证综指</x:v>
      </x:c>
      <x:c r="C410" s="1" t="str">
        <x:v>2024-08</x:v>
      </x:c>
      <x:c r="D410" s="1" t="str">
        <x:v>2024-07-31</x:v>
      </x:c>
      <x:c r="E410" s="5" t="n">
        <x:v>2938.75</x:v>
      </x:c>
      <x:c r="F410" s="6" t="str">
        <x:v>2024-08-30</x:v>
      </x:c>
      <x:c r="G410" s="5" t="n">
        <x:v>2842.21</x:v>
      </x:c>
      <x:c r="H410" s="7" t="n">
        <x:f>G410/E410-1</x:f>
        <x:v>-0.032850701829008955</x:v>
      </x:c>
      <x:c r="I410" s="1" t="n">
        <x:v>1</x:v>
      </x:c>
      <x:c r="J410" s="1" t="n">
        <x:v>1</x:v>
      </x:c>
      <x:c r="K410" s="1" t="str">
        <x:v>中证官方优先</x:v>
      </x:c>
    </x:row>
    <x:row r="411" ht="25" customHeight="1">
      <x:c r="A411" s="1" t="str">
        <x:v>sh000001</x:v>
      </x:c>
      <x:c r="B411" s="1" t="str">
        <x:v>上证综指</x:v>
      </x:c>
      <x:c r="C411" s="1" t="str">
        <x:v>2024-09</x:v>
      </x:c>
      <x:c r="D411" s="1" t="str">
        <x:v>2024-08-30</x:v>
      </x:c>
      <x:c r="E411" s="5" t="n">
        <x:v>2842.21</x:v>
      </x:c>
      <x:c r="F411" s="6" t="str">
        <x:v>2024-09-30</x:v>
      </x:c>
      <x:c r="G411" s="5" t="n">
        <x:v>3336.5</x:v>
      </x:c>
      <x:c r="H411" s="7" t="n">
        <x:f>G411/E411-1</x:f>
        <x:v>0.1739104429299736</x:v>
      </x:c>
      <x:c r="I411" s="1" t="n">
        <x:v>1</x:v>
      </x:c>
      <x:c r="J411" s="1" t="n">
        <x:v>1</x:v>
      </x:c>
      <x:c r="K411" s="1" t="str">
        <x:v>中证官方优先</x:v>
      </x:c>
    </x:row>
    <x:row r="412" ht="25" customHeight="1">
      <x:c r="A412" s="1" t="str">
        <x:v>sh000001</x:v>
      </x:c>
      <x:c r="B412" s="1" t="str">
        <x:v>上证综指</x:v>
      </x:c>
      <x:c r="C412" s="1" t="str">
        <x:v>2024-10</x:v>
      </x:c>
      <x:c r="D412" s="1" t="str">
        <x:v>2024-09-30</x:v>
      </x:c>
      <x:c r="E412" s="5" t="n">
        <x:v>3336.5</x:v>
      </x:c>
      <x:c r="F412" s="6" t="str">
        <x:v>2024-10-31</x:v>
      </x:c>
      <x:c r="G412" s="5" t="n">
        <x:v>3279.82</x:v>
      </x:c>
      <x:c r="H412" s="7" t="n">
        <x:f>G412/E412-1</x:f>
        <x:v>-0.016987861531544968</x:v>
      </x:c>
      <x:c r="I412" s="1" t="n">
        <x:v>1</x:v>
      </x:c>
      <x:c r="J412" s="1" t="n">
        <x:v>1</x:v>
      </x:c>
      <x:c r="K412" s="1" t="str">
        <x:v>中证官方优先</x:v>
      </x:c>
    </x:row>
    <x:row r="413" ht="25" customHeight="1">
      <x:c r="A413" s="1" t="str">
        <x:v>sh000001</x:v>
      </x:c>
      <x:c r="B413" s="1" t="str">
        <x:v>上证综指</x:v>
      </x:c>
      <x:c r="C413" s="1" t="str">
        <x:v>2024-11</x:v>
      </x:c>
      <x:c r="D413" s="1" t="str">
        <x:v>2024-10-31</x:v>
      </x:c>
      <x:c r="E413" s="5" t="n">
        <x:v>3279.82</x:v>
      </x:c>
      <x:c r="F413" s="6" t="str">
        <x:v>2024-11-29</x:v>
      </x:c>
      <x:c r="G413" s="5" t="n">
        <x:v>3326.46</x:v>
      </x:c>
      <x:c r="H413" s="7" t="n">
        <x:f>G413/E413-1</x:f>
        <x:v>0.014220292577031612</x:v>
      </x:c>
      <x:c r="I413" s="1" t="n">
        <x:v>1</x:v>
      </x:c>
      <x:c r="J413" s="1" t="n">
        <x:v>1</x:v>
      </x:c>
      <x:c r="K413" s="1" t="str">
        <x:v>中证官方优先</x:v>
      </x:c>
    </x:row>
    <x:row r="414" ht="25" customHeight="1">
      <x:c r="A414" s="1" t="str">
        <x:v>sh000001</x:v>
      </x:c>
      <x:c r="B414" s="1" t="str">
        <x:v>上证综指</x:v>
      </x:c>
      <x:c r="C414" s="1" t="str">
        <x:v>2024-12</x:v>
      </x:c>
      <x:c r="D414" s="1" t="str">
        <x:v>2024-11-29</x:v>
      </x:c>
      <x:c r="E414" s="5" t="n">
        <x:v>3326.46</x:v>
      </x:c>
      <x:c r="F414" s="6" t="str">
        <x:v>2024-12-31</x:v>
      </x:c>
      <x:c r="G414" s="5" t="n">
        <x:v>3351.76</x:v>
      </x:c>
      <x:c r="H414" s="7" t="n">
        <x:f>G414/E414-1</x:f>
        <x:v>0.0076056829181774255</x:v>
      </x:c>
      <x:c r="I414" s="1" t="n">
        <x:v>1</x:v>
      </x:c>
      <x:c r="J414" s="1" t="n">
        <x:v>1</x:v>
      </x:c>
      <x:c r="K414" s="1" t="str">
        <x:v>中证官方优先</x:v>
      </x:c>
    </x:row>
    <x:row r="415" ht="25" customHeight="1">
      <x:c r="A415" s="1" t="str">
        <x:v>sh000001</x:v>
      </x:c>
      <x:c r="B415" s="1" t="str">
        <x:v>上证综指</x:v>
      </x:c>
      <x:c r="C415" s="1" t="str">
        <x:v>2025-01</x:v>
      </x:c>
      <x:c r="D415" s="1" t="str">
        <x:v>2024-12-31</x:v>
      </x:c>
      <x:c r="E415" s="5" t="n">
        <x:v>3351.76</x:v>
      </x:c>
      <x:c r="F415" s="6" t="str">
        <x:v>2025-01-27</x:v>
      </x:c>
      <x:c r="G415" s="5" t="n">
        <x:v>3250.6</x:v>
      </x:c>
      <x:c r="H415" s="7" t="n">
        <x:f>G415/E415-1</x:f>
        <x:v>-0.030181158555505294</x:v>
      </x:c>
      <x:c r="I415" s="1" t="n">
        <x:v>1</x:v>
      </x:c>
      <x:c r="J415" s="1" t="n">
        <x:v>1</x:v>
      </x:c>
      <x:c r="K415" s="1" t="str">
        <x:v>中证官方优先</x:v>
      </x:c>
    </x:row>
    <x:row r="416" ht="25" customHeight="1">
      <x:c r="A416" s="1" t="str">
        <x:v>sh000001</x:v>
      </x:c>
      <x:c r="B416" s="1" t="str">
        <x:v>上证综指</x:v>
      </x:c>
      <x:c r="C416" s="1" t="str">
        <x:v>2025-02</x:v>
      </x:c>
      <x:c r="D416" s="1" t="str">
        <x:v>2025-01-27</x:v>
      </x:c>
      <x:c r="E416" s="5" t="n">
        <x:v>3250.6</x:v>
      </x:c>
      <x:c r="F416" s="6" t="str">
        <x:v>2025-02-28</x:v>
      </x:c>
      <x:c r="G416" s="5" t="n">
        <x:v>3320.9</x:v>
      </x:c>
      <x:c r="H416" s="7" t="n">
        <x:f>G416/E416-1</x:f>
        <x:v>0.021626776595090158</x:v>
      </x:c>
      <x:c r="I416" s="1" t="n">
        <x:v>1</x:v>
      </x:c>
      <x:c r="J416" s="1" t="n">
        <x:v>1</x:v>
      </x:c>
      <x:c r="K416" s="1" t="str">
        <x:v>中证官方优先</x:v>
      </x:c>
    </x:row>
    <x:row r="417" ht="25" customHeight="1">
      <x:c r="A417" s="1" t="str">
        <x:v>sh000001</x:v>
      </x:c>
      <x:c r="B417" s="1" t="str">
        <x:v>上证综指</x:v>
      </x:c>
      <x:c r="C417" s="1" t="str">
        <x:v>2025-03</x:v>
      </x:c>
      <x:c r="D417" s="1" t="str">
        <x:v>2025-02-28</x:v>
      </x:c>
      <x:c r="E417" s="5" t="n">
        <x:v>3320.9</x:v>
      </x:c>
      <x:c r="F417" s="6" t="str">
        <x:v>2025-03-31</x:v>
      </x:c>
      <x:c r="G417" s="5" t="n">
        <x:v>3335.75</x:v>
      </x:c>
      <x:c r="H417" s="7" t="n">
        <x:f>G417/E417-1</x:f>
        <x:v>0.004471679364027814</x:v>
      </x:c>
      <x:c r="I417" s="1" t="n">
        <x:v>1</x:v>
      </x:c>
      <x:c r="J417" s="1" t="n">
        <x:v>1</x:v>
      </x:c>
      <x:c r="K417" s="1" t="str">
        <x:v>中证官方优先</x:v>
      </x:c>
    </x:row>
    <x:row r="418" ht="25" customHeight="1">
      <x:c r="A418" s="1" t="str">
        <x:v>sh000001</x:v>
      </x:c>
      <x:c r="B418" s="1" t="str">
        <x:v>上证综指</x:v>
      </x:c>
      <x:c r="C418" s="1" t="str">
        <x:v>2025-04</x:v>
      </x:c>
      <x:c r="D418" s="1" t="str">
        <x:v>2025-03-31</x:v>
      </x:c>
      <x:c r="E418" s="5" t="n">
        <x:v>3335.75</x:v>
      </x:c>
      <x:c r="F418" s="6" t="str">
        <x:v>2025-04-30</x:v>
      </x:c>
      <x:c r="G418" s="5" t="n">
        <x:v>3279.03</x:v>
      </x:c>
      <x:c r="H418" s="7" t="n">
        <x:f>G418/E418-1</x:f>
        <x:v>-0.017003672337555176</x:v>
      </x:c>
      <x:c r="I418" s="1" t="n">
        <x:v>1</x:v>
      </x:c>
      <x:c r="J418" s="1" t="n">
        <x:v>1</x:v>
      </x:c>
      <x:c r="K418" s="1" t="str">
        <x:v>中证官方优先</x:v>
      </x:c>
    </x:row>
    <x:row r="419" ht="25" customHeight="1">
      <x:c r="A419" s="1" t="str">
        <x:v>sh000001</x:v>
      </x:c>
      <x:c r="B419" s="1" t="str">
        <x:v>上证综指</x:v>
      </x:c>
      <x:c r="C419" s="1" t="str">
        <x:v>2025-05</x:v>
      </x:c>
      <x:c r="D419" s="1" t="str">
        <x:v>2025-04-30</x:v>
      </x:c>
      <x:c r="E419" s="5" t="n">
        <x:v>3279.03</x:v>
      </x:c>
      <x:c r="F419" s="6" t="str">
        <x:v>2025-05-30</x:v>
      </x:c>
      <x:c r="G419" s="5" t="n">
        <x:v>3347.49</x:v>
      </x:c>
      <x:c r="H419" s="7" t="n">
        <x:f>G419/E419-1</x:f>
        <x:v>0.020878125543224435</x:v>
      </x:c>
      <x:c r="I419" s="1" t="n">
        <x:v>1</x:v>
      </x:c>
      <x:c r="J419" s="1" t="n">
        <x:v>1</x:v>
      </x:c>
      <x:c r="K419" s="1" t="str">
        <x:v>中证官方优先</x:v>
      </x:c>
    </x:row>
    <x:row r="420" ht="25" customHeight="1">
      <x:c r="A420" s="1" t="str">
        <x:v>sh000001</x:v>
      </x:c>
      <x:c r="B420" s="1" t="str">
        <x:v>上证综指</x:v>
      </x:c>
      <x:c r="C420" s="1" t="str">
        <x:v>2025-06</x:v>
      </x:c>
      <x:c r="D420" s="1" t="str">
        <x:v>2025-05-30</x:v>
      </x:c>
      <x:c r="E420" s="5" t="n">
        <x:v>3347.49</x:v>
      </x:c>
      <x:c r="F420" s="6" t="str">
        <x:v>2025-06-30</x:v>
      </x:c>
      <x:c r="G420" s="5" t="n">
        <x:v>3444.43</x:v>
      </x:c>
      <x:c r="H420" s="7" t="n">
        <x:f>G420/E420-1</x:f>
        <x:v>0.028959011079943586</x:v>
      </x:c>
      <x:c r="I420" s="1" t="n">
        <x:v>1</x:v>
      </x:c>
      <x:c r="J420" s="1" t="n">
        <x:v>1</x:v>
      </x:c>
      <x:c r="K420" s="1" t="str">
        <x:v>中证官方优先</x:v>
      </x:c>
    </x:row>
    <x:row r="421" ht="25" customHeight="1">
      <x:c r="A421" s="1" t="str">
        <x:v>sh000001</x:v>
      </x:c>
      <x:c r="B421" s="1" t="str">
        <x:v>上证综指</x:v>
      </x:c>
      <x:c r="C421" s="1" t="str">
        <x:v>2025-07</x:v>
      </x:c>
      <x:c r="D421" s="1" t="str">
        <x:v>2025-06-30</x:v>
      </x:c>
      <x:c r="E421" s="5" t="n">
        <x:v>3444.43</x:v>
      </x:c>
      <x:c r="F421" s="6" t="str">
        <x:v>2025-07-31</x:v>
      </x:c>
      <x:c r="G421" s="5" t="n">
        <x:v>3573.21</x:v>
      </x:c>
      <x:c r="H421" s="7" t="n">
        <x:f>G421/E421-1</x:f>
        <x:v>0.03738789872344639</x:v>
      </x:c>
      <x:c r="I421" s="1" t="n">
        <x:v>1</x:v>
      </x:c>
      <x:c r="J421" s="1" t="n">
        <x:v>1</x:v>
      </x:c>
      <x:c r="K421" s="1" t="str">
        <x:v>中证官方优先</x:v>
      </x:c>
    </x:row>
    <x:row r="422" ht="25" customHeight="1">
      <x:c r="A422" s="1" t="str">
        <x:v>sh000001</x:v>
      </x:c>
      <x:c r="B422" s="1" t="str">
        <x:v>上证综指</x:v>
      </x:c>
      <x:c r="C422" s="1" t="str">
        <x:v>2025-08</x:v>
      </x:c>
      <x:c r="D422" s="1" t="str">
        <x:v>2025-07-31</x:v>
      </x:c>
      <x:c r="E422" s="5" t="n">
        <x:v>3573.21</x:v>
      </x:c>
      <x:c r="F422" s="6" t="str">
        <x:v>2025-08-29</x:v>
      </x:c>
      <x:c r="G422" s="5" t="n">
        <x:v>3857.93</x:v>
      </x:c>
      <x:c r="H422" s="7" t="n">
        <x:f>G422/E422-1</x:f>
        <x:v>0.07968185469088018</x:v>
      </x:c>
      <x:c r="I422" s="1" t="n">
        <x:v>1</x:v>
      </x:c>
      <x:c r="J422" s="1" t="n">
        <x:v>1</x:v>
      </x:c>
      <x:c r="K422" s="1" t="str">
        <x:v>中证官方优先</x:v>
      </x:c>
    </x:row>
    <x:row r="423" ht="25" customHeight="1">
      <x:c r="A423" s="1" t="str">
        <x:v>sh000001</x:v>
      </x:c>
      <x:c r="B423" s="1" t="str">
        <x:v>上证综指</x:v>
      </x:c>
      <x:c r="C423" s="1" t="str">
        <x:v>2025-09</x:v>
      </x:c>
      <x:c r="D423" s="1" t="str">
        <x:v>2025-08-29</x:v>
      </x:c>
      <x:c r="E423" s="5" t="n">
        <x:v>3857.93</x:v>
      </x:c>
      <x:c r="F423" s="6" t="str">
        <x:v>2025-09-30</x:v>
      </x:c>
      <x:c r="G423" s="5" t="n">
        <x:v>3882.78</x:v>
      </x:c>
      <x:c r="H423" s="7" t="n">
        <x:f>G423/E423-1</x:f>
        <x:v>0.006441278094729608</x:v>
      </x:c>
      <x:c r="I423" s="1" t="n">
        <x:v>1</x:v>
      </x:c>
      <x:c r="J423" s="1" t="n">
        <x:v>1</x:v>
      </x:c>
      <x:c r="K423" s="1" t="str">
        <x:v>中证官方优先</x:v>
      </x:c>
    </x:row>
    <x:row r="424" ht="25" customHeight="1">
      <x:c r="A424" s="1" t="str">
        <x:v>sh000001</x:v>
      </x:c>
      <x:c r="B424" s="1" t="str">
        <x:v>上证综指</x:v>
      </x:c>
      <x:c r="C424" s="1" t="str">
        <x:v>2025-10</x:v>
      </x:c>
      <x:c r="D424" s="1" t="str">
        <x:v>2025-09-30</x:v>
      </x:c>
      <x:c r="E424" s="5" t="n">
        <x:v>3882.78</x:v>
      </x:c>
      <x:c r="F424" s="6" t="str">
        <x:v>2025-10-31</x:v>
      </x:c>
      <x:c r="G424" s="5" t="n">
        <x:v>3954.79</x:v>
      </x:c>
      <x:c r="H424" s="7" t="n">
        <x:f>G424/E424-1</x:f>
        <x:v>0.018545990244103416</x:v>
      </x:c>
      <x:c r="I424" s="1" t="n">
        <x:v>1</x:v>
      </x:c>
      <x:c r="J424" s="1" t="n">
        <x:v>1</x:v>
      </x:c>
      <x:c r="K424" s="1" t="str">
        <x:v>中证官方优先</x:v>
      </x:c>
    </x:row>
    <x:row r="425" ht="25" customHeight="1">
      <x:c r="A425" s="1" t="str">
        <x:v>sh000001</x:v>
      </x:c>
      <x:c r="B425" s="1" t="str">
        <x:v>上证综指</x:v>
      </x:c>
      <x:c r="C425" s="1" t="str">
        <x:v>2025-11</x:v>
      </x:c>
      <x:c r="D425" s="1" t="str">
        <x:v>2025-10-31</x:v>
      </x:c>
      <x:c r="E425" s="5" t="n">
        <x:v>3954.79</x:v>
      </x:c>
      <x:c r="F425" s="6" t="str">
        <x:v>2025-11-28</x:v>
      </x:c>
      <x:c r="G425" s="5" t="n">
        <x:v>3888.6</x:v>
      </x:c>
      <x:c r="H425" s="7" t="n">
        <x:f>G425/E425-1</x:f>
        <x:v>-0.01673666616937941</x:v>
      </x:c>
      <x:c r="I425" s="1" t="n">
        <x:v>1</x:v>
      </x:c>
      <x:c r="J425" s="1" t="n">
        <x:v>1</x:v>
      </x:c>
      <x:c r="K425" s="1" t="str">
        <x:v>中证官方优先</x:v>
      </x:c>
    </x:row>
    <x:row r="426" ht="25" customHeight="1">
      <x:c r="A426" s="1" t="str">
        <x:v>sh000001</x:v>
      </x:c>
      <x:c r="B426" s="1" t="str">
        <x:v>上证综指</x:v>
      </x:c>
      <x:c r="C426" s="1" t="str">
        <x:v>2025-12</x:v>
      </x:c>
      <x:c r="D426" s="1" t="str">
        <x:v>2025-11-28</x:v>
      </x:c>
      <x:c r="E426" s="5" t="n">
        <x:v>3888.6</x:v>
      </x:c>
      <x:c r="F426" s="6" t="str">
        <x:v>2025-12-31</x:v>
      </x:c>
      <x:c r="G426" s="5" t="n">
        <x:v>3968.84</x:v>
      </x:c>
      <x:c r="H426" s="7" t="n">
        <x:f>G426/E426-1</x:f>
        <x:v>0.020634675718767648</x:v>
      </x:c>
      <x:c r="I426" s="1" t="n">
        <x:v>1</x:v>
      </x:c>
      <x:c r="J426" s="1" t="n">
        <x:v>1</x:v>
      </x:c>
      <x:c r="K426" s="1" t="str">
        <x:v>中证官方优先</x:v>
      </x:c>
    </x:row>
    <x:row r="427" ht="25" customHeight="1">
      <x:c r="A427" s="1" t="str">
        <x:v>sh000001</x:v>
      </x:c>
      <x:c r="B427" s="1" t="str">
        <x:v>上证综指</x:v>
      </x:c>
      <x:c r="C427" s="1" t="str">
        <x:v>2026-01</x:v>
      </x:c>
      <x:c r="D427" s="1" t="str">
        <x:v>2025-12-31</x:v>
      </x:c>
      <x:c r="E427" s="5" t="n">
        <x:v>3968.84</x:v>
      </x:c>
      <x:c r="F427" s="6" t="str">
        <x:v>2026-01-30</x:v>
      </x:c>
      <x:c r="G427" s="5" t="n">
        <x:v>4117.95</x:v>
      </x:c>
      <x:c r="H427" s="7" t="n">
        <x:f>G427/E427-1</x:f>
        <x:v>0.03757017163705245</x:v>
      </x:c>
      <x:c r="I427" s="1" t="n">
        <x:v>1</x:v>
      </x:c>
      <x:c r="J427" s="1" t="n">
        <x:v>1</x:v>
      </x:c>
      <x:c r="K427" s="1" t="str">
        <x:v>中证官方优先</x:v>
      </x:c>
    </x:row>
    <x:row r="428" ht="25" customHeight="1">
      <x:c r="A428" s="1" t="str">
        <x:v>sh000001</x:v>
      </x:c>
      <x:c r="B428" s="1" t="str">
        <x:v>上证综指</x:v>
      </x:c>
      <x:c r="C428" s="1" t="str">
        <x:v>2026-02</x:v>
      </x:c>
      <x:c r="D428" s="1" t="str">
        <x:v>2026-01-30</x:v>
      </x:c>
      <x:c r="E428" s="5" t="n">
        <x:v>4117.95</x:v>
      </x:c>
      <x:c r="F428" s="6" t="str">
        <x:v>2026-02-27</x:v>
      </x:c>
      <x:c r="G428" s="5" t="n">
        <x:v>4162.88</x:v>
      </x:c>
      <x:c r="H428" s="7" t="n">
        <x:f>G428/E428-1</x:f>
        <x:v>0.010910768707730778</x:v>
      </x:c>
      <x:c r="I428" s="1" t="n">
        <x:v>1</x:v>
      </x:c>
      <x:c r="J428" s="1" t="n">
        <x:v>1</x:v>
      </x:c>
      <x:c r="K428" s="1" t="str">
        <x:v>中证官方优先</x:v>
      </x:c>
    </x:row>
    <x:row r="429" ht="25" customHeight="1">
      <x:c r="A429" s="1" t="str">
        <x:v>sh000001</x:v>
      </x:c>
      <x:c r="B429" s="1" t="str">
        <x:v>上证综指</x:v>
      </x:c>
      <x:c r="C429" s="1" t="str">
        <x:v>2026-03</x:v>
      </x:c>
      <x:c r="D429" s="1" t="str">
        <x:v>2026-02-27</x:v>
      </x:c>
      <x:c r="E429" s="5" t="n">
        <x:v>4162.88</x:v>
      </x:c>
      <x:c r="F429" s="6" t="str">
        <x:v>2026-03-31</x:v>
      </x:c>
      <x:c r="G429" s="5" t="n">
        <x:v>3891.86</x:v>
      </x:c>
      <x:c r="H429" s="7" t="n">
        <x:f>G429/E429-1</x:f>
        <x:v>-0.06510396648474137</x:v>
      </x:c>
      <x:c r="I429" s="1" t="n">
        <x:v>1</x:v>
      </x:c>
      <x:c r="J429" s="1" t="n">
        <x:v>1</x:v>
      </x:c>
      <x:c r="K429" s="1" t="str">
        <x:v>中证官方优先</x:v>
      </x:c>
    </x:row>
    <x:row r="430" ht="25" customHeight="1">
      <x:c r="A430" s="1" t="str">
        <x:v>sh000001</x:v>
      </x:c>
      <x:c r="B430" s="1" t="str">
        <x:v>上证综指</x:v>
      </x:c>
      <x:c r="C430" s="1" t="str">
        <x:v>2026-04</x:v>
      </x:c>
      <x:c r="D430" s="1" t="str">
        <x:v>2026-03-31</x:v>
      </x:c>
      <x:c r="E430" s="5" t="n">
        <x:v>3891.86</x:v>
      </x:c>
      <x:c r="F430" s="6" t="str">
        <x:v>2026-04-30</x:v>
      </x:c>
      <x:c r="G430" s="5" t="n">
        <x:v>4112.16</x:v>
      </x:c>
      <x:c r="H430" s="7" t="n">
        <x:f>G430/E430-1</x:f>
        <x:v>0.056605324960301795</x:v>
      </x:c>
      <x:c r="I430" s="1" t="n">
        <x:v>1</x:v>
      </x:c>
      <x:c r="J430" s="1" t="n">
        <x:v>1</x:v>
      </x:c>
      <x:c r="K430" s="1" t="str">
        <x:v>中证官方优先</x:v>
      </x:c>
    </x:row>
    <x:row r="431" ht="25" customHeight="1">
      <x:c r="A431" s="1" t="str">
        <x:v>sh000001</x:v>
      </x:c>
      <x:c r="B431" s="1" t="str">
        <x:v>上证综指</x:v>
      </x:c>
      <x:c r="C431" s="1" t="str">
        <x:v>2026-05</x:v>
      </x:c>
      <x:c r="D431" s="1" t="str">
        <x:v>2026-04-30</x:v>
      </x:c>
      <x:c r="E431" s="5" t="n">
        <x:v>4112.16</x:v>
      </x:c>
      <x:c r="F431" s="6" t="str">
        <x:v>2026-05-29</x:v>
      </x:c>
      <x:c r="G431" s="5" t="n">
        <x:v>4068.57</x:v>
      </x:c>
      <x:c r="H431" s="7" t="n">
        <x:f>G431/E431-1</x:f>
        <x:v>-0.010600268472043761</x:v>
      </x:c>
      <x:c r="I431" s="1" t="n">
        <x:v>1</x:v>
      </x:c>
      <x:c r="J431" s="1" t="n">
        <x:v>1</x:v>
      </x:c>
      <x:c r="K431" s="1" t="str">
        <x:v>中证官方优先</x:v>
      </x:c>
    </x:row>
    <x:row r="432" ht="25" customHeight="1">
      <x:c r="A432" s="1" t="str">
        <x:v>sh000001</x:v>
      </x:c>
      <x:c r="B432" s="1" t="str">
        <x:v>上证综指</x:v>
      </x:c>
      <x:c r="C432" s="1" t="str">
        <x:v>2026-06</x:v>
      </x:c>
      <x:c r="D432" s="1" t="str">
        <x:v>2026-05-29</x:v>
      </x:c>
      <x:c r="E432" s="5" t="n">
        <x:v>4068.57</x:v>
      </x:c>
      <x:c r="F432" s="6" t="str">
        <x:v>2026-06-30</x:v>
      </x:c>
      <x:c r="G432" s="5" t="n">
        <x:v>4094.4</x:v>
      </x:c>
      <x:c r="H432" s="7" t="n">
        <x:f>G432/E432-1</x:f>
        <x:v>0.006348667959504173</x:v>
      </x:c>
      <x:c r="I432" s="1" t="n">
        <x:v>1</x:v>
      </x:c>
      <x:c r="J432" s="1" t="n">
        <x:v>1</x:v>
      </x:c>
      <x:c r="K432" s="1" t="str">
        <x:v>中证官方优先</x:v>
      </x:c>
    </x:row>
    <x:row r="433" ht="25" customHeight="1">
      <x:c r="A433" s="1" t="str">
        <x:v>sh000001</x:v>
      </x:c>
      <x:c r="B433" s="1" t="str">
        <x:v>上证综指</x:v>
      </x:c>
      <x:c r="C433" s="1" t="str">
        <x:v>2026-07</x:v>
      </x:c>
      <x:c r="D433" s="1" t="str">
        <x:v>2026-06-30</x:v>
      </x:c>
      <x:c r="E433" s="5" t="n">
        <x:v>4094.4</x:v>
      </x:c>
      <x:c r="F433" s="6" t="str">
        <x:v>2026-07-31</x:v>
      </x:c>
      <x:c r="G433" s="5" t="n">
        <x:v>3832.26</x:v>
      </x:c>
      <x:c r="H433" s="7" t="n">
        <x:f>G433/E433-1</x:f>
        <x:v>-0.06402403282532232</x:v>
      </x:c>
      <x:c r="I433" s="1" t="n">
        <x:v>1</x:v>
      </x:c>
      <x:c r="J433" s="1" t="n">
        <x:v>1</x:v>
      </x:c>
      <x:c r="K433" s="1" t="str">
        <x:v>中证官方优先</x:v>
      </x:c>
    </x:row>
    <x:row r="434" ht="25" customHeight="1">
      <x:c r="A434" s="1" t="str">
        <x:v>sh000001</x:v>
      </x:c>
      <x:c r="B434" s="1" t="str">
        <x:v>上证综指</x:v>
      </x:c>
      <x:c r="C434" s="1" t="str">
        <x:v>2026-08</x:v>
      </x:c>
      <x:c r="D434" s="1" t="str">
        <x:v>2026-07-31</x:v>
      </x:c>
      <x:c r="E434" s="5" t="n">
        <x:v>3832.26</x:v>
      </x:c>
      <x:c r="F434" s="6" t="str">
        <x:v>2026-08-31</x:v>
      </x:c>
      <x:c r="G434" s="5" t="n">
        <x:v>3986.3</x:v>
      </x:c>
      <x:c r="H434" s="7" t="n">
        <x:f>G434/E434-1</x:f>
        <x:v>0.040195602594813584</x:v>
      </x:c>
      <x:c r="I434" s="1" t="n">
        <x:v>1</x:v>
      </x:c>
      <x:c r="J434" s="1" t="n">
        <x:v>1</x:v>
      </x:c>
      <x:c r="K434" s="1" t="str">
        <x:v>中证官方优先</x:v>
      </x:c>
    </x:row>
    <x:row r="435" ht="25" customHeight="1">
      <x:c r="A435" s="1" t="str">
        <x:v>sh000001</x:v>
      </x:c>
      <x:c r="B435" s="1" t="str">
        <x:v>上证综指</x:v>
      </x:c>
      <x:c r="C435" s="1" t="str">
        <x:v>2026-09</x:v>
      </x:c>
      <x:c r="D435" s="1" t="str">
        <x:v>2026-08-31</x:v>
      </x:c>
      <x:c r="E435" s="5" t="n">
        <x:v>3986.3</x:v>
      </x:c>
      <x:c r="F435" s="6" t="str">
        <x:v>2026-09-30</x:v>
      </x:c>
      <x:c r="G435" s="5" t="n">
        <x:v>3842.19</x:v>
      </x:c>
      <x:c r="H435" s="7" t="n">
        <x:f>G435/E435-1</x:f>
        <x:v>-0.03615131826505791</x:v>
      </x:c>
      <x:c r="I435" s="1" t="n">
        <x:v>1</x:v>
      </x:c>
      <x:c r="J435" s="1" t="n">
        <x:v>1</x:v>
      </x:c>
      <x:c r="K435" s="1" t="str">
        <x:v>中证官方优先</x:v>
      </x:c>
    </x:row>
    <x:row r="436" ht="25" customHeight="1">
      <x:c r="A436" s="1" t="str">
        <x:v>sh000001</x:v>
      </x:c>
      <x:c r="B436" s="1" t="str">
        <x:v>上证综指</x:v>
      </x:c>
      <x:c r="C436" s="1" t="str">
        <x:v>2026-10</x:v>
      </x:c>
      <x:c r="D436" s="1" t="str">
        <x:v>2026-09-30</x:v>
      </x:c>
      <x:c r="E436" s="5" t="n">
        <x:v>3842.19</x:v>
      </x:c>
      <x:c r="F436" s="6" t="str">
        <x:v>2026-10-09</x:v>
      </x:c>
      <x:c r="G436" s="5" t="n">
        <x:v>3813.79</x:v>
      </x:c>
      <x:c r="H436" s="7" t="n">
        <x:f>G436/E436-1</x:f>
        <x:v>-0.0073916178013060385</x:v>
      </x:c>
      <x:c r="I436" s="1" t="n">
        <x:v>0</x:v>
      </x:c>
      <x:c r="J436" s="1" t="n">
        <x:v>1</x:v>
      </x:c>
      <x:c r="K436" s="1" t="str">
        <x:v>中证官方优先</x:v>
      </x:c>
    </x:row>
    <x:row r="437" ht="25" customHeight="1">
      <x:c r="A437" s="1" t="str">
        <x:v>sh000300</x:v>
      </x:c>
      <x:c r="B437" s="1" t="str">
        <x:v>沪深300</x:v>
      </x:c>
      <x:c r="C437" s="1" t="str">
        <x:v>2005-01</x:v>
      </x:c>
      <x:c r="D437" s="1" t="str">
        <x:v>2004-12-31</x:v>
      </x:c>
      <x:c r="E437" s="5" t="n">
        <x:v>1000</x:v>
      </x:c>
      <x:c r="F437" s="6" t="str">
        <x:v>2005-01-31</x:v>
      </x:c>
      <x:c r="G437" s="5" t="n">
        <x:v>954.88</x:v>
      </x:c>
      <x:c r="H437" s="7" t="n">
        <x:f>G437/E437-1</x:f>
        <x:v>-0.04512000000000005</x:v>
      </x:c>
      <x:c r="I437" s="1" t="n">
        <x:v>1</x:v>
      </x:c>
      <x:c r="J437" s="1" t="n">
        <x:v>0</x:v>
      </x:c>
      <x:c r="K437" s="1" t="str">
        <x:v>中证官方优先</x:v>
      </x:c>
    </x:row>
    <x:row r="438" ht="25" customHeight="1">
      <x:c r="A438" s="1" t="str">
        <x:v>sh000300</x:v>
      </x:c>
      <x:c r="B438" s="1" t="str">
        <x:v>沪深300</x:v>
      </x:c>
      <x:c r="C438" s="1" t="str">
        <x:v>2005-02</x:v>
      </x:c>
      <x:c r="D438" s="1" t="str">
        <x:v>2005-01-31</x:v>
      </x:c>
      <x:c r="E438" s="5" t="n">
        <x:v>954.88</x:v>
      </x:c>
      <x:c r="F438" s="6" t="str">
        <x:v>2005-02-28</x:v>
      </x:c>
      <x:c r="G438" s="5" t="n">
        <x:v>1039.99</x:v>
      </x:c>
      <x:c r="H438" s="7" t="n">
        <x:f>G438/E438-1</x:f>
        <x:v>0.0891316186327078</x:v>
      </x:c>
      <x:c r="I438" s="1" t="n">
        <x:v>1</x:v>
      </x:c>
      <x:c r="J438" s="1" t="n">
        <x:v>0</x:v>
      </x:c>
      <x:c r="K438" s="1" t="str">
        <x:v>中证官方优先</x:v>
      </x:c>
    </x:row>
    <x:row r="439" ht="25" customHeight="1">
      <x:c r="A439" s="1" t="str">
        <x:v>sh000300</x:v>
      </x:c>
      <x:c r="B439" s="1" t="str">
        <x:v>沪深300</x:v>
      </x:c>
      <x:c r="C439" s="1" t="str">
        <x:v>2005-03</x:v>
      </x:c>
      <x:c r="D439" s="1" t="str">
        <x:v>2005-02-28</x:v>
      </x:c>
      <x:c r="E439" s="5" t="n">
        <x:v>1039.99</x:v>
      </x:c>
      <x:c r="F439" s="6" t="str">
        <x:v>2005-03-31</x:v>
      </x:c>
      <x:c r="G439" s="5" t="n">
        <x:v>942.2</x:v>
      </x:c>
      <x:c r="H439" s="7" t="n">
        <x:f>G439/E439-1</x:f>
        <x:v>-0.09402975028606042</x:v>
      </x:c>
      <x:c r="I439" s="1" t="n">
        <x:v>1</x:v>
      </x:c>
      <x:c r="J439" s="1" t="n">
        <x:v>0</x:v>
      </x:c>
      <x:c r="K439" s="1" t="str">
        <x:v>中证官方优先</x:v>
      </x:c>
    </x:row>
    <x:row r="440" ht="25" customHeight="1">
      <x:c r="A440" s="1" t="str">
        <x:v>sh000300</x:v>
      </x:c>
      <x:c r="B440" s="1" t="str">
        <x:v>沪深300</x:v>
      </x:c>
      <x:c r="C440" s="1" t="str">
        <x:v>2005-04</x:v>
      </x:c>
      <x:c r="D440" s="1" t="str">
        <x:v>2005-03-31</x:v>
      </x:c>
      <x:c r="E440" s="5" t="n">
        <x:v>942.2</x:v>
      </x:c>
      <x:c r="F440" s="6" t="str">
        <x:v>2005-04-29</x:v>
      </x:c>
      <x:c r="G440" s="5" t="n">
        <x:v>932.4</x:v>
      </x:c>
      <x:c r="H440" s="7" t="n">
        <x:f>G440/E440-1</x:f>
        <x:v>-0.010401188707280906</x:v>
      </x:c>
      <x:c r="I440" s="1" t="n">
        <x:v>1</x:v>
      </x:c>
      <x:c r="J440" s="1" t="n">
        <x:v>0</x:v>
      </x:c>
      <x:c r="K440" s="1" t="str">
        <x:v>中证官方优先</x:v>
      </x:c>
    </x:row>
    <x:row r="441" ht="25" customHeight="1">
      <x:c r="A441" s="1" t="str">
        <x:v>sh000300</x:v>
      </x:c>
      <x:c r="B441" s="1" t="str">
        <x:v>沪深300</x:v>
      </x:c>
      <x:c r="C441" s="1" t="str">
        <x:v>2005-05</x:v>
      </x:c>
      <x:c r="D441" s="1" t="str">
        <x:v>2005-04-29</x:v>
      </x:c>
      <x:c r="E441" s="5" t="n">
        <x:v>932.4</x:v>
      </x:c>
      <x:c r="F441" s="6" t="str">
        <x:v>2005-05-31</x:v>
      </x:c>
      <x:c r="G441" s="5" t="n">
        <x:v>855.95</x:v>
      </x:c>
      <x:c r="H441" s="7" t="n">
        <x:f>G441/E441-1</x:f>
        <x:v>-0.08199270699270689</x:v>
      </x:c>
      <x:c r="I441" s="1" t="n">
        <x:v>1</x:v>
      </x:c>
      <x:c r="J441" s="1" t="n">
        <x:v>1</x:v>
      </x:c>
      <x:c r="K441" s="1" t="str">
        <x:v>中证官方优先</x:v>
      </x:c>
    </x:row>
    <x:row r="442" ht="25" customHeight="1">
      <x:c r="A442" s="1" t="str">
        <x:v>sh000300</x:v>
      </x:c>
      <x:c r="B442" s="1" t="str">
        <x:v>沪深300</x:v>
      </x:c>
      <x:c r="C442" s="1" t="str">
        <x:v>2005-06</x:v>
      </x:c>
      <x:c r="D442" s="1" t="str">
        <x:v>2005-05-31</x:v>
      </x:c>
      <x:c r="E442" s="5" t="n">
        <x:v>855.95</x:v>
      </x:c>
      <x:c r="F442" s="6" t="str">
        <x:v>2005-06-30</x:v>
      </x:c>
      <x:c r="G442" s="5" t="n">
        <x:v>878.69</x:v>
      </x:c>
      <x:c r="H442" s="7" t="n">
        <x:f>G442/E442-1</x:f>
        <x:v>0.02656697236988137</x:v>
      </x:c>
      <x:c r="I442" s="1" t="n">
        <x:v>1</x:v>
      </x:c>
      <x:c r="J442" s="1" t="n">
        <x:v>1</x:v>
      </x:c>
      <x:c r="K442" s="1" t="str">
        <x:v>中证官方优先</x:v>
      </x:c>
    </x:row>
    <x:row r="443" ht="25" customHeight="1">
      <x:c r="A443" s="1" t="str">
        <x:v>sh000300</x:v>
      </x:c>
      <x:c r="B443" s="1" t="str">
        <x:v>沪深300</x:v>
      </x:c>
      <x:c r="C443" s="1" t="str">
        <x:v>2005-07</x:v>
      </x:c>
      <x:c r="D443" s="1" t="str">
        <x:v>2005-06-30</x:v>
      </x:c>
      <x:c r="E443" s="5" t="n">
        <x:v>878.69</x:v>
      </x:c>
      <x:c r="F443" s="6" t="str">
        <x:v>2005-07-29</x:v>
      </x:c>
      <x:c r="G443" s="5" t="n">
        <x:v>888.16</x:v>
      </x:c>
      <x:c r="H443" s="7" t="n">
        <x:f>G443/E443-1</x:f>
        <x:v>0.01077740727674148</x:v>
      </x:c>
      <x:c r="I443" s="1" t="n">
        <x:v>1</x:v>
      </x:c>
      <x:c r="J443" s="1" t="n">
        <x:v>1</x:v>
      </x:c>
      <x:c r="K443" s="1" t="str">
        <x:v>中证官方优先</x:v>
      </x:c>
    </x:row>
    <x:row r="444" ht="25" customHeight="1">
      <x:c r="A444" s="1" t="str">
        <x:v>sh000300</x:v>
      </x:c>
      <x:c r="B444" s="1" t="str">
        <x:v>沪深300</x:v>
      </x:c>
      <x:c r="C444" s="1" t="str">
        <x:v>2005-08</x:v>
      </x:c>
      <x:c r="D444" s="1" t="str">
        <x:v>2005-07-29</x:v>
      </x:c>
      <x:c r="E444" s="5" t="n">
        <x:v>888.16</x:v>
      </x:c>
      <x:c r="F444" s="6" t="str">
        <x:v>2005-08-31</x:v>
      </x:c>
      <x:c r="G444" s="5" t="n">
        <x:v>927.92</x:v>
      </x:c>
      <x:c r="H444" s="7" t="n">
        <x:f>G444/E444-1</x:f>
        <x:v>0.04476670870113497</x:v>
      </x:c>
      <x:c r="I444" s="1" t="n">
        <x:v>1</x:v>
      </x:c>
      <x:c r="J444" s="1" t="n">
        <x:v>1</x:v>
      </x:c>
      <x:c r="K444" s="1" t="str">
        <x:v>中证官方优先</x:v>
      </x:c>
    </x:row>
    <x:row r="445" ht="25" customHeight="1">
      <x:c r="A445" s="1" t="str">
        <x:v>sh000300</x:v>
      </x:c>
      <x:c r="B445" s="1" t="str">
        <x:v>沪深300</x:v>
      </x:c>
      <x:c r="C445" s="1" t="str">
        <x:v>2005-09</x:v>
      </x:c>
      <x:c r="D445" s="1" t="str">
        <x:v>2005-08-31</x:v>
      </x:c>
      <x:c r="E445" s="5" t="n">
        <x:v>927.92</x:v>
      </x:c>
      <x:c r="F445" s="6" t="str">
        <x:v>2005-09-30</x:v>
      </x:c>
      <x:c r="G445" s="5" t="n">
        <x:v>917.39</x:v>
      </x:c>
      <x:c r="H445" s="7" t="n">
        <x:f>G445/E445-1</x:f>
        <x:v>-0.011347961031123344</x:v>
      </x:c>
      <x:c r="I445" s="1" t="n">
        <x:v>1</x:v>
      </x:c>
      <x:c r="J445" s="1" t="n">
        <x:v>1</x:v>
      </x:c>
      <x:c r="K445" s="1" t="str">
        <x:v>中证官方优先</x:v>
      </x:c>
    </x:row>
    <x:row r="446" ht="25" customHeight="1">
      <x:c r="A446" s="1" t="str">
        <x:v>sh000300</x:v>
      </x:c>
      <x:c r="B446" s="1" t="str">
        <x:v>沪深300</x:v>
      </x:c>
      <x:c r="C446" s="1" t="str">
        <x:v>2005-10</x:v>
      </x:c>
      <x:c r="D446" s="1" t="str">
        <x:v>2005-09-30</x:v>
      </x:c>
      <x:c r="E446" s="5" t="n">
        <x:v>917.39</x:v>
      </x:c>
      <x:c r="F446" s="6" t="str">
        <x:v>2005-10-31</x:v>
      </x:c>
      <x:c r="G446" s="5" t="n">
        <x:v>876.28</x:v>
      </x:c>
      <x:c r="H446" s="7" t="n">
        <x:f>G446/E446-1</x:f>
        <x:v>-0.044811912054851244</x:v>
      </x:c>
      <x:c r="I446" s="1" t="n">
        <x:v>1</x:v>
      </x:c>
      <x:c r="J446" s="1" t="n">
        <x:v>1</x:v>
      </x:c>
      <x:c r="K446" s="1" t="str">
        <x:v>中证官方优先</x:v>
      </x:c>
    </x:row>
    <x:row r="447" ht="25" customHeight="1">
      <x:c r="A447" s="1" t="str">
        <x:v>sh000300</x:v>
      </x:c>
      <x:c r="B447" s="1" t="str">
        <x:v>沪深300</x:v>
      </x:c>
      <x:c r="C447" s="1" t="str">
        <x:v>2005-11</x:v>
      </x:c>
      <x:c r="D447" s="1" t="str">
        <x:v>2005-10-31</x:v>
      </x:c>
      <x:c r="E447" s="5" t="n">
        <x:v>876.28</x:v>
      </x:c>
      <x:c r="F447" s="6" t="str">
        <x:v>2005-11-30</x:v>
      </x:c>
      <x:c r="G447" s="5" t="n">
        <x:v>873.83</x:v>
      </x:c>
      <x:c r="H447" s="7" t="n">
        <x:f>G447/E447-1</x:f>
        <x:v>-0.0027959099831103007</x:v>
      </x:c>
      <x:c r="I447" s="1" t="n">
        <x:v>1</x:v>
      </x:c>
      <x:c r="J447" s="1" t="n">
        <x:v>1</x:v>
      </x:c>
      <x:c r="K447" s="1" t="str">
        <x:v>中证官方优先</x:v>
      </x:c>
    </x:row>
    <x:row r="448" ht="25" customHeight="1">
      <x:c r="A448" s="1" t="str">
        <x:v>sh000300</x:v>
      </x:c>
      <x:c r="B448" s="1" t="str">
        <x:v>沪深300</x:v>
      </x:c>
      <x:c r="C448" s="1" t="str">
        <x:v>2005-12</x:v>
      </x:c>
      <x:c r="D448" s="1" t="str">
        <x:v>2005-11-30</x:v>
      </x:c>
      <x:c r="E448" s="5" t="n">
        <x:v>873.83</x:v>
      </x:c>
      <x:c r="F448" s="6" t="str">
        <x:v>2005-12-30</x:v>
      </x:c>
      <x:c r="G448" s="5" t="n">
        <x:v>923.45</x:v>
      </x:c>
      <x:c r="H448" s="7" t="n">
        <x:f>G448/E448-1</x:f>
        <x:v>0.056784500417701445</x:v>
      </x:c>
      <x:c r="I448" s="1" t="n">
        <x:v>1</x:v>
      </x:c>
      <x:c r="J448" s="1" t="n">
        <x:v>1</x:v>
      </x:c>
      <x:c r="K448" s="1" t="str">
        <x:v>中证官方优先</x:v>
      </x:c>
    </x:row>
    <x:row r="449" ht="25" customHeight="1">
      <x:c r="A449" s="1" t="str">
        <x:v>sh000300</x:v>
      </x:c>
      <x:c r="B449" s="1" t="str">
        <x:v>沪深300</x:v>
      </x:c>
      <x:c r="C449" s="1" t="str">
        <x:v>2006-01</x:v>
      </x:c>
      <x:c r="D449" s="1" t="str">
        <x:v>2005-12-30</x:v>
      </x:c>
      <x:c r="E449" s="5" t="n">
        <x:v>923.45</x:v>
      </x:c>
      <x:c r="F449" s="6" t="str">
        <x:v>2006-01-25</x:v>
      </x:c>
      <x:c r="G449" s="5" t="n">
        <x:v>1009.6</x:v>
      </x:c>
      <x:c r="H449" s="7" t="n">
        <x:f>G449/E449-1</x:f>
        <x:v>0.09329146136769717</x:v>
      </x:c>
      <x:c r="I449" s="1" t="n">
        <x:v>1</x:v>
      </x:c>
      <x:c r="J449" s="1" t="n">
        <x:v>1</x:v>
      </x:c>
      <x:c r="K449" s="1" t="str">
        <x:v>中证官方优先</x:v>
      </x:c>
    </x:row>
    <x:row r="450" ht="25" customHeight="1">
      <x:c r="A450" s="1" t="str">
        <x:v>sh000300</x:v>
      </x:c>
      <x:c r="B450" s="1" t="str">
        <x:v>沪深300</x:v>
      </x:c>
      <x:c r="C450" s="1" t="str">
        <x:v>2006-02</x:v>
      </x:c>
      <x:c r="D450" s="1" t="str">
        <x:v>2006-01-25</x:v>
      </x:c>
      <x:c r="E450" s="5" t="n">
        <x:v>1009.6</x:v>
      </x:c>
      <x:c r="F450" s="6" t="str">
        <x:v>2006-02-28</x:v>
      </x:c>
      <x:c r="G450" s="5" t="n">
        <x:v>1053.01</x:v>
      </x:c>
      <x:c r="H450" s="7" t="n">
        <x:f>G450/E450-1</x:f>
        <x:v>0.04299722662440564</x:v>
      </x:c>
      <x:c r="I450" s="1" t="n">
        <x:v>1</x:v>
      </x:c>
      <x:c r="J450" s="1" t="n">
        <x:v>1</x:v>
      </x:c>
      <x:c r="K450" s="1" t="str">
        <x:v>中证官方优先</x:v>
      </x:c>
    </x:row>
    <x:row r="451" ht="25" customHeight="1">
      <x:c r="A451" s="1" t="str">
        <x:v>sh000300</x:v>
      </x:c>
      <x:c r="B451" s="1" t="str">
        <x:v>沪深300</x:v>
      </x:c>
      <x:c r="C451" s="1" t="str">
        <x:v>2006-03</x:v>
      </x:c>
      <x:c r="D451" s="1" t="str">
        <x:v>2006-02-28</x:v>
      </x:c>
      <x:c r="E451" s="5" t="n">
        <x:v>1053.01</x:v>
      </x:c>
      <x:c r="F451" s="6" t="str">
        <x:v>2006-03-31</x:v>
      </x:c>
      <x:c r="G451" s="5" t="n">
        <x:v>1061.09</x:v>
      </x:c>
      <x:c r="H451" s="7" t="n">
        <x:f>G451/E451-1</x:f>
        <x:v>0.007673241469691616</x:v>
      </x:c>
      <x:c r="I451" s="1" t="n">
        <x:v>1</x:v>
      </x:c>
      <x:c r="J451" s="1" t="n">
        <x:v>1</x:v>
      </x:c>
      <x:c r="K451" s="1" t="str">
        <x:v>中证官方优先</x:v>
      </x:c>
    </x:row>
    <x:row r="452" ht="25" customHeight="1">
      <x:c r="A452" s="1" t="str">
        <x:v>sh000300</x:v>
      </x:c>
      <x:c r="B452" s="1" t="str">
        <x:v>沪深300</x:v>
      </x:c>
      <x:c r="C452" s="1" t="str">
        <x:v>2006-04</x:v>
      </x:c>
      <x:c r="D452" s="1" t="str">
        <x:v>2006-03-31</x:v>
      </x:c>
      <x:c r="E452" s="5" t="n">
        <x:v>1061.09</x:v>
      </x:c>
      <x:c r="F452" s="6" t="str">
        <x:v>2006-04-28</x:v>
      </x:c>
      <x:c r="G452" s="5" t="n">
        <x:v>1172.35</x:v>
      </x:c>
      <x:c r="H452" s="7" t="n">
        <x:f>G452/E452-1</x:f>
        <x:v>0.10485444213026218</x:v>
      </x:c>
      <x:c r="I452" s="1" t="n">
        <x:v>1</x:v>
      </x:c>
      <x:c r="J452" s="1" t="n">
        <x:v>1</x:v>
      </x:c>
      <x:c r="K452" s="1" t="str">
        <x:v>中证官方优先</x:v>
      </x:c>
    </x:row>
    <x:row r="453" ht="25" customHeight="1">
      <x:c r="A453" s="1" t="str">
        <x:v>sh000300</x:v>
      </x:c>
      <x:c r="B453" s="1" t="str">
        <x:v>沪深300</x:v>
      </x:c>
      <x:c r="C453" s="1" t="str">
        <x:v>2006-05</x:v>
      </x:c>
      <x:c r="D453" s="1" t="str">
        <x:v>2006-04-28</x:v>
      </x:c>
      <x:c r="E453" s="5" t="n">
        <x:v>1172.35</x:v>
      </x:c>
      <x:c r="F453" s="6" t="str">
        <x:v>2006-05-31</x:v>
      </x:c>
      <x:c r="G453" s="5" t="n">
        <x:v>1365.45</x:v>
      </x:c>
      <x:c r="H453" s="7" t="n">
        <x:f>G453/E453-1</x:f>
        <x:v>0.16471190344180497</x:v>
      </x:c>
      <x:c r="I453" s="1" t="n">
        <x:v>1</x:v>
      </x:c>
      <x:c r="J453" s="1" t="n">
        <x:v>1</x:v>
      </x:c>
      <x:c r="K453" s="1" t="str">
        <x:v>中证官方优先</x:v>
      </x:c>
    </x:row>
    <x:row r="454" ht="25" customHeight="1">
      <x:c r="A454" s="1" t="str">
        <x:v>sh000300</x:v>
      </x:c>
      <x:c r="B454" s="1" t="str">
        <x:v>沪深300</x:v>
      </x:c>
      <x:c r="C454" s="1" t="str">
        <x:v>2006-06</x:v>
      </x:c>
      <x:c r="D454" s="1" t="str">
        <x:v>2006-05-31</x:v>
      </x:c>
      <x:c r="E454" s="5" t="n">
        <x:v>1365.45</x:v>
      </x:c>
      <x:c r="F454" s="6" t="str">
        <x:v>2006-06-30</x:v>
      </x:c>
      <x:c r="G454" s="5" t="n">
        <x:v>1393.96</x:v>
      </x:c>
      <x:c r="H454" s="7" t="n">
        <x:f>G454/E454-1</x:f>
        <x:v>0.02087956351385989</x:v>
      </x:c>
      <x:c r="I454" s="1" t="n">
        <x:v>1</x:v>
      </x:c>
      <x:c r="J454" s="1" t="n">
        <x:v>1</x:v>
      </x:c>
      <x:c r="K454" s="1" t="str">
        <x:v>中证官方优先</x:v>
      </x:c>
    </x:row>
    <x:row r="455" ht="25" customHeight="1">
      <x:c r="A455" s="1" t="str">
        <x:v>sh000300</x:v>
      </x:c>
      <x:c r="B455" s="1" t="str">
        <x:v>沪深300</x:v>
      </x:c>
      <x:c r="C455" s="1" t="str">
        <x:v>2006-07</x:v>
      </x:c>
      <x:c r="D455" s="1" t="str">
        <x:v>2006-06-30</x:v>
      </x:c>
      <x:c r="E455" s="5" t="n">
        <x:v>1393.96</x:v>
      </x:c>
      <x:c r="F455" s="6" t="str">
        <x:v>2006-07-31</x:v>
      </x:c>
      <x:c r="G455" s="5" t="n">
        <x:v>1294.33</x:v>
      </x:c>
      <x:c r="H455" s="7" t="n">
        <x:f>G455/E455-1</x:f>
        <x:v>-0.0714726391001177</x:v>
      </x:c>
      <x:c r="I455" s="1" t="n">
        <x:v>1</x:v>
      </x:c>
      <x:c r="J455" s="1" t="n">
        <x:v>1</x:v>
      </x:c>
      <x:c r="K455" s="1" t="str">
        <x:v>中证官方优先</x:v>
      </x:c>
    </x:row>
    <x:row r="456" ht="25" customHeight="1">
      <x:c r="A456" s="1" t="str">
        <x:v>sh000300</x:v>
      </x:c>
      <x:c r="B456" s="1" t="str">
        <x:v>沪深300</x:v>
      </x:c>
      <x:c r="C456" s="1" t="str">
        <x:v>2006-08</x:v>
      </x:c>
      <x:c r="D456" s="1" t="str">
        <x:v>2006-07-31</x:v>
      </x:c>
      <x:c r="E456" s="5" t="n">
        <x:v>1294.33</x:v>
      </x:c>
      <x:c r="F456" s="6" t="str">
        <x:v>2006-08-31</x:v>
      </x:c>
      <x:c r="G456" s="5" t="n">
        <x:v>1338.69</x:v>
      </x:c>
      <x:c r="H456" s="7" t="n">
        <x:f>G456/E456-1</x:f>
        <x:v>0.034272558002982345</x:v>
      </x:c>
      <x:c r="I456" s="1" t="n">
        <x:v>1</x:v>
      </x:c>
      <x:c r="J456" s="1" t="n">
        <x:v>1</x:v>
      </x:c>
      <x:c r="K456" s="1" t="str">
        <x:v>中证官方优先</x:v>
      </x:c>
    </x:row>
    <x:row r="457" ht="25" customHeight="1">
      <x:c r="A457" s="1" t="str">
        <x:v>sh000300</x:v>
      </x:c>
      <x:c r="B457" s="1" t="str">
        <x:v>沪深300</x:v>
      </x:c>
      <x:c r="C457" s="1" t="str">
        <x:v>2006-09</x:v>
      </x:c>
      <x:c r="D457" s="1" t="str">
        <x:v>2006-08-31</x:v>
      </x:c>
      <x:c r="E457" s="5" t="n">
        <x:v>1338.69</x:v>
      </x:c>
      <x:c r="F457" s="6" t="str">
        <x:v>2006-09-29</x:v>
      </x:c>
      <x:c r="G457" s="5" t="n">
        <x:v>1403.27</x:v>
      </x:c>
      <x:c r="H457" s="7" t="n">
        <x:f>G457/E457-1</x:f>
        <x:v>0.04824119101509683</x:v>
      </x:c>
      <x:c r="I457" s="1" t="n">
        <x:v>1</x:v>
      </x:c>
      <x:c r="J457" s="1" t="n">
        <x:v>1</x:v>
      </x:c>
      <x:c r="K457" s="1" t="str">
        <x:v>中证官方优先</x:v>
      </x:c>
    </x:row>
    <x:row r="458" ht="25" customHeight="1">
      <x:c r="A458" s="1" t="str">
        <x:v>sh000300</x:v>
      </x:c>
      <x:c r="B458" s="1" t="str">
        <x:v>沪深300</x:v>
      </x:c>
      <x:c r="C458" s="1" t="str">
        <x:v>2006-10</x:v>
      </x:c>
      <x:c r="D458" s="1" t="str">
        <x:v>2006-09-29</x:v>
      </x:c>
      <x:c r="E458" s="5" t="n">
        <x:v>1403.27</x:v>
      </x:c>
      <x:c r="F458" s="6" t="str">
        <x:v>2006-10-31</x:v>
      </x:c>
      <x:c r="G458" s="5" t="n">
        <x:v>1464.47</x:v>
      </x:c>
      <x:c r="H458" s="7" t="n">
        <x:f>G458/E458-1</x:f>
        <x:v>0.0436124195628782</x:v>
      </x:c>
      <x:c r="I458" s="1" t="n">
        <x:v>1</x:v>
      </x:c>
      <x:c r="J458" s="1" t="n">
        <x:v>1</x:v>
      </x:c>
      <x:c r="K458" s="1" t="str">
        <x:v>中证官方优先</x:v>
      </x:c>
    </x:row>
    <x:row r="459" ht="25" customHeight="1">
      <x:c r="A459" s="1" t="str">
        <x:v>sh000300</x:v>
      </x:c>
      <x:c r="B459" s="1" t="str">
        <x:v>沪深300</x:v>
      </x:c>
      <x:c r="C459" s="1" t="str">
        <x:v>2006-11</x:v>
      </x:c>
      <x:c r="D459" s="1" t="str">
        <x:v>2006-10-31</x:v>
      </x:c>
      <x:c r="E459" s="5" t="n">
        <x:v>1464.47</x:v>
      </x:c>
      <x:c r="F459" s="6" t="str">
        <x:v>2006-11-30</x:v>
      </x:c>
      <x:c r="G459" s="5" t="n">
        <x:v>1714.36</x:v>
      </x:c>
      <x:c r="H459" s="7" t="n">
        <x:f>G459/E459-1</x:f>
        <x:v>0.17063511031294598</x:v>
      </x:c>
      <x:c r="I459" s="1" t="n">
        <x:v>1</x:v>
      </x:c>
      <x:c r="J459" s="1" t="n">
        <x:v>1</x:v>
      </x:c>
      <x:c r="K459" s="1" t="str">
        <x:v>中证官方优先</x:v>
      </x:c>
    </x:row>
    <x:row r="460" ht="25" customHeight="1">
      <x:c r="A460" s="1" t="str">
        <x:v>sh000300</x:v>
      </x:c>
      <x:c r="B460" s="1" t="str">
        <x:v>沪深300</x:v>
      </x:c>
      <x:c r="C460" s="1" t="str">
        <x:v>2006-12</x:v>
      </x:c>
      <x:c r="D460" s="1" t="str">
        <x:v>2006-11-30</x:v>
      </x:c>
      <x:c r="E460" s="5" t="n">
        <x:v>1714.36</x:v>
      </x:c>
      <x:c r="F460" s="6" t="str">
        <x:v>2006-12-29</x:v>
      </x:c>
      <x:c r="G460" s="5" t="n">
        <x:v>2041.05</x:v>
      </x:c>
      <x:c r="H460" s="7" t="n">
        <x:f>G460/E460-1</x:f>
        <x:v>0.19056090902727552</x:v>
      </x:c>
      <x:c r="I460" s="1" t="n">
        <x:v>1</x:v>
      </x:c>
      <x:c r="J460" s="1" t="n">
        <x:v>1</x:v>
      </x:c>
      <x:c r="K460" s="1" t="str">
        <x:v>中证官方优先</x:v>
      </x:c>
    </x:row>
    <x:row r="461" ht="25" customHeight="1">
      <x:c r="A461" s="1" t="str">
        <x:v>sh000300</x:v>
      </x:c>
      <x:c r="B461" s="1" t="str">
        <x:v>沪深300</x:v>
      </x:c>
      <x:c r="C461" s="1" t="str">
        <x:v>2007-01</x:v>
      </x:c>
      <x:c r="D461" s="1" t="str">
        <x:v>2006-12-29</x:v>
      </x:c>
      <x:c r="E461" s="5" t="n">
        <x:v>2041.05</x:v>
      </x:c>
      <x:c r="F461" s="6" t="str">
        <x:v>2007-01-31</x:v>
      </x:c>
      <x:c r="G461" s="5" t="n">
        <x:v>2385.34</x:v>
      </x:c>
      <x:c r="H461" s="7" t="n">
        <x:f>G461/E461-1</x:f>
        <x:v>0.16868278582102358</x:v>
      </x:c>
      <x:c r="I461" s="1" t="n">
        <x:v>1</x:v>
      </x:c>
      <x:c r="J461" s="1" t="n">
        <x:v>1</x:v>
      </x:c>
      <x:c r="K461" s="1" t="str">
        <x:v>中证官方优先</x:v>
      </x:c>
    </x:row>
    <x:row r="462" ht="25" customHeight="1">
      <x:c r="A462" s="1" t="str">
        <x:v>sh000300</x:v>
      </x:c>
      <x:c r="B462" s="1" t="str">
        <x:v>沪深300</x:v>
      </x:c>
      <x:c r="C462" s="1" t="str">
        <x:v>2007-02</x:v>
      </x:c>
      <x:c r="D462" s="1" t="str">
        <x:v>2007-01-31</x:v>
      </x:c>
      <x:c r="E462" s="5" t="n">
        <x:v>2385.34</x:v>
      </x:c>
      <x:c r="F462" s="6" t="str">
        <x:v>2007-02-28</x:v>
      </x:c>
      <x:c r="G462" s="5" t="n">
        <x:v>2544.57</x:v>
      </x:c>
      <x:c r="H462" s="7" t="n">
        <x:f>G462/E462-1</x:f>
        <x:v>0.06675358649081464</x:v>
      </x:c>
      <x:c r="I462" s="1" t="n">
        <x:v>1</x:v>
      </x:c>
      <x:c r="J462" s="1" t="n">
        <x:v>1</x:v>
      </x:c>
      <x:c r="K462" s="1" t="str">
        <x:v>中证官方优先</x:v>
      </x:c>
    </x:row>
    <x:row r="463" ht="25" customHeight="1">
      <x:c r="A463" s="1" t="str">
        <x:v>sh000300</x:v>
      </x:c>
      <x:c r="B463" s="1" t="str">
        <x:v>沪深300</x:v>
      </x:c>
      <x:c r="C463" s="1" t="str">
        <x:v>2007-03</x:v>
      </x:c>
      <x:c r="D463" s="1" t="str">
        <x:v>2007-02-28</x:v>
      </x:c>
      <x:c r="E463" s="5" t="n">
        <x:v>2544.57</x:v>
      </x:c>
      <x:c r="F463" s="6" t="str">
        <x:v>2007-03-30</x:v>
      </x:c>
      <x:c r="G463" s="5" t="n">
        <x:v>2781.78</x:v>
      </x:c>
      <x:c r="H463" s="7" t="n">
        <x:f>G463/E463-1</x:f>
        <x:v>0.09322203751517932</x:v>
      </x:c>
      <x:c r="I463" s="1" t="n">
        <x:v>1</x:v>
      </x:c>
      <x:c r="J463" s="1" t="n">
        <x:v>1</x:v>
      </x:c>
      <x:c r="K463" s="1" t="str">
        <x:v>中证官方优先</x:v>
      </x:c>
    </x:row>
    <x:row r="464" ht="25" customHeight="1">
      <x:c r="A464" s="1" t="str">
        <x:v>sh000300</x:v>
      </x:c>
      <x:c r="B464" s="1" t="str">
        <x:v>沪深300</x:v>
      </x:c>
      <x:c r="C464" s="1" t="str">
        <x:v>2007-04</x:v>
      </x:c>
      <x:c r="D464" s="1" t="str">
        <x:v>2007-03-30</x:v>
      </x:c>
      <x:c r="E464" s="5" t="n">
        <x:v>2781.78</x:v>
      </x:c>
      <x:c r="F464" s="6" t="str">
        <x:v>2007-04-30</x:v>
      </x:c>
      <x:c r="G464" s="5" t="n">
        <x:v>3558.71</x:v>
      </x:c>
      <x:c r="H464" s="7" t="n">
        <x:f>G464/E464-1</x:f>
        <x:v>0.2792923955165396</x:v>
      </x:c>
      <x:c r="I464" s="1" t="n">
        <x:v>1</x:v>
      </x:c>
      <x:c r="J464" s="1" t="n">
        <x:v>1</x:v>
      </x:c>
      <x:c r="K464" s="1" t="str">
        <x:v>中证官方优先</x:v>
      </x:c>
    </x:row>
    <x:row r="465" ht="25" customHeight="1">
      <x:c r="A465" s="1" t="str">
        <x:v>sh000300</x:v>
      </x:c>
      <x:c r="B465" s="1" t="str">
        <x:v>沪深300</x:v>
      </x:c>
      <x:c r="C465" s="1" t="str">
        <x:v>2007-05</x:v>
      </x:c>
      <x:c r="D465" s="1" t="str">
        <x:v>2007-04-30</x:v>
      </x:c>
      <x:c r="E465" s="5" t="n">
        <x:v>3558.71</x:v>
      </x:c>
      <x:c r="F465" s="6" t="str">
        <x:v>2007-05-31</x:v>
      </x:c>
      <x:c r="G465" s="5" t="n">
        <x:v>3927.95</x:v>
      </x:c>
      <x:c r="H465" s="7" t="n">
        <x:f>G465/E465-1</x:f>
        <x:v>0.10375669835417889</x:v>
      </x:c>
      <x:c r="I465" s="1" t="n">
        <x:v>1</x:v>
      </x:c>
      <x:c r="J465" s="1" t="n">
        <x:v>1</x:v>
      </x:c>
      <x:c r="K465" s="1" t="str">
        <x:v>中证官方优先</x:v>
      </x:c>
    </x:row>
    <x:row r="466" ht="25" customHeight="1">
      <x:c r="A466" s="1" t="str">
        <x:v>sh000300</x:v>
      </x:c>
      <x:c r="B466" s="1" t="str">
        <x:v>沪深300</x:v>
      </x:c>
      <x:c r="C466" s="1" t="str">
        <x:v>2007-06</x:v>
      </x:c>
      <x:c r="D466" s="1" t="str">
        <x:v>2007-05-31</x:v>
      </x:c>
      <x:c r="E466" s="5" t="n">
        <x:v>3927.95</x:v>
      </x:c>
      <x:c r="F466" s="6" t="str">
        <x:v>2007-06-29</x:v>
      </x:c>
      <x:c r="G466" s="5" t="n">
        <x:v>3764.08</x:v>
      </x:c>
      <x:c r="H466" s="7" t="n">
        <x:f>G466/E466-1</x:f>
        <x:v>-0.04171896281775478</x:v>
      </x:c>
      <x:c r="I466" s="1" t="n">
        <x:v>1</x:v>
      </x:c>
      <x:c r="J466" s="1" t="n">
        <x:v>1</x:v>
      </x:c>
      <x:c r="K466" s="1" t="str">
        <x:v>中证官方优先</x:v>
      </x:c>
    </x:row>
    <x:row r="467" ht="25" customHeight="1">
      <x:c r="A467" s="1" t="str">
        <x:v>sh000300</x:v>
      </x:c>
      <x:c r="B467" s="1" t="str">
        <x:v>沪深300</x:v>
      </x:c>
      <x:c r="C467" s="1" t="str">
        <x:v>2007-07</x:v>
      </x:c>
      <x:c r="D467" s="1" t="str">
        <x:v>2007-06-29</x:v>
      </x:c>
      <x:c r="E467" s="5" t="n">
        <x:v>3764.08</x:v>
      </x:c>
      <x:c r="F467" s="6" t="str">
        <x:v>2007-07-31</x:v>
      </x:c>
      <x:c r="G467" s="5" t="n">
        <x:v>4460.56</x:v>
      </x:c>
      <x:c r="H467" s="7" t="n">
        <x:f>G467/E467-1</x:f>
        <x:v>0.18503326177977097</x:v>
      </x:c>
      <x:c r="I467" s="1" t="n">
        <x:v>1</x:v>
      </x:c>
      <x:c r="J467" s="1" t="n">
        <x:v>1</x:v>
      </x:c>
      <x:c r="K467" s="1" t="str">
        <x:v>中证官方优先</x:v>
      </x:c>
    </x:row>
    <x:row r="468" ht="25" customHeight="1">
      <x:c r="A468" s="1" t="str">
        <x:v>sh000300</x:v>
      </x:c>
      <x:c r="B468" s="1" t="str">
        <x:v>沪深300</x:v>
      </x:c>
      <x:c r="C468" s="1" t="str">
        <x:v>2007-08</x:v>
      </x:c>
      <x:c r="D468" s="1" t="str">
        <x:v>2007-07-31</x:v>
      </x:c>
      <x:c r="E468" s="5" t="n">
        <x:v>4460.56</x:v>
      </x:c>
      <x:c r="F468" s="6" t="str">
        <x:v>2007-08-31</x:v>
      </x:c>
      <x:c r="G468" s="5" t="n">
        <x:v>5296.81</x:v>
      </x:c>
      <x:c r="H468" s="7" t="n">
        <x:f>G468/E468-1</x:f>
        <x:v>0.18747646035475363</x:v>
      </x:c>
      <x:c r="I468" s="1" t="n">
        <x:v>1</x:v>
      </x:c>
      <x:c r="J468" s="1" t="n">
        <x:v>1</x:v>
      </x:c>
      <x:c r="K468" s="1" t="str">
        <x:v>中证官方优先</x:v>
      </x:c>
    </x:row>
    <x:row r="469" ht="25" customHeight="1">
      <x:c r="A469" s="1" t="str">
        <x:v>sh000300</x:v>
      </x:c>
      <x:c r="B469" s="1" t="str">
        <x:v>沪深300</x:v>
      </x:c>
      <x:c r="C469" s="1" t="str">
        <x:v>2007-09</x:v>
      </x:c>
      <x:c r="D469" s="1" t="str">
        <x:v>2007-08-31</x:v>
      </x:c>
      <x:c r="E469" s="5" t="n">
        <x:v>5296.81</x:v>
      </x:c>
      <x:c r="F469" s="6" t="str">
        <x:v>2007-09-28</x:v>
      </x:c>
      <x:c r="G469" s="5" t="n">
        <x:v>5580.81</x:v>
      </x:c>
      <x:c r="H469" s="7" t="n">
        <x:f>G469/E469-1</x:f>
        <x:v>0.053617177131141114</x:v>
      </x:c>
      <x:c r="I469" s="1" t="n">
        <x:v>1</x:v>
      </x:c>
      <x:c r="J469" s="1" t="n">
        <x:v>1</x:v>
      </x:c>
      <x:c r="K469" s="1" t="str">
        <x:v>中证官方优先</x:v>
      </x:c>
    </x:row>
    <x:row r="470" ht="25" customHeight="1">
      <x:c r="A470" s="1" t="str">
        <x:v>sh000300</x:v>
      </x:c>
      <x:c r="B470" s="1" t="str">
        <x:v>沪深300</x:v>
      </x:c>
      <x:c r="C470" s="1" t="str">
        <x:v>2007-10</x:v>
      </x:c>
      <x:c r="D470" s="1" t="str">
        <x:v>2007-09-28</x:v>
      </x:c>
      <x:c r="E470" s="5" t="n">
        <x:v>5580.81</x:v>
      </x:c>
      <x:c r="F470" s="6" t="str">
        <x:v>2007-10-31</x:v>
      </x:c>
      <x:c r="G470" s="5" t="n">
        <x:v>5688.54</x:v>
      </x:c>
      <x:c r="H470" s="7" t="n">
        <x:f>G470/E470-1</x:f>
        <x:v>0.019303649470238105</x:v>
      </x:c>
      <x:c r="I470" s="1" t="n">
        <x:v>1</x:v>
      </x:c>
      <x:c r="J470" s="1" t="n">
        <x:v>1</x:v>
      </x:c>
      <x:c r="K470" s="1" t="str">
        <x:v>中证官方优先</x:v>
      </x:c>
    </x:row>
    <x:row r="471" ht="25" customHeight="1">
      <x:c r="A471" s="1" t="str">
        <x:v>sh000300</x:v>
      </x:c>
      <x:c r="B471" s="1" t="str">
        <x:v>沪深300</x:v>
      </x:c>
      <x:c r="C471" s="1" t="str">
        <x:v>2007-11</x:v>
      </x:c>
      <x:c r="D471" s="1" t="str">
        <x:v>2007-10-31</x:v>
      </x:c>
      <x:c r="E471" s="5" t="n">
        <x:v>5688.54</x:v>
      </x:c>
      <x:c r="F471" s="6" t="str">
        <x:v>2007-11-30</x:v>
      </x:c>
      <x:c r="G471" s="5" t="n">
        <x:v>4737.41</x:v>
      </x:c>
      <x:c r="H471" s="7" t="n">
        <x:f>G471/E471-1</x:f>
        <x:v>-0.1672010744408935</x:v>
      </x:c>
      <x:c r="I471" s="1" t="n">
        <x:v>1</x:v>
      </x:c>
      <x:c r="J471" s="1" t="n">
        <x:v>1</x:v>
      </x:c>
      <x:c r="K471" s="1" t="str">
        <x:v>中证官方优先</x:v>
      </x:c>
    </x:row>
    <x:row r="472" ht="25" customHeight="1">
      <x:c r="A472" s="1" t="str">
        <x:v>sh000300</x:v>
      </x:c>
      <x:c r="B472" s="1" t="str">
        <x:v>沪深300</x:v>
      </x:c>
      <x:c r="C472" s="1" t="str">
        <x:v>2007-12</x:v>
      </x:c>
      <x:c r="D472" s="1" t="str">
        <x:v>2007-11-30</x:v>
      </x:c>
      <x:c r="E472" s="5" t="n">
        <x:v>4737.41</x:v>
      </x:c>
      <x:c r="F472" s="6" t="str">
        <x:v>2007-12-28</x:v>
      </x:c>
      <x:c r="G472" s="5" t="n">
        <x:v>5338.28</x:v>
      </x:c>
      <x:c r="H472" s="7" t="n">
        <x:f>G472/E472-1</x:f>
        <x:v>0.12683512721085988</x:v>
      </x:c>
      <x:c r="I472" s="1" t="n">
        <x:v>1</x:v>
      </x:c>
      <x:c r="J472" s="1" t="n">
        <x:v>1</x:v>
      </x:c>
      <x:c r="K472" s="1" t="str">
        <x:v>中证官方优先</x:v>
      </x:c>
    </x:row>
    <x:row r="473" ht="25" customHeight="1">
      <x:c r="A473" s="1" t="str">
        <x:v>sh000300</x:v>
      </x:c>
      <x:c r="B473" s="1" t="str">
        <x:v>沪深300</x:v>
      </x:c>
      <x:c r="C473" s="1" t="str">
        <x:v>2008-01</x:v>
      </x:c>
      <x:c r="D473" s="1" t="str">
        <x:v>2007-12-28</x:v>
      </x:c>
      <x:c r="E473" s="5" t="n">
        <x:v>5338.28</x:v>
      </x:c>
      <x:c r="F473" s="6" t="str">
        <x:v>2008-01-31</x:v>
      </x:c>
      <x:c r="G473" s="5" t="n">
        <x:v>4620.4</x:v>
      </x:c>
      <x:c r="H473" s="7" t="n">
        <x:f>G473/E473-1</x:f>
        <x:v>-0.1344777718665937</x:v>
      </x:c>
      <x:c r="I473" s="1" t="n">
        <x:v>1</x:v>
      </x:c>
      <x:c r="J473" s="1" t="n">
        <x:v>1</x:v>
      </x:c>
      <x:c r="K473" s="1" t="str">
        <x:v>中证官方优先</x:v>
      </x:c>
    </x:row>
    <x:row r="474" ht="25" customHeight="1">
      <x:c r="A474" s="1" t="str">
        <x:v>sh000300</x:v>
      </x:c>
      <x:c r="B474" s="1" t="str">
        <x:v>沪深300</x:v>
      </x:c>
      <x:c r="C474" s="1" t="str">
        <x:v>2008-02</x:v>
      </x:c>
      <x:c r="D474" s="1" t="str">
        <x:v>2008-01-31</x:v>
      </x:c>
      <x:c r="E474" s="5" t="n">
        <x:v>4620.4</x:v>
      </x:c>
      <x:c r="F474" s="6" t="str">
        <x:v>2008-02-29</x:v>
      </x:c>
      <x:c r="G474" s="5" t="n">
        <x:v>4674.55</x:v>
      </x:c>
      <x:c r="H474" s="7" t="n">
        <x:f>G474/E474-1</x:f>
        <x:v>0.01171976452255219</x:v>
      </x:c>
      <x:c r="I474" s="1" t="n">
        <x:v>1</x:v>
      </x:c>
      <x:c r="J474" s="1" t="n">
        <x:v>1</x:v>
      </x:c>
      <x:c r="K474" s="1" t="str">
        <x:v>中证官方优先</x:v>
      </x:c>
    </x:row>
    <x:row r="475" ht="25" customHeight="1">
      <x:c r="A475" s="1" t="str">
        <x:v>sh000300</x:v>
      </x:c>
      <x:c r="B475" s="1" t="str">
        <x:v>沪深300</x:v>
      </x:c>
      <x:c r="C475" s="1" t="str">
        <x:v>2008-03</x:v>
      </x:c>
      <x:c r="D475" s="1" t="str">
        <x:v>2008-02-29</x:v>
      </x:c>
      <x:c r="E475" s="5" t="n">
        <x:v>4674.55</x:v>
      </x:c>
      <x:c r="F475" s="6" t="str">
        <x:v>2008-03-31</x:v>
      </x:c>
      <x:c r="G475" s="5" t="n">
        <x:v>3790.53</x:v>
      </x:c>
      <x:c r="H475" s="7" t="n">
        <x:f>G475/E475-1</x:f>
        <x:v>-0.189113390593747</x:v>
      </x:c>
      <x:c r="I475" s="1" t="n">
        <x:v>1</x:v>
      </x:c>
      <x:c r="J475" s="1" t="n">
        <x:v>1</x:v>
      </x:c>
      <x:c r="K475" s="1" t="str">
        <x:v>中证官方优先</x:v>
      </x:c>
    </x:row>
    <x:row r="476" ht="25" customHeight="1">
      <x:c r="A476" s="1" t="str">
        <x:v>sh000300</x:v>
      </x:c>
      <x:c r="B476" s="1" t="str">
        <x:v>沪深300</x:v>
      </x:c>
      <x:c r="C476" s="1" t="str">
        <x:v>2008-04</x:v>
      </x:c>
      <x:c r="D476" s="1" t="str">
        <x:v>2008-03-31</x:v>
      </x:c>
      <x:c r="E476" s="5" t="n">
        <x:v>3790.53</x:v>
      </x:c>
      <x:c r="F476" s="6" t="str">
        <x:v>2008-04-30</x:v>
      </x:c>
      <x:c r="G476" s="5" t="n">
        <x:v>3959.12</x:v>
      </x:c>
      <x:c r="H476" s="7" t="n">
        <x:f>G476/E476-1</x:f>
        <x:v>0.04447662991718837</x:v>
      </x:c>
      <x:c r="I476" s="1" t="n">
        <x:v>1</x:v>
      </x:c>
      <x:c r="J476" s="1" t="n">
        <x:v>1</x:v>
      </x:c>
      <x:c r="K476" s="1" t="str">
        <x:v>中证官方优先</x:v>
      </x:c>
    </x:row>
    <x:row r="477" ht="25" customHeight="1">
      <x:c r="A477" s="1" t="str">
        <x:v>sh000300</x:v>
      </x:c>
      <x:c r="B477" s="1" t="str">
        <x:v>沪深300</x:v>
      </x:c>
      <x:c r="C477" s="1" t="str">
        <x:v>2008-05</x:v>
      </x:c>
      <x:c r="D477" s="1" t="str">
        <x:v>2008-04-30</x:v>
      </x:c>
      <x:c r="E477" s="5" t="n">
        <x:v>3959.12</x:v>
      </x:c>
      <x:c r="F477" s="6" t="str">
        <x:v>2008-05-30</x:v>
      </x:c>
      <x:c r="G477" s="5" t="n">
        <x:v>3611.33</x:v>
      </x:c>
      <x:c r="H477" s="7" t="n">
        <x:f>G477/E477-1</x:f>
        <x:v>-0.08784527874881287</x:v>
      </x:c>
      <x:c r="I477" s="1" t="n">
        <x:v>1</x:v>
      </x:c>
      <x:c r="J477" s="1" t="n">
        <x:v>1</x:v>
      </x:c>
      <x:c r="K477" s="1" t="str">
        <x:v>中证官方优先</x:v>
      </x:c>
    </x:row>
    <x:row r="478" ht="25" customHeight="1">
      <x:c r="A478" s="1" t="str">
        <x:v>sh000300</x:v>
      </x:c>
      <x:c r="B478" s="1" t="str">
        <x:v>沪深300</x:v>
      </x:c>
      <x:c r="C478" s="1" t="str">
        <x:v>2008-06</x:v>
      </x:c>
      <x:c r="D478" s="1" t="str">
        <x:v>2008-05-30</x:v>
      </x:c>
      <x:c r="E478" s="5" t="n">
        <x:v>3611.33</x:v>
      </x:c>
      <x:c r="F478" s="6" t="str">
        <x:v>2008-06-30</x:v>
      </x:c>
      <x:c r="G478" s="5" t="n">
        <x:v>2791.82</x:v>
      </x:c>
      <x:c r="H478" s="7" t="n">
        <x:f>G478/E478-1</x:f>
        <x:v>-0.22692747547302516</x:v>
      </x:c>
      <x:c r="I478" s="1" t="n">
        <x:v>1</x:v>
      </x:c>
      <x:c r="J478" s="1" t="n">
        <x:v>1</x:v>
      </x:c>
      <x:c r="K478" s="1" t="str">
        <x:v>中证官方优先</x:v>
      </x:c>
    </x:row>
    <x:row r="479" ht="25" customHeight="1">
      <x:c r="A479" s="1" t="str">
        <x:v>sh000300</x:v>
      </x:c>
      <x:c r="B479" s="1" t="str">
        <x:v>沪深300</x:v>
      </x:c>
      <x:c r="C479" s="1" t="str">
        <x:v>2008-07</x:v>
      </x:c>
      <x:c r="D479" s="1" t="str">
        <x:v>2008-06-30</x:v>
      </x:c>
      <x:c r="E479" s="5" t="n">
        <x:v>2791.82</x:v>
      </x:c>
      <x:c r="F479" s="6" t="str">
        <x:v>2008-07-31</x:v>
      </x:c>
      <x:c r="G479" s="5" t="n">
        <x:v>2805.21</x:v>
      </x:c>
      <x:c r="H479" s="7" t="n">
        <x:f>G479/E479-1</x:f>
        <x:v>0.00479615447987336</x:v>
      </x:c>
      <x:c r="I479" s="1" t="n">
        <x:v>1</x:v>
      </x:c>
      <x:c r="J479" s="1" t="n">
        <x:v>1</x:v>
      </x:c>
      <x:c r="K479" s="1" t="str">
        <x:v>中证官方优先</x:v>
      </x:c>
    </x:row>
    <x:row r="480" ht="25" customHeight="1">
      <x:c r="A480" s="1" t="str">
        <x:v>sh000300</x:v>
      </x:c>
      <x:c r="B480" s="1" t="str">
        <x:v>沪深300</x:v>
      </x:c>
      <x:c r="C480" s="1" t="str">
        <x:v>2008-08</x:v>
      </x:c>
      <x:c r="D480" s="1" t="str">
        <x:v>2008-07-31</x:v>
      </x:c>
      <x:c r="E480" s="5" t="n">
        <x:v>2805.21</x:v>
      </x:c>
      <x:c r="F480" s="6" t="str">
        <x:v>2008-08-29</x:v>
      </x:c>
      <x:c r="G480" s="5" t="n">
        <x:v>2391.64</x:v>
      </x:c>
      <x:c r="H480" s="7" t="n">
        <x:f>G480/E480-1</x:f>
        <x:v>-0.14742924772120458</x:v>
      </x:c>
      <x:c r="I480" s="1" t="n">
        <x:v>1</x:v>
      </x:c>
      <x:c r="J480" s="1" t="n">
        <x:v>1</x:v>
      </x:c>
      <x:c r="K480" s="1" t="str">
        <x:v>中证官方优先</x:v>
      </x:c>
    </x:row>
    <x:row r="481" ht="25" customHeight="1">
      <x:c r="A481" s="1" t="str">
        <x:v>sh000300</x:v>
      </x:c>
      <x:c r="B481" s="1" t="str">
        <x:v>沪深300</x:v>
      </x:c>
      <x:c r="C481" s="1" t="str">
        <x:v>2008-09</x:v>
      </x:c>
      <x:c r="D481" s="1" t="str">
        <x:v>2008-08-29</x:v>
      </x:c>
      <x:c r="E481" s="5" t="n">
        <x:v>2391.64</x:v>
      </x:c>
      <x:c r="F481" s="6" t="str">
        <x:v>2008-09-26</x:v>
      </x:c>
      <x:c r="G481" s="5" t="n">
        <x:v>2243.66</x:v>
      </x:c>
      <x:c r="H481" s="7" t="n">
        <x:f>G481/E481-1</x:f>
        <x:v>-0.06187386061447375</x:v>
      </x:c>
      <x:c r="I481" s="1" t="n">
        <x:v>1</x:v>
      </x:c>
      <x:c r="J481" s="1" t="n">
        <x:v>1</x:v>
      </x:c>
      <x:c r="K481" s="1" t="str">
        <x:v>中证官方优先</x:v>
      </x:c>
    </x:row>
    <x:row r="482" ht="25" customHeight="1">
      <x:c r="A482" s="1" t="str">
        <x:v>sh000300</x:v>
      </x:c>
      <x:c r="B482" s="1" t="str">
        <x:v>沪深300</x:v>
      </x:c>
      <x:c r="C482" s="1" t="str">
        <x:v>2008-10</x:v>
      </x:c>
      <x:c r="D482" s="1" t="str">
        <x:v>2008-09-26</x:v>
      </x:c>
      <x:c r="E482" s="5" t="n">
        <x:v>2243.66</x:v>
      </x:c>
      <x:c r="F482" s="6" t="str">
        <x:v>2008-10-31</x:v>
      </x:c>
      <x:c r="G482" s="5" t="n">
        <x:v>1663.66</x:v>
      </x:c>
      <x:c r="H482" s="7" t="n">
        <x:f>G482/E482-1</x:f>
        <x:v>-0.25850619077756876</x:v>
      </x:c>
      <x:c r="I482" s="1" t="n">
        <x:v>1</x:v>
      </x:c>
      <x:c r="J482" s="1" t="n">
        <x:v>1</x:v>
      </x:c>
      <x:c r="K482" s="1" t="str">
        <x:v>中证官方优先</x:v>
      </x:c>
    </x:row>
    <x:row r="483" ht="25" customHeight="1">
      <x:c r="A483" s="1" t="str">
        <x:v>sh000300</x:v>
      </x:c>
      <x:c r="B483" s="1" t="str">
        <x:v>沪深300</x:v>
      </x:c>
      <x:c r="C483" s="1" t="str">
        <x:v>2008-11</x:v>
      </x:c>
      <x:c r="D483" s="1" t="str">
        <x:v>2008-10-31</x:v>
      </x:c>
      <x:c r="E483" s="5" t="n">
        <x:v>1663.66</x:v>
      </x:c>
      <x:c r="F483" s="6" t="str">
        <x:v>2008-11-28</x:v>
      </x:c>
      <x:c r="G483" s="5" t="n">
        <x:v>1829.92</x:v>
      </x:c>
      <x:c r="H483" s="7" t="n">
        <x:f>G483/E483-1</x:f>
        <x:v>0.09993628505824503</x:v>
      </x:c>
      <x:c r="I483" s="1" t="n">
        <x:v>1</x:v>
      </x:c>
      <x:c r="J483" s="1" t="n">
        <x:v>1</x:v>
      </x:c>
      <x:c r="K483" s="1" t="str">
        <x:v>中证官方优先</x:v>
      </x:c>
    </x:row>
    <x:row r="484" ht="25" customHeight="1">
      <x:c r="A484" s="1" t="str">
        <x:v>sh000300</x:v>
      </x:c>
      <x:c r="B484" s="1" t="str">
        <x:v>沪深300</x:v>
      </x:c>
      <x:c r="C484" s="1" t="str">
        <x:v>2008-12</x:v>
      </x:c>
      <x:c r="D484" s="1" t="str">
        <x:v>2008-11-28</x:v>
      </x:c>
      <x:c r="E484" s="5" t="n">
        <x:v>1829.92</x:v>
      </x:c>
      <x:c r="F484" s="6" t="str">
        <x:v>2008-12-31</x:v>
      </x:c>
      <x:c r="G484" s="5" t="n">
        <x:v>1817.72</x:v>
      </x:c>
      <x:c r="H484" s="7" t="n">
        <x:f>G484/E484-1</x:f>
        <x:v>-0.006666958118387689</x:v>
      </x:c>
      <x:c r="I484" s="1" t="n">
        <x:v>1</x:v>
      </x:c>
      <x:c r="J484" s="1" t="n">
        <x:v>1</x:v>
      </x:c>
      <x:c r="K484" s="1" t="str">
        <x:v>中证官方优先</x:v>
      </x:c>
    </x:row>
    <x:row r="485" ht="25" customHeight="1">
      <x:c r="A485" s="1" t="str">
        <x:v>sh000300</x:v>
      </x:c>
      <x:c r="B485" s="1" t="str">
        <x:v>沪深300</x:v>
      </x:c>
      <x:c r="C485" s="1" t="str">
        <x:v>2009-01</x:v>
      </x:c>
      <x:c r="D485" s="1" t="str">
        <x:v>2008-12-31</x:v>
      </x:c>
      <x:c r="E485" s="5" t="n">
        <x:v>1817.72</x:v>
      </x:c>
      <x:c r="F485" s="6" t="str">
        <x:v>2009-01-23</x:v>
      </x:c>
      <x:c r="G485" s="5" t="n">
        <x:v>2032.68</x:v>
      </x:c>
      <x:c r="H485" s="7" t="n">
        <x:f>G485/E485-1</x:f>
        <x:v>0.11825803754153563</x:v>
      </x:c>
      <x:c r="I485" s="1" t="n">
        <x:v>1</x:v>
      </x:c>
      <x:c r="J485" s="1" t="n">
        <x:v>1</x:v>
      </x:c>
      <x:c r="K485" s="1" t="str">
        <x:v>中证官方优先</x:v>
      </x:c>
    </x:row>
    <x:row r="486" ht="25" customHeight="1">
      <x:c r="A486" s="1" t="str">
        <x:v>sh000300</x:v>
      </x:c>
      <x:c r="B486" s="1" t="str">
        <x:v>沪深300</x:v>
      </x:c>
      <x:c r="C486" s="1" t="str">
        <x:v>2009-02</x:v>
      </x:c>
      <x:c r="D486" s="1" t="str">
        <x:v>2009-01-23</x:v>
      </x:c>
      <x:c r="E486" s="5" t="n">
        <x:v>2032.68</x:v>
      </x:c>
      <x:c r="F486" s="6" t="str">
        <x:v>2009-02-27</x:v>
      </x:c>
      <x:c r="G486" s="5" t="n">
        <x:v>2140.49</x:v>
      </x:c>
      <x:c r="H486" s="7" t="n">
        <x:f>G486/E486-1</x:f>
        <x:v>0.05303835330696405</x:v>
      </x:c>
      <x:c r="I486" s="1" t="n">
        <x:v>1</x:v>
      </x:c>
      <x:c r="J486" s="1" t="n">
        <x:v>1</x:v>
      </x:c>
      <x:c r="K486" s="1" t="str">
        <x:v>中证官方优先</x:v>
      </x:c>
    </x:row>
    <x:row r="487" ht="25" customHeight="1">
      <x:c r="A487" s="1" t="str">
        <x:v>sh000300</x:v>
      </x:c>
      <x:c r="B487" s="1" t="str">
        <x:v>沪深300</x:v>
      </x:c>
      <x:c r="C487" s="1" t="str">
        <x:v>2009-03</x:v>
      </x:c>
      <x:c r="D487" s="1" t="str">
        <x:v>2009-02-27</x:v>
      </x:c>
      <x:c r="E487" s="5" t="n">
        <x:v>2140.49</x:v>
      </x:c>
      <x:c r="F487" s="6" t="str">
        <x:v>2009-03-31</x:v>
      </x:c>
      <x:c r="G487" s="5" t="n">
        <x:v>2507.79</x:v>
      </x:c>
      <x:c r="H487" s="7" t="n">
        <x:f>G487/E487-1</x:f>
        <x:v>0.17159622329466617</x:v>
      </x:c>
      <x:c r="I487" s="1" t="n">
        <x:v>1</x:v>
      </x:c>
      <x:c r="J487" s="1" t="n">
        <x:v>1</x:v>
      </x:c>
      <x:c r="K487" s="1" t="str">
        <x:v>中证官方优先</x:v>
      </x:c>
    </x:row>
    <x:row r="488" ht="25" customHeight="1">
      <x:c r="A488" s="1" t="str">
        <x:v>sh000300</x:v>
      </x:c>
      <x:c r="B488" s="1" t="str">
        <x:v>沪深300</x:v>
      </x:c>
      <x:c r="C488" s="1" t="str">
        <x:v>2009-04</x:v>
      </x:c>
      <x:c r="D488" s="1" t="str">
        <x:v>2009-03-31</x:v>
      </x:c>
      <x:c r="E488" s="5" t="n">
        <x:v>2507.79</x:v>
      </x:c>
      <x:c r="F488" s="6" t="str">
        <x:v>2009-04-30</x:v>
      </x:c>
      <x:c r="G488" s="5" t="n">
        <x:v>2622.93</x:v>
      </x:c>
      <x:c r="H488" s="7" t="n">
        <x:f>G488/E488-1</x:f>
        <x:v>0.045912935293624946</x:v>
      </x:c>
      <x:c r="I488" s="1" t="n">
        <x:v>1</x:v>
      </x:c>
      <x:c r="J488" s="1" t="n">
        <x:v>1</x:v>
      </x:c>
      <x:c r="K488" s="1" t="str">
        <x:v>中证官方优先</x:v>
      </x:c>
    </x:row>
    <x:row r="489" ht="25" customHeight="1">
      <x:c r="A489" s="1" t="str">
        <x:v>sh000300</x:v>
      </x:c>
      <x:c r="B489" s="1" t="str">
        <x:v>沪深300</x:v>
      </x:c>
      <x:c r="C489" s="1" t="str">
        <x:v>2009-05</x:v>
      </x:c>
      <x:c r="D489" s="1" t="str">
        <x:v>2009-04-30</x:v>
      </x:c>
      <x:c r="E489" s="5" t="n">
        <x:v>2622.93</x:v>
      </x:c>
      <x:c r="F489" s="6" t="str">
        <x:v>2009-05-27</x:v>
      </x:c>
      <x:c r="G489" s="5" t="n">
        <x:v>2759.71</x:v>
      </x:c>
      <x:c r="H489" s="7" t="n">
        <x:f>G489/E489-1</x:f>
        <x:v>0.05214778892307459</x:v>
      </x:c>
      <x:c r="I489" s="1" t="n">
        <x:v>1</x:v>
      </x:c>
      <x:c r="J489" s="1" t="n">
        <x:v>1</x:v>
      </x:c>
      <x:c r="K489" s="1" t="str">
        <x:v>中证官方优先</x:v>
      </x:c>
    </x:row>
    <x:row r="490" ht="25" customHeight="1">
      <x:c r="A490" s="1" t="str">
        <x:v>sh000300</x:v>
      </x:c>
      <x:c r="B490" s="1" t="str">
        <x:v>沪深300</x:v>
      </x:c>
      <x:c r="C490" s="1" t="str">
        <x:v>2009-06</x:v>
      </x:c>
      <x:c r="D490" s="1" t="str">
        <x:v>2009-05-27</x:v>
      </x:c>
      <x:c r="E490" s="5" t="n">
        <x:v>2759.71</x:v>
      </x:c>
      <x:c r="F490" s="6" t="str">
        <x:v>2009-06-30</x:v>
      </x:c>
      <x:c r="G490" s="5" t="n">
        <x:v>3166.47</x:v>
      </x:c>
      <x:c r="H490" s="7" t="n">
        <x:f>G490/E490-1</x:f>
        <x:v>0.1473922984661431</x:v>
      </x:c>
      <x:c r="I490" s="1" t="n">
        <x:v>1</x:v>
      </x:c>
      <x:c r="J490" s="1" t="n">
        <x:v>1</x:v>
      </x:c>
      <x:c r="K490" s="1" t="str">
        <x:v>中证官方优先</x:v>
      </x:c>
    </x:row>
    <x:row r="491" ht="25" customHeight="1">
      <x:c r="A491" s="1" t="str">
        <x:v>sh000300</x:v>
      </x:c>
      <x:c r="B491" s="1" t="str">
        <x:v>沪深300</x:v>
      </x:c>
      <x:c r="C491" s="1" t="str">
        <x:v>2009-07</x:v>
      </x:c>
      <x:c r="D491" s="1" t="str">
        <x:v>2009-06-30</x:v>
      </x:c>
      <x:c r="E491" s="5" t="n">
        <x:v>3166.47</x:v>
      </x:c>
      <x:c r="F491" s="6" t="str">
        <x:v>2009-07-31</x:v>
      </x:c>
      <x:c r="G491" s="5" t="n">
        <x:v>3734.62</x:v>
      </x:c>
      <x:c r="H491" s="7" t="n">
        <x:f>G491/E491-1</x:f>
        <x:v>0.17942693283056532</x:v>
      </x:c>
      <x:c r="I491" s="1" t="n">
        <x:v>1</x:v>
      </x:c>
      <x:c r="J491" s="1" t="n">
        <x:v>1</x:v>
      </x:c>
      <x:c r="K491" s="1" t="str">
        <x:v>中证官方优先</x:v>
      </x:c>
    </x:row>
    <x:row r="492" ht="25" customHeight="1">
      <x:c r="A492" s="1" t="str">
        <x:v>sh000300</x:v>
      </x:c>
      <x:c r="B492" s="1" t="str">
        <x:v>沪深300</x:v>
      </x:c>
      <x:c r="C492" s="1" t="str">
        <x:v>2009-08</x:v>
      </x:c>
      <x:c r="D492" s="1" t="str">
        <x:v>2009-07-31</x:v>
      </x:c>
      <x:c r="E492" s="5" t="n">
        <x:v>3734.62</x:v>
      </x:c>
      <x:c r="F492" s="6" t="str">
        <x:v>2009-08-31</x:v>
      </x:c>
      <x:c r="G492" s="5" t="n">
        <x:v>2830.27</x:v>
      </x:c>
      <x:c r="H492" s="7" t="n">
        <x:f>G492/E492-1</x:f>
        <x:v>-0.24215315078910304</x:v>
      </x:c>
      <x:c r="I492" s="1" t="n">
        <x:v>1</x:v>
      </x:c>
      <x:c r="J492" s="1" t="n">
        <x:v>1</x:v>
      </x:c>
      <x:c r="K492" s="1" t="str">
        <x:v>中证官方优先</x:v>
      </x:c>
    </x:row>
    <x:row r="493" ht="25" customHeight="1">
      <x:c r="A493" s="1" t="str">
        <x:v>sh000300</x:v>
      </x:c>
      <x:c r="B493" s="1" t="str">
        <x:v>沪深300</x:v>
      </x:c>
      <x:c r="C493" s="1" t="str">
        <x:v>2009-09</x:v>
      </x:c>
      <x:c r="D493" s="1" t="str">
        <x:v>2009-08-31</x:v>
      </x:c>
      <x:c r="E493" s="5" t="n">
        <x:v>2830.27</x:v>
      </x:c>
      <x:c r="F493" s="6" t="str">
        <x:v>2009-09-30</x:v>
      </x:c>
      <x:c r="G493" s="5" t="n">
        <x:v>3004.81</x:v>
      </x:c>
      <x:c r="H493" s="7" t="n">
        <x:f>G493/E493-1</x:f>
        <x:v>0.0616690280432608</x:v>
      </x:c>
      <x:c r="I493" s="1" t="n">
        <x:v>1</x:v>
      </x:c>
      <x:c r="J493" s="1" t="n">
        <x:v>1</x:v>
      </x:c>
      <x:c r="K493" s="1" t="str">
        <x:v>中证官方优先</x:v>
      </x:c>
    </x:row>
    <x:row r="494" ht="25" customHeight="1">
      <x:c r="A494" s="1" t="str">
        <x:v>sh000300</x:v>
      </x:c>
      <x:c r="B494" s="1" t="str">
        <x:v>沪深300</x:v>
      </x:c>
      <x:c r="C494" s="1" t="str">
        <x:v>2009-10</x:v>
      </x:c>
      <x:c r="D494" s="1" t="str">
        <x:v>2009-09-30</x:v>
      </x:c>
      <x:c r="E494" s="5" t="n">
        <x:v>3004.81</x:v>
      </x:c>
      <x:c r="F494" s="6" t="str">
        <x:v>2009-10-30</x:v>
      </x:c>
      <x:c r="G494" s="5" t="n">
        <x:v>3280.37</x:v>
      </x:c>
      <x:c r="H494" s="7" t="n">
        <x:f>G494/E494-1</x:f>
        <x:v>0.0917062975695635</x:v>
      </x:c>
      <x:c r="I494" s="1" t="n">
        <x:v>1</x:v>
      </x:c>
      <x:c r="J494" s="1" t="n">
        <x:v>1</x:v>
      </x:c>
      <x:c r="K494" s="1" t="str">
        <x:v>中证官方优先</x:v>
      </x:c>
    </x:row>
    <x:row r="495" ht="25" customHeight="1">
      <x:c r="A495" s="1" t="str">
        <x:v>sh000300</x:v>
      </x:c>
      <x:c r="B495" s="1" t="str">
        <x:v>沪深300</x:v>
      </x:c>
      <x:c r="C495" s="1" t="str">
        <x:v>2009-11</x:v>
      </x:c>
      <x:c r="D495" s="1" t="str">
        <x:v>2009-10-30</x:v>
      </x:c>
      <x:c r="E495" s="5" t="n">
        <x:v>3280.37</x:v>
      </x:c>
      <x:c r="F495" s="6" t="str">
        <x:v>2009-11-30</x:v>
      </x:c>
      <x:c r="G495" s="5" t="n">
        <x:v>3511.67</x:v>
      </x:c>
      <x:c r="H495" s="7" t="n">
        <x:f>G495/E495-1</x:f>
        <x:v>0.07051033877276036</x:v>
      </x:c>
      <x:c r="I495" s="1" t="n">
        <x:v>1</x:v>
      </x:c>
      <x:c r="J495" s="1" t="n">
        <x:v>1</x:v>
      </x:c>
      <x:c r="K495" s="1" t="str">
        <x:v>中证官方优先</x:v>
      </x:c>
    </x:row>
    <x:row r="496" ht="25" customHeight="1">
      <x:c r="A496" s="1" t="str">
        <x:v>sh000300</x:v>
      </x:c>
      <x:c r="B496" s="1" t="str">
        <x:v>沪深300</x:v>
      </x:c>
      <x:c r="C496" s="1" t="str">
        <x:v>2009-12</x:v>
      </x:c>
      <x:c r="D496" s="1" t="str">
        <x:v>2009-11-30</x:v>
      </x:c>
      <x:c r="E496" s="5" t="n">
        <x:v>3511.67</x:v>
      </x:c>
      <x:c r="F496" s="6" t="str">
        <x:v>2009-12-31</x:v>
      </x:c>
      <x:c r="G496" s="5" t="n">
        <x:v>3575.68</x:v>
      </x:c>
      <x:c r="H496" s="7" t="n">
        <x:f>G496/E496-1</x:f>
        <x:v>0.018227794752923687</x:v>
      </x:c>
      <x:c r="I496" s="1" t="n">
        <x:v>1</x:v>
      </x:c>
      <x:c r="J496" s="1" t="n">
        <x:v>1</x:v>
      </x:c>
      <x:c r="K496" s="1" t="str">
        <x:v>中证官方优先</x:v>
      </x:c>
    </x:row>
    <x:row r="497" ht="25" customHeight="1">
      <x:c r="A497" s="1" t="str">
        <x:v>sh000300</x:v>
      </x:c>
      <x:c r="B497" s="1" t="str">
        <x:v>沪深300</x:v>
      </x:c>
      <x:c r="C497" s="1" t="str">
        <x:v>2010-01</x:v>
      </x:c>
      <x:c r="D497" s="1" t="str">
        <x:v>2009-12-31</x:v>
      </x:c>
      <x:c r="E497" s="5" t="n">
        <x:v>3575.68</x:v>
      </x:c>
      <x:c r="F497" s="6" t="str">
        <x:v>2010-01-29</x:v>
      </x:c>
      <x:c r="G497" s="5" t="n">
        <x:v>3204.16</x:v>
      </x:c>
      <x:c r="H497" s="7" t="n">
        <x:f>G497/E497-1</x:f>
        <x:v>-0.10390191516019331</x:v>
      </x:c>
      <x:c r="I497" s="1" t="n">
        <x:v>1</x:v>
      </x:c>
      <x:c r="J497" s="1" t="n">
        <x:v>1</x:v>
      </x:c>
      <x:c r="K497" s="1" t="str">
        <x:v>中证官方优先</x:v>
      </x:c>
    </x:row>
    <x:row r="498" ht="25" customHeight="1">
      <x:c r="A498" s="1" t="str">
        <x:v>sh000300</x:v>
      </x:c>
      <x:c r="B498" s="1" t="str">
        <x:v>沪深300</x:v>
      </x:c>
      <x:c r="C498" s="1" t="str">
        <x:v>2010-02</x:v>
      </x:c>
      <x:c r="D498" s="1" t="str">
        <x:v>2010-01-29</x:v>
      </x:c>
      <x:c r="E498" s="5" t="n">
        <x:v>3204.16</x:v>
      </x:c>
      <x:c r="F498" s="6" t="str">
        <x:v>2010-02-26</x:v>
      </x:c>
      <x:c r="G498" s="5" t="n">
        <x:v>3281.67</x:v>
      </x:c>
      <x:c r="H498" s="7" t="n">
        <x:f>G498/E498-1</x:f>
        <x:v>0.024190427444322538</x:v>
      </x:c>
      <x:c r="I498" s="1" t="n">
        <x:v>1</x:v>
      </x:c>
      <x:c r="J498" s="1" t="n">
        <x:v>1</x:v>
      </x:c>
      <x:c r="K498" s="1" t="str">
        <x:v>中证官方优先</x:v>
      </x:c>
    </x:row>
    <x:row r="499" ht="25" customHeight="1">
      <x:c r="A499" s="1" t="str">
        <x:v>sh000300</x:v>
      </x:c>
      <x:c r="B499" s="1" t="str">
        <x:v>沪深300</x:v>
      </x:c>
      <x:c r="C499" s="1" t="str">
        <x:v>2010-03</x:v>
      </x:c>
      <x:c r="D499" s="1" t="str">
        <x:v>2010-02-26</x:v>
      </x:c>
      <x:c r="E499" s="5" t="n">
        <x:v>3281.67</x:v>
      </x:c>
      <x:c r="F499" s="6" t="str">
        <x:v>2010-03-31</x:v>
      </x:c>
      <x:c r="G499" s="5" t="n">
        <x:v>3345.61</x:v>
      </x:c>
      <x:c r="H499" s="7" t="n">
        <x:f>G499/E499-1</x:f>
        <x:v>0.01948398224074932</x:v>
      </x:c>
      <x:c r="I499" s="1" t="n">
        <x:v>1</x:v>
      </x:c>
      <x:c r="J499" s="1" t="n">
        <x:v>1</x:v>
      </x:c>
      <x:c r="K499" s="1" t="str">
        <x:v>中证官方优先</x:v>
      </x:c>
    </x:row>
    <x:row r="500" ht="25" customHeight="1">
      <x:c r="A500" s="1" t="str">
        <x:v>sh000300</x:v>
      </x:c>
      <x:c r="B500" s="1" t="str">
        <x:v>沪深300</x:v>
      </x:c>
      <x:c r="C500" s="1" t="str">
        <x:v>2010-04</x:v>
      </x:c>
      <x:c r="D500" s="1" t="str">
        <x:v>2010-03-31</x:v>
      </x:c>
      <x:c r="E500" s="5" t="n">
        <x:v>3345.61</x:v>
      </x:c>
      <x:c r="F500" s="6" t="str">
        <x:v>2010-04-30</x:v>
      </x:c>
      <x:c r="G500" s="5" t="n">
        <x:v>3067.37</x:v>
      </x:c>
      <x:c r="H500" s="7" t="n">
        <x:f>G500/E500-1</x:f>
        <x:v>-0.08316570072423268</x:v>
      </x:c>
      <x:c r="I500" s="1" t="n">
        <x:v>1</x:v>
      </x:c>
      <x:c r="J500" s="1" t="n">
        <x:v>1</x:v>
      </x:c>
      <x:c r="K500" s="1" t="str">
        <x:v>中证官方优先</x:v>
      </x:c>
    </x:row>
    <x:row r="501" ht="25" customHeight="1">
      <x:c r="A501" s="1" t="str">
        <x:v>sh000300</x:v>
      </x:c>
      <x:c r="B501" s="1" t="str">
        <x:v>沪深300</x:v>
      </x:c>
      <x:c r="C501" s="1" t="str">
        <x:v>2010-05</x:v>
      </x:c>
      <x:c r="D501" s="1" t="str">
        <x:v>2010-04-30</x:v>
      </x:c>
      <x:c r="E501" s="5" t="n">
        <x:v>3067.37</x:v>
      </x:c>
      <x:c r="F501" s="6" t="str">
        <x:v>2010-05-31</x:v>
      </x:c>
      <x:c r="G501" s="5" t="n">
        <x:v>2773.26</x:v>
      </x:c>
      <x:c r="H501" s="7" t="n">
        <x:f>G501/E501-1</x:f>
        <x:v>-0.0958834441231412</x:v>
      </x:c>
      <x:c r="I501" s="1" t="n">
        <x:v>1</x:v>
      </x:c>
      <x:c r="J501" s="1" t="n">
        <x:v>1</x:v>
      </x:c>
      <x:c r="K501" s="1" t="str">
        <x:v>中证官方优先</x:v>
      </x:c>
    </x:row>
    <x:row r="502" ht="25" customHeight="1">
      <x:c r="A502" s="1" t="str">
        <x:v>sh000300</x:v>
      </x:c>
      <x:c r="B502" s="1" t="str">
        <x:v>沪深300</x:v>
      </x:c>
      <x:c r="C502" s="1" t="str">
        <x:v>2010-06</x:v>
      </x:c>
      <x:c r="D502" s="1" t="str">
        <x:v>2010-05-31</x:v>
      </x:c>
      <x:c r="E502" s="5" t="n">
        <x:v>2773.26</x:v>
      </x:c>
      <x:c r="F502" s="6" t="str">
        <x:v>2010-06-30</x:v>
      </x:c>
      <x:c r="G502" s="5" t="n">
        <x:v>2563.07</x:v>
      </x:c>
      <x:c r="H502" s="7" t="n">
        <x:f>G502/E502-1</x:f>
        <x:v>-0.07579166756813283</x:v>
      </x:c>
      <x:c r="I502" s="1" t="n">
        <x:v>1</x:v>
      </x:c>
      <x:c r="J502" s="1" t="n">
        <x:v>1</x:v>
      </x:c>
      <x:c r="K502" s="1" t="str">
        <x:v>中证官方优先</x:v>
      </x:c>
    </x:row>
    <x:row r="503" ht="25" customHeight="1">
      <x:c r="A503" s="1" t="str">
        <x:v>sh000300</x:v>
      </x:c>
      <x:c r="B503" s="1" t="str">
        <x:v>沪深300</x:v>
      </x:c>
      <x:c r="C503" s="1" t="str">
        <x:v>2010-07</x:v>
      </x:c>
      <x:c r="D503" s="1" t="str">
        <x:v>2010-06-30</x:v>
      </x:c>
      <x:c r="E503" s="5" t="n">
        <x:v>2563.07</x:v>
      </x:c>
      <x:c r="F503" s="6" t="str">
        <x:v>2010-07-30</x:v>
      </x:c>
      <x:c r="G503" s="5" t="n">
        <x:v>2868.85</x:v>
      </x:c>
      <x:c r="H503" s="7" t="n">
        <x:f>G503/E503-1</x:f>
        <x:v>0.11930224301326131</x:v>
      </x:c>
      <x:c r="I503" s="1" t="n">
        <x:v>1</x:v>
      </x:c>
      <x:c r="J503" s="1" t="n">
        <x:v>1</x:v>
      </x:c>
      <x:c r="K503" s="1" t="str">
        <x:v>中证官方优先</x:v>
      </x:c>
    </x:row>
    <x:row r="504" ht="25" customHeight="1">
      <x:c r="A504" s="1" t="str">
        <x:v>sh000300</x:v>
      </x:c>
      <x:c r="B504" s="1" t="str">
        <x:v>沪深300</x:v>
      </x:c>
      <x:c r="C504" s="1" t="str">
        <x:v>2010-08</x:v>
      </x:c>
      <x:c r="D504" s="1" t="str">
        <x:v>2010-07-30</x:v>
      </x:c>
      <x:c r="E504" s="5" t="n">
        <x:v>2868.85</x:v>
      </x:c>
      <x:c r="F504" s="6" t="str">
        <x:v>2010-08-31</x:v>
      </x:c>
      <x:c r="G504" s="5" t="n">
        <x:v>2903.19</x:v>
      </x:c>
      <x:c r="H504" s="7" t="n">
        <x:f>G504/E504-1</x:f>
        <x:v>0.011969953117102694</x:v>
      </x:c>
      <x:c r="I504" s="1" t="n">
        <x:v>1</x:v>
      </x:c>
      <x:c r="J504" s="1" t="n">
        <x:v>1</x:v>
      </x:c>
      <x:c r="K504" s="1" t="str">
        <x:v>中证官方优先</x:v>
      </x:c>
    </x:row>
    <x:row r="505" ht="25" customHeight="1">
      <x:c r="A505" s="1" t="str">
        <x:v>sh000300</x:v>
      </x:c>
      <x:c r="B505" s="1" t="str">
        <x:v>沪深300</x:v>
      </x:c>
      <x:c r="C505" s="1" t="str">
        <x:v>2010-09</x:v>
      </x:c>
      <x:c r="D505" s="1" t="str">
        <x:v>2010-08-31</x:v>
      </x:c>
      <x:c r="E505" s="5" t="n">
        <x:v>2903.19</x:v>
      </x:c>
      <x:c r="F505" s="6" t="str">
        <x:v>2010-09-30</x:v>
      </x:c>
      <x:c r="G505" s="5" t="n">
        <x:v>2935.57</x:v>
      </x:c>
      <x:c r="H505" s="7" t="n">
        <x:f>G505/E505-1</x:f>
        <x:v>0.011153248667844728</x:v>
      </x:c>
      <x:c r="I505" s="1" t="n">
        <x:v>1</x:v>
      </x:c>
      <x:c r="J505" s="1" t="n">
        <x:v>1</x:v>
      </x:c>
      <x:c r="K505" s="1" t="str">
        <x:v>中证官方优先</x:v>
      </x:c>
    </x:row>
    <x:row r="506" ht="25" customHeight="1">
      <x:c r="A506" s="1" t="str">
        <x:v>sh000300</x:v>
      </x:c>
      <x:c r="B506" s="1" t="str">
        <x:v>沪深300</x:v>
      </x:c>
      <x:c r="C506" s="1" t="str">
        <x:v>2010-10</x:v>
      </x:c>
      <x:c r="D506" s="1" t="str">
        <x:v>2010-09-30</x:v>
      </x:c>
      <x:c r="E506" s="5" t="n">
        <x:v>2935.57</x:v>
      </x:c>
      <x:c r="F506" s="6" t="str">
        <x:v>2010-10-29</x:v>
      </x:c>
      <x:c r="G506" s="5" t="n">
        <x:v>3379.98</x:v>
      </x:c>
      <x:c r="H506" s="7" t="n">
        <x:f>G506/E506-1</x:f>
        <x:v>0.15138797575939256</x:v>
      </x:c>
      <x:c r="I506" s="1" t="n">
        <x:v>1</x:v>
      </x:c>
      <x:c r="J506" s="1" t="n">
        <x:v>1</x:v>
      </x:c>
      <x:c r="K506" s="1" t="str">
        <x:v>中证官方优先</x:v>
      </x:c>
    </x:row>
    <x:row r="507" ht="25" customHeight="1">
      <x:c r="A507" s="1" t="str">
        <x:v>sh000300</x:v>
      </x:c>
      <x:c r="B507" s="1" t="str">
        <x:v>沪深300</x:v>
      </x:c>
      <x:c r="C507" s="1" t="str">
        <x:v>2010-11</x:v>
      </x:c>
      <x:c r="D507" s="1" t="str">
        <x:v>2010-10-29</x:v>
      </x:c>
      <x:c r="E507" s="5" t="n">
        <x:v>3379.98</x:v>
      </x:c>
      <x:c r="F507" s="6" t="str">
        <x:v>2010-11-30</x:v>
      </x:c>
      <x:c r="G507" s="5" t="n">
        <x:v>3136.99</x:v>
      </x:c>
      <x:c r="H507" s="7" t="n">
        <x:f>G507/E507-1</x:f>
        <x:v>-0.07189095793466238</x:v>
      </x:c>
      <x:c r="I507" s="1" t="n">
        <x:v>1</x:v>
      </x:c>
      <x:c r="J507" s="1" t="n">
        <x:v>1</x:v>
      </x:c>
      <x:c r="K507" s="1" t="str">
        <x:v>中证官方优先</x:v>
      </x:c>
    </x:row>
    <x:row r="508" ht="25" customHeight="1">
      <x:c r="A508" s="1" t="str">
        <x:v>sh000300</x:v>
      </x:c>
      <x:c r="B508" s="1" t="str">
        <x:v>沪深300</x:v>
      </x:c>
      <x:c r="C508" s="1" t="str">
        <x:v>2010-12</x:v>
      </x:c>
      <x:c r="D508" s="1" t="str">
        <x:v>2010-11-30</x:v>
      </x:c>
      <x:c r="E508" s="5" t="n">
        <x:v>3136.99</x:v>
      </x:c>
      <x:c r="F508" s="6" t="str">
        <x:v>2010-12-31</x:v>
      </x:c>
      <x:c r="G508" s="5" t="n">
        <x:v>3128.26</x:v>
      </x:c>
      <x:c r="H508" s="7" t="n">
        <x:f>G508/E508-1</x:f>
        <x:v>-0.0027829224830170363</x:v>
      </x:c>
      <x:c r="I508" s="1" t="n">
        <x:v>1</x:v>
      </x:c>
      <x:c r="J508" s="1" t="n">
        <x:v>1</x:v>
      </x:c>
      <x:c r="K508" s="1" t="str">
        <x:v>中证官方优先</x:v>
      </x:c>
    </x:row>
    <x:row r="509" ht="25" customHeight="1">
      <x:c r="A509" s="1" t="str">
        <x:v>sh000300</x:v>
      </x:c>
      <x:c r="B509" s="1" t="str">
        <x:v>沪深300</x:v>
      </x:c>
      <x:c r="C509" s="1" t="str">
        <x:v>2011-01</x:v>
      </x:c>
      <x:c r="D509" s="1" t="str">
        <x:v>2010-12-31</x:v>
      </x:c>
      <x:c r="E509" s="5" t="n">
        <x:v>3128.26</x:v>
      </x:c>
      <x:c r="F509" s="6" t="str">
        <x:v>2011-01-31</x:v>
      </x:c>
      <x:c r="G509" s="5" t="n">
        <x:v>3076.51</x:v>
      </x:c>
      <x:c r="H509" s="7" t="n">
        <x:f>G509/E509-1</x:f>
        <x:v>-0.016542742610908268</x:v>
      </x:c>
      <x:c r="I509" s="1" t="n">
        <x:v>1</x:v>
      </x:c>
      <x:c r="J509" s="1" t="n">
        <x:v>1</x:v>
      </x:c>
      <x:c r="K509" s="1" t="str">
        <x:v>中证官方优先</x:v>
      </x:c>
    </x:row>
    <x:row r="510" ht="25" customHeight="1">
      <x:c r="A510" s="1" t="str">
        <x:v>sh000300</x:v>
      </x:c>
      <x:c r="B510" s="1" t="str">
        <x:v>沪深300</x:v>
      </x:c>
      <x:c r="C510" s="1" t="str">
        <x:v>2011-02</x:v>
      </x:c>
      <x:c r="D510" s="1" t="str">
        <x:v>2011-01-31</x:v>
      </x:c>
      <x:c r="E510" s="5" t="n">
        <x:v>3076.51</x:v>
      </x:c>
      <x:c r="F510" s="6" t="str">
        <x:v>2011-02-28</x:v>
      </x:c>
      <x:c r="G510" s="5" t="n">
        <x:v>3239.56</x:v>
      </x:c>
      <x:c r="H510" s="7" t="n">
        <x:f>G510/E510-1</x:f>
        <x:v>0.05299836503050526</x:v>
      </x:c>
      <x:c r="I510" s="1" t="n">
        <x:v>1</x:v>
      </x:c>
      <x:c r="J510" s="1" t="n">
        <x:v>1</x:v>
      </x:c>
      <x:c r="K510" s="1" t="str">
        <x:v>中证官方优先</x:v>
      </x:c>
    </x:row>
    <x:row r="511" ht="25" customHeight="1">
      <x:c r="A511" s="1" t="str">
        <x:v>sh000300</x:v>
      </x:c>
      <x:c r="B511" s="1" t="str">
        <x:v>沪深300</x:v>
      </x:c>
      <x:c r="C511" s="1" t="str">
        <x:v>2011-03</x:v>
      </x:c>
      <x:c r="D511" s="1" t="str">
        <x:v>2011-02-28</x:v>
      </x:c>
      <x:c r="E511" s="5" t="n">
        <x:v>3239.56</x:v>
      </x:c>
      <x:c r="F511" s="6" t="str">
        <x:v>2011-03-31</x:v>
      </x:c>
      <x:c r="G511" s="5" t="n">
        <x:v>3223.29</x:v>
      </x:c>
      <x:c r="H511" s="7" t="n">
        <x:f>G511/E511-1</x:f>
        <x:v>-0.005022286977243828</x:v>
      </x:c>
      <x:c r="I511" s="1" t="n">
        <x:v>1</x:v>
      </x:c>
      <x:c r="J511" s="1" t="n">
        <x:v>1</x:v>
      </x:c>
      <x:c r="K511" s="1" t="str">
        <x:v>中证官方优先</x:v>
      </x:c>
    </x:row>
    <x:row r="512" ht="25" customHeight="1">
      <x:c r="A512" s="1" t="str">
        <x:v>sh000300</x:v>
      </x:c>
      <x:c r="B512" s="1" t="str">
        <x:v>沪深300</x:v>
      </x:c>
      <x:c r="C512" s="1" t="str">
        <x:v>2011-04</x:v>
      </x:c>
      <x:c r="D512" s="1" t="str">
        <x:v>2011-03-31</x:v>
      </x:c>
      <x:c r="E512" s="5" t="n">
        <x:v>3223.29</x:v>
      </x:c>
      <x:c r="F512" s="6" t="str">
        <x:v>2011-04-29</x:v>
      </x:c>
      <x:c r="G512" s="5" t="n">
        <x:v>3192.72</x:v>
      </x:c>
      <x:c r="H512" s="7" t="n">
        <x:f>G512/E512-1</x:f>
        <x:v>-0.00948409854527521</x:v>
      </x:c>
      <x:c r="I512" s="1" t="n">
        <x:v>1</x:v>
      </x:c>
      <x:c r="J512" s="1" t="n">
        <x:v>1</x:v>
      </x:c>
      <x:c r="K512" s="1" t="str">
        <x:v>中证官方优先</x:v>
      </x:c>
    </x:row>
    <x:row r="513" ht="25" customHeight="1">
      <x:c r="A513" s="1" t="str">
        <x:v>sh000300</x:v>
      </x:c>
      <x:c r="B513" s="1" t="str">
        <x:v>沪深300</x:v>
      </x:c>
      <x:c r="C513" s="1" t="str">
        <x:v>2011-05</x:v>
      </x:c>
      <x:c r="D513" s="1" t="str">
        <x:v>2011-04-29</x:v>
      </x:c>
      <x:c r="E513" s="5" t="n">
        <x:v>3192.72</x:v>
      </x:c>
      <x:c r="F513" s="6" t="str">
        <x:v>2011-05-31</x:v>
      </x:c>
      <x:c r="G513" s="5" t="n">
        <x:v>3001.56</x:v>
      </x:c>
      <x:c r="H513" s="7" t="n">
        <x:f>G513/E513-1</x:f>
        <x:v>-0.059873712696384196</x:v>
      </x:c>
      <x:c r="I513" s="1" t="n">
        <x:v>1</x:v>
      </x:c>
      <x:c r="J513" s="1" t="n">
        <x:v>1</x:v>
      </x:c>
      <x:c r="K513" s="1" t="str">
        <x:v>中证官方优先</x:v>
      </x:c>
    </x:row>
    <x:row r="514" ht="25" customHeight="1">
      <x:c r="A514" s="1" t="str">
        <x:v>sh000300</x:v>
      </x:c>
      <x:c r="B514" s="1" t="str">
        <x:v>沪深300</x:v>
      </x:c>
      <x:c r="C514" s="1" t="str">
        <x:v>2011-06</x:v>
      </x:c>
      <x:c r="D514" s="1" t="str">
        <x:v>2011-05-31</x:v>
      </x:c>
      <x:c r="E514" s="5" t="n">
        <x:v>3001.56</x:v>
      </x:c>
      <x:c r="F514" s="6" t="str">
        <x:v>2011-06-30</x:v>
      </x:c>
      <x:c r="G514" s="5" t="n">
        <x:v>3044.09</x:v>
      </x:c>
      <x:c r="H514" s="7" t="n">
        <x:f>G514/E514-1</x:f>
        <x:v>0.01416929863137839</x:v>
      </x:c>
      <x:c r="I514" s="1" t="n">
        <x:v>1</x:v>
      </x:c>
      <x:c r="J514" s="1" t="n">
        <x:v>1</x:v>
      </x:c>
      <x:c r="K514" s="1" t="str">
        <x:v>中证官方优先</x:v>
      </x:c>
    </x:row>
    <x:row r="515" ht="25" customHeight="1">
      <x:c r="A515" s="1" t="str">
        <x:v>sh000300</x:v>
      </x:c>
      <x:c r="B515" s="1" t="str">
        <x:v>沪深300</x:v>
      </x:c>
      <x:c r="C515" s="1" t="str">
        <x:v>2011-07</x:v>
      </x:c>
      <x:c r="D515" s="1" t="str">
        <x:v>2011-06-30</x:v>
      </x:c>
      <x:c r="E515" s="5" t="n">
        <x:v>3044.09</x:v>
      </x:c>
      <x:c r="F515" s="6" t="str">
        <x:v>2011-07-29</x:v>
      </x:c>
      <x:c r="G515" s="5" t="n">
        <x:v>2972.08</x:v>
      </x:c>
      <x:c r="H515" s="7" t="n">
        <x:f>G515/E515-1</x:f>
        <x:v>-0.023655673780998643</x:v>
      </x:c>
      <x:c r="I515" s="1" t="n">
        <x:v>1</x:v>
      </x:c>
      <x:c r="J515" s="1" t="n">
        <x:v>1</x:v>
      </x:c>
      <x:c r="K515" s="1" t="str">
        <x:v>中证官方优先</x:v>
      </x:c>
    </x:row>
    <x:row r="516" ht="25" customHeight="1">
      <x:c r="A516" s="1" t="str">
        <x:v>sh000300</x:v>
      </x:c>
      <x:c r="B516" s="1" t="str">
        <x:v>沪深300</x:v>
      </x:c>
      <x:c r="C516" s="1" t="str">
        <x:v>2011-08</x:v>
      </x:c>
      <x:c r="D516" s="1" t="str">
        <x:v>2011-07-29</x:v>
      </x:c>
      <x:c r="E516" s="5" t="n">
        <x:v>2972.08</x:v>
      </x:c>
      <x:c r="F516" s="6" t="str">
        <x:v>2011-08-31</x:v>
      </x:c>
      <x:c r="G516" s="5" t="n">
        <x:v>2846.78</x:v>
      </x:c>
      <x:c r="H516" s="7" t="n">
        <x:f>G516/E516-1</x:f>
        <x:v>-0.04215902667492122</x:v>
      </x:c>
      <x:c r="I516" s="1" t="n">
        <x:v>1</x:v>
      </x:c>
      <x:c r="J516" s="1" t="n">
        <x:v>1</x:v>
      </x:c>
      <x:c r="K516" s="1" t="str">
        <x:v>中证官方优先</x:v>
      </x:c>
    </x:row>
    <x:row r="517" ht="25" customHeight="1">
      <x:c r="A517" s="1" t="str">
        <x:v>sh000300</x:v>
      </x:c>
      <x:c r="B517" s="1" t="str">
        <x:v>沪深300</x:v>
      </x:c>
      <x:c r="C517" s="1" t="str">
        <x:v>2011-09</x:v>
      </x:c>
      <x:c r="D517" s="1" t="str">
        <x:v>2011-08-31</x:v>
      </x:c>
      <x:c r="E517" s="5" t="n">
        <x:v>2846.78</x:v>
      </x:c>
      <x:c r="F517" s="6" t="str">
        <x:v>2011-09-30</x:v>
      </x:c>
      <x:c r="G517" s="5" t="n">
        <x:v>2581.35</x:v>
      </x:c>
      <x:c r="H517" s="7" t="n">
        <x:f>G517/E517-1</x:f>
        <x:v>-0.0932386766803196</x:v>
      </x:c>
      <x:c r="I517" s="1" t="n">
        <x:v>1</x:v>
      </x:c>
      <x:c r="J517" s="1" t="n">
        <x:v>1</x:v>
      </x:c>
      <x:c r="K517" s="1" t="str">
        <x:v>中证官方优先</x:v>
      </x:c>
    </x:row>
    <x:row r="518" ht="25" customHeight="1">
      <x:c r="A518" s="1" t="str">
        <x:v>sh000300</x:v>
      </x:c>
      <x:c r="B518" s="1" t="str">
        <x:v>沪深300</x:v>
      </x:c>
      <x:c r="C518" s="1" t="str">
        <x:v>2011-10</x:v>
      </x:c>
      <x:c r="D518" s="1" t="str">
        <x:v>2011-09-30</x:v>
      </x:c>
      <x:c r="E518" s="5" t="n">
        <x:v>2581.35</x:v>
      </x:c>
      <x:c r="F518" s="6" t="str">
        <x:v>2011-10-31</x:v>
      </x:c>
      <x:c r="G518" s="5" t="n">
        <x:v>2695.31</x:v>
      </x:c>
      <x:c r="H518" s="7" t="n">
        <x:f>G518/E518-1</x:f>
        <x:v>0.044147442229840905</x:v>
      </x:c>
      <x:c r="I518" s="1" t="n">
        <x:v>1</x:v>
      </x:c>
      <x:c r="J518" s="1" t="n">
        <x:v>1</x:v>
      </x:c>
      <x:c r="K518" s="1" t="str">
        <x:v>中证官方优先</x:v>
      </x:c>
    </x:row>
    <x:row r="519" ht="25" customHeight="1">
      <x:c r="A519" s="1" t="str">
        <x:v>sh000300</x:v>
      </x:c>
      <x:c r="B519" s="1" t="str">
        <x:v>沪深300</x:v>
      </x:c>
      <x:c r="C519" s="1" t="str">
        <x:v>2011-11</x:v>
      </x:c>
      <x:c r="D519" s="1" t="str">
        <x:v>2011-10-31</x:v>
      </x:c>
      <x:c r="E519" s="5" t="n">
        <x:v>2695.31</x:v>
      </x:c>
      <x:c r="F519" s="6" t="str">
        <x:v>2011-11-30</x:v>
      </x:c>
      <x:c r="G519" s="5" t="n">
        <x:v>2521.52</x:v>
      </x:c>
      <x:c r="H519" s="7" t="n">
        <x:f>G519/E519-1</x:f>
        <x:v>-0.06447866850195338</x:v>
      </x:c>
      <x:c r="I519" s="1" t="n">
        <x:v>1</x:v>
      </x:c>
      <x:c r="J519" s="1" t="n">
        <x:v>1</x:v>
      </x:c>
      <x:c r="K519" s="1" t="str">
        <x:v>中证官方优先</x:v>
      </x:c>
    </x:row>
    <x:row r="520" ht="25" customHeight="1">
      <x:c r="A520" s="1" t="str">
        <x:v>sh000300</x:v>
      </x:c>
      <x:c r="B520" s="1" t="str">
        <x:v>沪深300</x:v>
      </x:c>
      <x:c r="C520" s="1" t="str">
        <x:v>2011-12</x:v>
      </x:c>
      <x:c r="D520" s="1" t="str">
        <x:v>2011-11-30</x:v>
      </x:c>
      <x:c r="E520" s="5" t="n">
        <x:v>2521.52</x:v>
      </x:c>
      <x:c r="F520" s="6" t="str">
        <x:v>2011-12-30</x:v>
      </x:c>
      <x:c r="G520" s="5" t="n">
        <x:v>2345.74</x:v>
      </x:c>
      <x:c r="H520" s="7" t="n">
        <x:f>G520/E520-1</x:f>
        <x:v>-0.06971191979440983</x:v>
      </x:c>
      <x:c r="I520" s="1" t="n">
        <x:v>1</x:v>
      </x:c>
      <x:c r="J520" s="1" t="n">
        <x:v>1</x:v>
      </x:c>
      <x:c r="K520" s="1" t="str">
        <x:v>中证官方优先</x:v>
      </x:c>
    </x:row>
    <x:row r="521" ht="25" customHeight="1">
      <x:c r="A521" s="1" t="str">
        <x:v>sh000300</x:v>
      </x:c>
      <x:c r="B521" s="1" t="str">
        <x:v>沪深300</x:v>
      </x:c>
      <x:c r="C521" s="1" t="str">
        <x:v>2012-01</x:v>
      </x:c>
      <x:c r="D521" s="1" t="str">
        <x:v>2011-12-30</x:v>
      </x:c>
      <x:c r="E521" s="5" t="n">
        <x:v>2345.74</x:v>
      </x:c>
      <x:c r="F521" s="6" t="str">
        <x:v>2012-01-31</x:v>
      </x:c>
      <x:c r="G521" s="5" t="n">
        <x:v>2464.26</x:v>
      </x:c>
      <x:c r="H521" s="7" t="n">
        <x:f>G521/E521-1</x:f>
        <x:v>0.05052563370194507</x:v>
      </x:c>
      <x:c r="I521" s="1" t="n">
        <x:v>1</x:v>
      </x:c>
      <x:c r="J521" s="1" t="n">
        <x:v>1</x:v>
      </x:c>
      <x:c r="K521" s="1" t="str">
        <x:v>中证官方优先</x:v>
      </x:c>
    </x:row>
    <x:row r="522" ht="25" customHeight="1">
      <x:c r="A522" s="1" t="str">
        <x:v>sh000300</x:v>
      </x:c>
      <x:c r="B522" s="1" t="str">
        <x:v>沪深300</x:v>
      </x:c>
      <x:c r="C522" s="1" t="str">
        <x:v>2012-02</x:v>
      </x:c>
      <x:c r="D522" s="1" t="str">
        <x:v>2012-01-31</x:v>
      </x:c>
      <x:c r="E522" s="5" t="n">
        <x:v>2464.26</x:v>
      </x:c>
      <x:c r="F522" s="6" t="str">
        <x:v>2012-02-29</x:v>
      </x:c>
      <x:c r="G522" s="5" t="n">
        <x:v>2634.14</x:v>
      </x:c>
      <x:c r="H522" s="7" t="n">
        <x:f>G522/E522-1</x:f>
        <x:v>0.06893753094235167</x:v>
      </x:c>
      <x:c r="I522" s="1" t="n">
        <x:v>1</x:v>
      </x:c>
      <x:c r="J522" s="1" t="n">
        <x:v>1</x:v>
      </x:c>
      <x:c r="K522" s="1" t="str">
        <x:v>中证官方优先</x:v>
      </x:c>
    </x:row>
    <x:row r="523" ht="25" customHeight="1">
      <x:c r="A523" s="1" t="str">
        <x:v>sh000300</x:v>
      </x:c>
      <x:c r="B523" s="1" t="str">
        <x:v>沪深300</x:v>
      </x:c>
      <x:c r="C523" s="1" t="str">
        <x:v>2012-03</x:v>
      </x:c>
      <x:c r="D523" s="1" t="str">
        <x:v>2012-02-29</x:v>
      </x:c>
      <x:c r="E523" s="5" t="n">
        <x:v>2634.14</x:v>
      </x:c>
      <x:c r="F523" s="6" t="str">
        <x:v>2012-03-30</x:v>
      </x:c>
      <x:c r="G523" s="5" t="n">
        <x:v>2454.9</x:v>
      </x:c>
      <x:c r="H523" s="7" t="n">
        <x:f>G523/E523-1</x:f>
        <x:v>-0.06804497862680037</x:v>
      </x:c>
      <x:c r="I523" s="1" t="n">
        <x:v>1</x:v>
      </x:c>
      <x:c r="J523" s="1" t="n">
        <x:v>1</x:v>
      </x:c>
      <x:c r="K523" s="1" t="str">
        <x:v>中证官方优先</x:v>
      </x:c>
    </x:row>
    <x:row r="524" ht="25" customHeight="1">
      <x:c r="A524" s="1" t="str">
        <x:v>sh000300</x:v>
      </x:c>
      <x:c r="B524" s="1" t="str">
        <x:v>沪深300</x:v>
      </x:c>
      <x:c r="C524" s="1" t="str">
        <x:v>2012-04</x:v>
      </x:c>
      <x:c r="D524" s="1" t="str">
        <x:v>2012-03-30</x:v>
      </x:c>
      <x:c r="E524" s="5" t="n">
        <x:v>2454.9</x:v>
      </x:c>
      <x:c r="F524" s="6" t="str">
        <x:v>2012-04-27</x:v>
      </x:c>
      <x:c r="G524" s="5" t="n">
        <x:v>2626.16</x:v>
      </x:c>
      <x:c r="H524" s="7" t="n">
        <x:f>G524/E524-1</x:f>
        <x:v>0.069762515784757</x:v>
      </x:c>
      <x:c r="I524" s="1" t="n">
        <x:v>1</x:v>
      </x:c>
      <x:c r="J524" s="1" t="n">
        <x:v>1</x:v>
      </x:c>
      <x:c r="K524" s="1" t="str">
        <x:v>中证官方优先</x:v>
      </x:c>
    </x:row>
    <x:row r="525" ht="25" customHeight="1">
      <x:c r="A525" s="1" t="str">
        <x:v>sh000300</x:v>
      </x:c>
      <x:c r="B525" s="1" t="str">
        <x:v>沪深300</x:v>
      </x:c>
      <x:c r="C525" s="1" t="str">
        <x:v>2012-05</x:v>
      </x:c>
      <x:c r="D525" s="1" t="str">
        <x:v>2012-04-27</x:v>
      </x:c>
      <x:c r="E525" s="5" t="n">
        <x:v>2626.16</x:v>
      </x:c>
      <x:c r="F525" s="6" t="str">
        <x:v>2012-05-31</x:v>
      </x:c>
      <x:c r="G525" s="5" t="n">
        <x:v>2632.04</x:v>
      </x:c>
      <x:c r="H525" s="7" t="n">
        <x:f>G525/E525-1</x:f>
        <x:v>0.0022390105705669683</x:v>
      </x:c>
      <x:c r="I525" s="1" t="n">
        <x:v>1</x:v>
      </x:c>
      <x:c r="J525" s="1" t="n">
        <x:v>1</x:v>
      </x:c>
      <x:c r="K525" s="1" t="str">
        <x:v>中证官方优先</x:v>
      </x:c>
    </x:row>
    <x:row r="526" ht="25" customHeight="1">
      <x:c r="A526" s="1" t="str">
        <x:v>sh000300</x:v>
      </x:c>
      <x:c r="B526" s="1" t="str">
        <x:v>沪深300</x:v>
      </x:c>
      <x:c r="C526" s="1" t="str">
        <x:v>2012-06</x:v>
      </x:c>
      <x:c r="D526" s="1" t="str">
        <x:v>2012-05-31</x:v>
      </x:c>
      <x:c r="E526" s="5" t="n">
        <x:v>2632.04</x:v>
      </x:c>
      <x:c r="F526" s="6" t="str">
        <x:v>2012-06-29</x:v>
      </x:c>
      <x:c r="G526" s="5" t="n">
        <x:v>2461.61</x:v>
      </x:c>
      <x:c r="H526" s="7" t="n">
        <x:f>G526/E526-1</x:f>
        <x:v>-0.06475205543988682</x:v>
      </x:c>
      <x:c r="I526" s="1" t="n">
        <x:v>1</x:v>
      </x:c>
      <x:c r="J526" s="1" t="n">
        <x:v>1</x:v>
      </x:c>
      <x:c r="K526" s="1" t="str">
        <x:v>中证官方优先</x:v>
      </x:c>
    </x:row>
    <x:row r="527" ht="25" customHeight="1">
      <x:c r="A527" s="1" t="str">
        <x:v>sh000300</x:v>
      </x:c>
      <x:c r="B527" s="1" t="str">
        <x:v>沪深300</x:v>
      </x:c>
      <x:c r="C527" s="1" t="str">
        <x:v>2012-07</x:v>
      </x:c>
      <x:c r="D527" s="1" t="str">
        <x:v>2012-06-29</x:v>
      </x:c>
      <x:c r="E527" s="5" t="n">
        <x:v>2461.61</x:v>
      </x:c>
      <x:c r="F527" s="6" t="str">
        <x:v>2012-07-31</x:v>
      </x:c>
      <x:c r="G527" s="5" t="n">
        <x:v>2332.92</x:v>
      </x:c>
      <x:c r="H527" s="7" t="n">
        <x:f>G527/E527-1</x:f>
        <x:v>-0.05227879314757422</x:v>
      </x:c>
      <x:c r="I527" s="1" t="n">
        <x:v>1</x:v>
      </x:c>
      <x:c r="J527" s="1" t="n">
        <x:v>1</x:v>
      </x:c>
      <x:c r="K527" s="1" t="str">
        <x:v>中证官方优先</x:v>
      </x:c>
    </x:row>
    <x:row r="528" ht="25" customHeight="1">
      <x:c r="A528" s="1" t="str">
        <x:v>sh000300</x:v>
      </x:c>
      <x:c r="B528" s="1" t="str">
        <x:v>沪深300</x:v>
      </x:c>
      <x:c r="C528" s="1" t="str">
        <x:v>2012-08</x:v>
      </x:c>
      <x:c r="D528" s="1" t="str">
        <x:v>2012-07-31</x:v>
      </x:c>
      <x:c r="E528" s="5" t="n">
        <x:v>2332.92</x:v>
      </x:c>
      <x:c r="F528" s="6" t="str">
        <x:v>2012-08-31</x:v>
      </x:c>
      <x:c r="G528" s="5" t="n">
        <x:v>2204.87</x:v>
      </x:c>
      <x:c r="H528" s="7" t="n">
        <x:f>G528/E528-1</x:f>
        <x:v>-0.05488829449788257</x:v>
      </x:c>
      <x:c r="I528" s="1" t="n">
        <x:v>1</x:v>
      </x:c>
      <x:c r="J528" s="1" t="n">
        <x:v>1</x:v>
      </x:c>
      <x:c r="K528" s="1" t="str">
        <x:v>中证官方优先</x:v>
      </x:c>
    </x:row>
    <x:row r="529" ht="25" customHeight="1">
      <x:c r="A529" s="1" t="str">
        <x:v>sh000300</x:v>
      </x:c>
      <x:c r="B529" s="1" t="str">
        <x:v>沪深300</x:v>
      </x:c>
      <x:c r="C529" s="1" t="str">
        <x:v>2012-09</x:v>
      </x:c>
      <x:c r="D529" s="1" t="str">
        <x:v>2012-08-31</x:v>
      </x:c>
      <x:c r="E529" s="5" t="n">
        <x:v>2204.87</x:v>
      </x:c>
      <x:c r="F529" s="6" t="str">
        <x:v>2012-09-28</x:v>
      </x:c>
      <x:c r="G529" s="5" t="n">
        <x:v>2293.11</x:v>
      </x:c>
      <x:c r="H529" s="7" t="n">
        <x:f>G529/E529-1</x:f>
        <x:v>0.040020500074834375</x:v>
      </x:c>
      <x:c r="I529" s="1" t="n">
        <x:v>1</x:v>
      </x:c>
      <x:c r="J529" s="1" t="n">
        <x:v>1</x:v>
      </x:c>
      <x:c r="K529" s="1" t="str">
        <x:v>中证官方优先</x:v>
      </x:c>
    </x:row>
    <x:row r="530" ht="25" customHeight="1">
      <x:c r="A530" s="1" t="str">
        <x:v>sh000300</x:v>
      </x:c>
      <x:c r="B530" s="1" t="str">
        <x:v>沪深300</x:v>
      </x:c>
      <x:c r="C530" s="1" t="str">
        <x:v>2012-10</x:v>
      </x:c>
      <x:c r="D530" s="1" t="str">
        <x:v>2012-09-28</x:v>
      </x:c>
      <x:c r="E530" s="5" t="n">
        <x:v>2293.11</x:v>
      </x:c>
      <x:c r="F530" s="6" t="str">
        <x:v>2012-10-31</x:v>
      </x:c>
      <x:c r="G530" s="5" t="n">
        <x:v>2254.82</x:v>
      </x:c>
      <x:c r="H530" s="7" t="n">
        <x:f>G530/E530-1</x:f>
        <x:v>-0.01669784702870769</x:v>
      </x:c>
      <x:c r="I530" s="1" t="n">
        <x:v>1</x:v>
      </x:c>
      <x:c r="J530" s="1" t="n">
        <x:v>1</x:v>
      </x:c>
      <x:c r="K530" s="1" t="str">
        <x:v>中证官方优先</x:v>
      </x:c>
    </x:row>
    <x:row r="531" ht="25" customHeight="1">
      <x:c r="A531" s="1" t="str">
        <x:v>sh000300</x:v>
      </x:c>
      <x:c r="B531" s="1" t="str">
        <x:v>沪深300</x:v>
      </x:c>
      <x:c r="C531" s="1" t="str">
        <x:v>2012-11</x:v>
      </x:c>
      <x:c r="D531" s="1" t="str">
        <x:v>2012-10-31</x:v>
      </x:c>
      <x:c r="E531" s="5" t="n">
        <x:v>2254.82</x:v>
      </x:c>
      <x:c r="F531" s="6" t="str">
        <x:v>2012-11-30</x:v>
      </x:c>
      <x:c r="G531" s="5" t="n">
        <x:v>2139.66</x:v>
      </x:c>
      <x:c r="H531" s="7" t="n">
        <x:f>G531/E531-1</x:f>
        <x:v>-0.051072812907460574</x:v>
      </x:c>
      <x:c r="I531" s="1" t="n">
        <x:v>1</x:v>
      </x:c>
      <x:c r="J531" s="1" t="n">
        <x:v>1</x:v>
      </x:c>
      <x:c r="K531" s="1" t="str">
        <x:v>中证官方优先</x:v>
      </x:c>
    </x:row>
    <x:row r="532" ht="25" customHeight="1">
      <x:c r="A532" s="1" t="str">
        <x:v>sh000300</x:v>
      </x:c>
      <x:c r="B532" s="1" t="str">
        <x:v>沪深300</x:v>
      </x:c>
      <x:c r="C532" s="1" t="str">
        <x:v>2012-12</x:v>
      </x:c>
      <x:c r="D532" s="1" t="str">
        <x:v>2012-11-30</x:v>
      </x:c>
      <x:c r="E532" s="5" t="n">
        <x:v>2139.66</x:v>
      </x:c>
      <x:c r="F532" s="6" t="str">
        <x:v>2012-12-31</x:v>
      </x:c>
      <x:c r="G532" s="5" t="n">
        <x:v>2522.95</x:v>
      </x:c>
      <x:c r="H532" s="7" t="n">
        <x:f>G532/E532-1</x:f>
        <x:v>0.1791359374853949</x:v>
      </x:c>
      <x:c r="I532" s="1" t="n">
        <x:v>1</x:v>
      </x:c>
      <x:c r="J532" s="1" t="n">
        <x:v>1</x:v>
      </x:c>
      <x:c r="K532" s="1" t="str">
        <x:v>中证官方优先</x:v>
      </x:c>
    </x:row>
    <x:row r="533" ht="25" customHeight="1">
      <x:c r="A533" s="1" t="str">
        <x:v>sh000300</x:v>
      </x:c>
      <x:c r="B533" s="1" t="str">
        <x:v>沪深300</x:v>
      </x:c>
      <x:c r="C533" s="1" t="str">
        <x:v>2013-01</x:v>
      </x:c>
      <x:c r="D533" s="1" t="str">
        <x:v>2012-12-31</x:v>
      </x:c>
      <x:c r="E533" s="5" t="n">
        <x:v>2522.95</x:v>
      </x:c>
      <x:c r="F533" s="6" t="str">
        <x:v>2013-01-31</x:v>
      </x:c>
      <x:c r="G533" s="5" t="n">
        <x:v>2686.88</x:v>
      </x:c>
      <x:c r="H533" s="7" t="n">
        <x:f>G533/E533-1</x:f>
        <x:v>0.0649755246834065</x:v>
      </x:c>
      <x:c r="I533" s="1" t="n">
        <x:v>1</x:v>
      </x:c>
      <x:c r="J533" s="1" t="n">
        <x:v>1</x:v>
      </x:c>
      <x:c r="K533" s="1" t="str">
        <x:v>中证官方优先</x:v>
      </x:c>
    </x:row>
    <x:row r="534" ht="25" customHeight="1">
      <x:c r="A534" s="1" t="str">
        <x:v>sh000300</x:v>
      </x:c>
      <x:c r="B534" s="1" t="str">
        <x:v>沪深300</x:v>
      </x:c>
      <x:c r="C534" s="1" t="str">
        <x:v>2013-02</x:v>
      </x:c>
      <x:c r="D534" s="1" t="str">
        <x:v>2013-01-31</x:v>
      </x:c>
      <x:c r="E534" s="5" t="n">
        <x:v>2686.88</x:v>
      </x:c>
      <x:c r="F534" s="6" t="str">
        <x:v>2013-02-28</x:v>
      </x:c>
      <x:c r="G534" s="5" t="n">
        <x:v>2673.33</x:v>
      </x:c>
      <x:c r="H534" s="7" t="n">
        <x:f>G534/E534-1</x:f>
        <x:v>-0.005043023878997244</x:v>
      </x:c>
      <x:c r="I534" s="1" t="n">
        <x:v>1</x:v>
      </x:c>
      <x:c r="J534" s="1" t="n">
        <x:v>1</x:v>
      </x:c>
      <x:c r="K534" s="1" t="str">
        <x:v>中证官方优先</x:v>
      </x:c>
    </x:row>
    <x:row r="535" ht="25" customHeight="1">
      <x:c r="A535" s="1" t="str">
        <x:v>sh000300</x:v>
      </x:c>
      <x:c r="B535" s="1" t="str">
        <x:v>沪深300</x:v>
      </x:c>
      <x:c r="C535" s="1" t="str">
        <x:v>2013-03</x:v>
      </x:c>
      <x:c r="D535" s="1" t="str">
        <x:v>2013-02-28</x:v>
      </x:c>
      <x:c r="E535" s="5" t="n">
        <x:v>2673.33</x:v>
      </x:c>
      <x:c r="F535" s="6" t="str">
        <x:v>2013-03-29</x:v>
      </x:c>
      <x:c r="G535" s="5" t="n">
        <x:v>2495.08</x:v>
      </x:c>
      <x:c r="H535" s="7" t="n">
        <x:f>G535/E535-1</x:f>
        <x:v>-0.06667714049518769</x:v>
      </x:c>
      <x:c r="I535" s="1" t="n">
        <x:v>1</x:v>
      </x:c>
      <x:c r="J535" s="1" t="n">
        <x:v>1</x:v>
      </x:c>
      <x:c r="K535" s="1" t="str">
        <x:v>中证官方优先</x:v>
      </x:c>
    </x:row>
    <x:row r="536" ht="25" customHeight="1">
      <x:c r="A536" s="1" t="str">
        <x:v>sh000300</x:v>
      </x:c>
      <x:c r="B536" s="1" t="str">
        <x:v>沪深300</x:v>
      </x:c>
      <x:c r="C536" s="1" t="str">
        <x:v>2013-04</x:v>
      </x:c>
      <x:c r="D536" s="1" t="str">
        <x:v>2013-03-29</x:v>
      </x:c>
      <x:c r="E536" s="5" t="n">
        <x:v>2495.08</x:v>
      </x:c>
      <x:c r="F536" s="6" t="str">
        <x:v>2013-04-26</x:v>
      </x:c>
      <x:c r="G536" s="5" t="n">
        <x:v>2447.31</x:v>
      </x:c>
      <x:c r="H536" s="7" t="n">
        <x:f>G536/E536-1</x:f>
        <x:v>-0.019145678695673074</x:v>
      </x:c>
      <x:c r="I536" s="1" t="n">
        <x:v>1</x:v>
      </x:c>
      <x:c r="J536" s="1" t="n">
        <x:v>1</x:v>
      </x:c>
      <x:c r="K536" s="1" t="str">
        <x:v>中证官方优先</x:v>
      </x:c>
    </x:row>
    <x:row r="537" ht="25" customHeight="1">
      <x:c r="A537" s="1" t="str">
        <x:v>sh000300</x:v>
      </x:c>
      <x:c r="B537" s="1" t="str">
        <x:v>沪深300</x:v>
      </x:c>
      <x:c r="C537" s="1" t="str">
        <x:v>2013-05</x:v>
      </x:c>
      <x:c r="D537" s="1" t="str">
        <x:v>2013-04-26</x:v>
      </x:c>
      <x:c r="E537" s="5" t="n">
        <x:v>2447.31</x:v>
      </x:c>
      <x:c r="F537" s="6" t="str">
        <x:v>2013-05-31</x:v>
      </x:c>
      <x:c r="G537" s="5" t="n">
        <x:v>2606.43</x:v>
      </x:c>
      <x:c r="H537" s="7" t="n">
        <x:f>G537/E537-1</x:f>
        <x:v>0.06501832624391679</x:v>
      </x:c>
      <x:c r="I537" s="1" t="n">
        <x:v>1</x:v>
      </x:c>
      <x:c r="J537" s="1" t="n">
        <x:v>1</x:v>
      </x:c>
      <x:c r="K537" s="1" t="str">
        <x:v>中证官方优先</x:v>
      </x:c>
    </x:row>
    <x:row r="538" ht="25" customHeight="1">
      <x:c r="A538" s="1" t="str">
        <x:v>sh000300</x:v>
      </x:c>
      <x:c r="B538" s="1" t="str">
        <x:v>沪深300</x:v>
      </x:c>
      <x:c r="C538" s="1" t="str">
        <x:v>2013-06</x:v>
      </x:c>
      <x:c r="D538" s="1" t="str">
        <x:v>2013-05-31</x:v>
      </x:c>
      <x:c r="E538" s="5" t="n">
        <x:v>2606.43</x:v>
      </x:c>
      <x:c r="F538" s="6" t="str">
        <x:v>2013-06-28</x:v>
      </x:c>
      <x:c r="G538" s="5" t="n">
        <x:v>2200.64</x:v>
      </x:c>
      <x:c r="H538" s="7" t="n">
        <x:f>G538/E538-1</x:f>
        <x:v>-0.1556880484033717</x:v>
      </x:c>
      <x:c r="I538" s="1" t="n">
        <x:v>1</x:v>
      </x:c>
      <x:c r="J538" s="1" t="n">
        <x:v>1</x:v>
      </x:c>
      <x:c r="K538" s="1" t="str">
        <x:v>中证官方优先</x:v>
      </x:c>
    </x:row>
    <x:row r="539" ht="25" customHeight="1">
      <x:c r="A539" s="1" t="str">
        <x:v>sh000300</x:v>
      </x:c>
      <x:c r="B539" s="1" t="str">
        <x:v>沪深300</x:v>
      </x:c>
      <x:c r="C539" s="1" t="str">
        <x:v>2013-07</x:v>
      </x:c>
      <x:c r="D539" s="1" t="str">
        <x:v>2013-06-28</x:v>
      </x:c>
      <x:c r="E539" s="5" t="n">
        <x:v>2200.64</x:v>
      </x:c>
      <x:c r="F539" s="6" t="str">
        <x:v>2013-07-31</x:v>
      </x:c>
      <x:c r="G539" s="5" t="n">
        <x:v>2193.02</x:v>
      </x:c>
      <x:c r="H539" s="7" t="n">
        <x:f>G539/E539-1</x:f>
        <x:v>-0.0034626290533662507</x:v>
      </x:c>
      <x:c r="I539" s="1" t="n">
        <x:v>1</x:v>
      </x:c>
      <x:c r="J539" s="1" t="n">
        <x:v>1</x:v>
      </x:c>
      <x:c r="K539" s="1" t="str">
        <x:v>中证官方优先</x:v>
      </x:c>
    </x:row>
    <x:row r="540" ht="25" customHeight="1">
      <x:c r="A540" s="1" t="str">
        <x:v>sh000300</x:v>
      </x:c>
      <x:c r="B540" s="1" t="str">
        <x:v>沪深300</x:v>
      </x:c>
      <x:c r="C540" s="1" t="str">
        <x:v>2013-08</x:v>
      </x:c>
      <x:c r="D540" s="1" t="str">
        <x:v>2013-07-31</x:v>
      </x:c>
      <x:c r="E540" s="5" t="n">
        <x:v>2193.02</x:v>
      </x:c>
      <x:c r="F540" s="6" t="str">
        <x:v>2013-08-30</x:v>
      </x:c>
      <x:c r="G540" s="5" t="n">
        <x:v>2313.91</x:v>
      </x:c>
      <x:c r="H540" s="7" t="n">
        <x:f>G540/E540-1</x:f>
        <x:v>0.05512489626177586</x:v>
      </x:c>
      <x:c r="I540" s="1" t="n">
        <x:v>1</x:v>
      </x:c>
      <x:c r="J540" s="1" t="n">
        <x:v>1</x:v>
      </x:c>
      <x:c r="K540" s="1" t="str">
        <x:v>中证官方优先</x:v>
      </x:c>
    </x:row>
    <x:row r="541" ht="25" customHeight="1">
      <x:c r="A541" s="1" t="str">
        <x:v>sh000300</x:v>
      </x:c>
      <x:c r="B541" s="1" t="str">
        <x:v>沪深300</x:v>
      </x:c>
      <x:c r="C541" s="1" t="str">
        <x:v>2013-09</x:v>
      </x:c>
      <x:c r="D541" s="1" t="str">
        <x:v>2013-08-30</x:v>
      </x:c>
      <x:c r="E541" s="5" t="n">
        <x:v>2313.91</x:v>
      </x:c>
      <x:c r="F541" s="6" t="str">
        <x:v>2013-09-30</x:v>
      </x:c>
      <x:c r="G541" s="5" t="n">
        <x:v>2409.04</x:v>
      </x:c>
      <x:c r="H541" s="7" t="n">
        <x:f>G541/E541-1</x:f>
        <x:v>0.041112229948442325</x:v>
      </x:c>
      <x:c r="I541" s="1" t="n">
        <x:v>1</x:v>
      </x:c>
      <x:c r="J541" s="1" t="n">
        <x:v>1</x:v>
      </x:c>
      <x:c r="K541" s="1" t="str">
        <x:v>中证官方优先</x:v>
      </x:c>
    </x:row>
    <x:row r="542" ht="25" customHeight="1">
      <x:c r="A542" s="1" t="str">
        <x:v>sh000300</x:v>
      </x:c>
      <x:c r="B542" s="1" t="str">
        <x:v>沪深300</x:v>
      </x:c>
      <x:c r="C542" s="1" t="str">
        <x:v>2013-10</x:v>
      </x:c>
      <x:c r="D542" s="1" t="str">
        <x:v>2013-09-30</x:v>
      </x:c>
      <x:c r="E542" s="5" t="n">
        <x:v>2409.04</x:v>
      </x:c>
      <x:c r="F542" s="6" t="str">
        <x:v>2013-10-31</x:v>
      </x:c>
      <x:c r="G542" s="5" t="n">
        <x:v>2373.72</x:v>
      </x:c>
      <x:c r="H542" s="7" t="n">
        <x:f>G542/E542-1</x:f>
        <x:v>-0.01466144190216856</x:v>
      </x:c>
      <x:c r="I542" s="1" t="n">
        <x:v>1</x:v>
      </x:c>
      <x:c r="J542" s="1" t="n">
        <x:v>1</x:v>
      </x:c>
      <x:c r="K542" s="1" t="str">
        <x:v>中证官方优先</x:v>
      </x:c>
    </x:row>
    <x:row r="543" ht="25" customHeight="1">
      <x:c r="A543" s="1" t="str">
        <x:v>sh000300</x:v>
      </x:c>
      <x:c r="B543" s="1" t="str">
        <x:v>沪深300</x:v>
      </x:c>
      <x:c r="C543" s="1" t="str">
        <x:v>2013-11</x:v>
      </x:c>
      <x:c r="D543" s="1" t="str">
        <x:v>2013-10-31</x:v>
      </x:c>
      <x:c r="E543" s="5" t="n">
        <x:v>2373.72</x:v>
      </x:c>
      <x:c r="F543" s="6" t="str">
        <x:v>2013-11-29</x:v>
      </x:c>
      <x:c r="G543" s="5" t="n">
        <x:v>2438.94</x:v>
      </x:c>
      <x:c r="H543" s="7" t="n">
        <x:f>G543/E543-1</x:f>
        <x:v>0.027475860674384567</x:v>
      </x:c>
      <x:c r="I543" s="1" t="n">
        <x:v>1</x:v>
      </x:c>
      <x:c r="J543" s="1" t="n">
        <x:v>1</x:v>
      </x:c>
      <x:c r="K543" s="1" t="str">
        <x:v>中证官方优先</x:v>
      </x:c>
    </x:row>
    <x:row r="544" ht="25" customHeight="1">
      <x:c r="A544" s="1" t="str">
        <x:v>sh000300</x:v>
      </x:c>
      <x:c r="B544" s="1" t="str">
        <x:v>沪深300</x:v>
      </x:c>
      <x:c r="C544" s="1" t="str">
        <x:v>2013-12</x:v>
      </x:c>
      <x:c r="D544" s="1" t="str">
        <x:v>2013-11-29</x:v>
      </x:c>
      <x:c r="E544" s="5" t="n">
        <x:v>2438.94</x:v>
      </x:c>
      <x:c r="F544" s="6" t="str">
        <x:v>2013-12-31</x:v>
      </x:c>
      <x:c r="G544" s="5" t="n">
        <x:v>2330.03</x:v>
      </x:c>
      <x:c r="H544" s="7" t="n">
        <x:f>G544/E544-1</x:f>
        <x:v>-0.0446546450507187</x:v>
      </x:c>
      <x:c r="I544" s="1" t="n">
        <x:v>1</x:v>
      </x:c>
      <x:c r="J544" s="1" t="n">
        <x:v>1</x:v>
      </x:c>
      <x:c r="K544" s="1" t="str">
        <x:v>中证官方优先</x:v>
      </x:c>
    </x:row>
    <x:row r="545" ht="25" customHeight="1">
      <x:c r="A545" s="1" t="str">
        <x:v>sh000300</x:v>
      </x:c>
      <x:c r="B545" s="1" t="str">
        <x:v>沪深300</x:v>
      </x:c>
      <x:c r="C545" s="1" t="str">
        <x:v>2014-01</x:v>
      </x:c>
      <x:c r="D545" s="1" t="str">
        <x:v>2013-12-31</x:v>
      </x:c>
      <x:c r="E545" s="5" t="n">
        <x:v>2330.03</x:v>
      </x:c>
      <x:c r="F545" s="6" t="str">
        <x:v>2014-01-30</x:v>
      </x:c>
      <x:c r="G545" s="5" t="n">
        <x:v>2202.45</x:v>
      </x:c>
      <x:c r="H545" s="7" t="n">
        <x:f>G545/E545-1</x:f>
        <x:v>-0.054754659811247275</x:v>
      </x:c>
      <x:c r="I545" s="1" t="n">
        <x:v>1</x:v>
      </x:c>
      <x:c r="J545" s="1" t="n">
        <x:v>1</x:v>
      </x:c>
      <x:c r="K545" s="1" t="str">
        <x:v>中证官方优先</x:v>
      </x:c>
    </x:row>
    <x:row r="546" ht="25" customHeight="1">
      <x:c r="A546" s="1" t="str">
        <x:v>sh000300</x:v>
      </x:c>
      <x:c r="B546" s="1" t="str">
        <x:v>沪深300</x:v>
      </x:c>
      <x:c r="C546" s="1" t="str">
        <x:v>2014-02</x:v>
      </x:c>
      <x:c r="D546" s="1" t="str">
        <x:v>2014-01-30</x:v>
      </x:c>
      <x:c r="E546" s="5" t="n">
        <x:v>2202.45</x:v>
      </x:c>
      <x:c r="F546" s="6" t="str">
        <x:v>2014-02-28</x:v>
      </x:c>
      <x:c r="G546" s="5" t="n">
        <x:v>2178.97</x:v>
      </x:c>
      <x:c r="H546" s="7" t="n">
        <x:f>G546/E546-1</x:f>
        <x:v>-0.01066085495697977</x:v>
      </x:c>
      <x:c r="I546" s="1" t="n">
        <x:v>1</x:v>
      </x:c>
      <x:c r="J546" s="1" t="n">
        <x:v>1</x:v>
      </x:c>
      <x:c r="K546" s="1" t="str">
        <x:v>中证官方优先</x:v>
      </x:c>
    </x:row>
    <x:row r="547" ht="25" customHeight="1">
      <x:c r="A547" s="1" t="str">
        <x:v>sh000300</x:v>
      </x:c>
      <x:c r="B547" s="1" t="str">
        <x:v>沪深300</x:v>
      </x:c>
      <x:c r="C547" s="1" t="str">
        <x:v>2014-03</x:v>
      </x:c>
      <x:c r="D547" s="1" t="str">
        <x:v>2014-02-28</x:v>
      </x:c>
      <x:c r="E547" s="5" t="n">
        <x:v>2178.97</x:v>
      </x:c>
      <x:c r="F547" s="6" t="str">
        <x:v>2014-03-31</x:v>
      </x:c>
      <x:c r="G547" s="5" t="n">
        <x:v>2146.31</x:v>
      </x:c>
      <x:c r="H547" s="7" t="n">
        <x:f>G547/E547-1</x:f>
        <x:v>-0.014988733208809557</x:v>
      </x:c>
      <x:c r="I547" s="1" t="n">
        <x:v>1</x:v>
      </x:c>
      <x:c r="J547" s="1" t="n">
        <x:v>1</x:v>
      </x:c>
      <x:c r="K547" s="1" t="str">
        <x:v>中证官方优先</x:v>
      </x:c>
    </x:row>
    <x:row r="548" ht="25" customHeight="1">
      <x:c r="A548" s="1" t="str">
        <x:v>sh000300</x:v>
      </x:c>
      <x:c r="B548" s="1" t="str">
        <x:v>沪深300</x:v>
      </x:c>
      <x:c r="C548" s="1" t="str">
        <x:v>2014-04</x:v>
      </x:c>
      <x:c r="D548" s="1" t="str">
        <x:v>2014-03-31</x:v>
      </x:c>
      <x:c r="E548" s="5" t="n">
        <x:v>2146.31</x:v>
      </x:c>
      <x:c r="F548" s="6" t="str">
        <x:v>2014-04-30</x:v>
      </x:c>
      <x:c r="G548" s="5" t="n">
        <x:v>2158.66</x:v>
      </x:c>
      <x:c r="H548" s="7" t="n">
        <x:f>G548/E548-1</x:f>
        <x:v>0.00575406162203973</x:v>
      </x:c>
      <x:c r="I548" s="1" t="n">
        <x:v>1</x:v>
      </x:c>
      <x:c r="J548" s="1" t="n">
        <x:v>1</x:v>
      </x:c>
      <x:c r="K548" s="1" t="str">
        <x:v>中证官方优先</x:v>
      </x:c>
    </x:row>
    <x:row r="549" ht="25" customHeight="1">
      <x:c r="A549" s="1" t="str">
        <x:v>sh000300</x:v>
      </x:c>
      <x:c r="B549" s="1" t="str">
        <x:v>沪深300</x:v>
      </x:c>
      <x:c r="C549" s="1" t="str">
        <x:v>2014-05</x:v>
      </x:c>
      <x:c r="D549" s="1" t="str">
        <x:v>2014-04-30</x:v>
      </x:c>
      <x:c r="E549" s="5" t="n">
        <x:v>2158.66</x:v>
      </x:c>
      <x:c r="F549" s="6" t="str">
        <x:v>2014-05-30</x:v>
      </x:c>
      <x:c r="G549" s="5" t="n">
        <x:v>2156.46</x:v>
      </x:c>
      <x:c r="H549" s="7" t="n">
        <x:f>G549/E549-1</x:f>
        <x:v>-0.0010191507694587987</x:v>
      </x:c>
      <x:c r="I549" s="1" t="n">
        <x:v>1</x:v>
      </x:c>
      <x:c r="J549" s="1" t="n">
        <x:v>1</x:v>
      </x:c>
      <x:c r="K549" s="1" t="str">
        <x:v>中证官方优先</x:v>
      </x:c>
    </x:row>
    <x:row r="550" ht="25" customHeight="1">
      <x:c r="A550" s="1" t="str">
        <x:v>sh000300</x:v>
      </x:c>
      <x:c r="B550" s="1" t="str">
        <x:v>沪深300</x:v>
      </x:c>
      <x:c r="C550" s="1" t="str">
        <x:v>2014-06</x:v>
      </x:c>
      <x:c r="D550" s="1" t="str">
        <x:v>2014-05-30</x:v>
      </x:c>
      <x:c r="E550" s="5" t="n">
        <x:v>2156.46</x:v>
      </x:c>
      <x:c r="F550" s="6" t="str">
        <x:v>2014-06-30</x:v>
      </x:c>
      <x:c r="G550" s="5" t="n">
        <x:v>2165.12</x:v>
      </x:c>
      <x:c r="H550" s="7" t="n">
        <x:f>G550/E550-1</x:f>
        <x:v>0.004015840776086632</x:v>
      </x:c>
      <x:c r="I550" s="1" t="n">
        <x:v>1</x:v>
      </x:c>
      <x:c r="J550" s="1" t="n">
        <x:v>1</x:v>
      </x:c>
      <x:c r="K550" s="1" t="str">
        <x:v>中证官方优先</x:v>
      </x:c>
    </x:row>
    <x:row r="551" ht="25" customHeight="1">
      <x:c r="A551" s="1" t="str">
        <x:v>sh000300</x:v>
      </x:c>
      <x:c r="B551" s="1" t="str">
        <x:v>沪深300</x:v>
      </x:c>
      <x:c r="C551" s="1" t="str">
        <x:v>2014-07</x:v>
      </x:c>
      <x:c r="D551" s="1" t="str">
        <x:v>2014-06-30</x:v>
      </x:c>
      <x:c r="E551" s="5" t="n">
        <x:v>2165.12</x:v>
      </x:c>
      <x:c r="F551" s="6" t="str">
        <x:v>2014-07-31</x:v>
      </x:c>
      <x:c r="G551" s="5" t="n">
        <x:v>2350.25</x:v>
      </x:c>
      <x:c r="H551" s="7" t="n">
        <x:f>G551/E551-1</x:f>
        <x:v>0.08550565326633164</x:v>
      </x:c>
      <x:c r="I551" s="1" t="n">
        <x:v>1</x:v>
      </x:c>
      <x:c r="J551" s="1" t="n">
        <x:v>1</x:v>
      </x:c>
      <x:c r="K551" s="1" t="str">
        <x:v>中证官方优先</x:v>
      </x:c>
    </x:row>
    <x:row r="552" ht="25" customHeight="1">
      <x:c r="A552" s="1" t="str">
        <x:v>sh000300</x:v>
      </x:c>
      <x:c r="B552" s="1" t="str">
        <x:v>沪深300</x:v>
      </x:c>
      <x:c r="C552" s="1" t="str">
        <x:v>2014-08</x:v>
      </x:c>
      <x:c r="D552" s="1" t="str">
        <x:v>2014-07-31</x:v>
      </x:c>
      <x:c r="E552" s="5" t="n">
        <x:v>2350.25</x:v>
      </x:c>
      <x:c r="F552" s="6" t="str">
        <x:v>2014-08-29</x:v>
      </x:c>
      <x:c r="G552" s="5" t="n">
        <x:v>2338.29</x:v>
      </x:c>
      <x:c r="H552" s="7" t="n">
        <x:f>G552/E552-1</x:f>
        <x:v>-0.005088820338261857</x:v>
      </x:c>
      <x:c r="I552" s="1" t="n">
        <x:v>1</x:v>
      </x:c>
      <x:c r="J552" s="1" t="n">
        <x:v>1</x:v>
      </x:c>
      <x:c r="K552" s="1" t="str">
        <x:v>中证官方优先</x:v>
      </x:c>
    </x:row>
    <x:row r="553" ht="25" customHeight="1">
      <x:c r="A553" s="1" t="str">
        <x:v>sh000300</x:v>
      </x:c>
      <x:c r="B553" s="1" t="str">
        <x:v>沪深300</x:v>
      </x:c>
      <x:c r="C553" s="1" t="str">
        <x:v>2014-09</x:v>
      </x:c>
      <x:c r="D553" s="1" t="str">
        <x:v>2014-08-29</x:v>
      </x:c>
      <x:c r="E553" s="5" t="n">
        <x:v>2338.29</x:v>
      </x:c>
      <x:c r="F553" s="6" t="str">
        <x:v>2014-09-30</x:v>
      </x:c>
      <x:c r="G553" s="5" t="n">
        <x:v>2450.99</x:v>
      </x:c>
      <x:c r="H553" s="7" t="n">
        <x:f>G553/E553-1</x:f>
        <x:v>0.04819761449606319</x:v>
      </x:c>
      <x:c r="I553" s="1" t="n">
        <x:v>1</x:v>
      </x:c>
      <x:c r="J553" s="1" t="n">
        <x:v>1</x:v>
      </x:c>
      <x:c r="K553" s="1" t="str">
        <x:v>中证官方优先</x:v>
      </x:c>
    </x:row>
    <x:row r="554" ht="25" customHeight="1">
      <x:c r="A554" s="1" t="str">
        <x:v>sh000300</x:v>
      </x:c>
      <x:c r="B554" s="1" t="str">
        <x:v>沪深300</x:v>
      </x:c>
      <x:c r="C554" s="1" t="str">
        <x:v>2014-10</x:v>
      </x:c>
      <x:c r="D554" s="1" t="str">
        <x:v>2014-09-30</x:v>
      </x:c>
      <x:c r="E554" s="5" t="n">
        <x:v>2450.99</x:v>
      </x:c>
      <x:c r="F554" s="6" t="str">
        <x:v>2014-10-31</x:v>
      </x:c>
      <x:c r="G554" s="5" t="n">
        <x:v>2508.33</x:v>
      </x:c>
      <x:c r="H554" s="7" t="n">
        <x:f>G554/E554-1</x:f>
        <x:v>0.02339462829305705</x:v>
      </x:c>
      <x:c r="I554" s="1" t="n">
        <x:v>1</x:v>
      </x:c>
      <x:c r="J554" s="1" t="n">
        <x:v>1</x:v>
      </x:c>
      <x:c r="K554" s="1" t="str">
        <x:v>中证官方优先</x:v>
      </x:c>
    </x:row>
    <x:row r="555" ht="25" customHeight="1">
      <x:c r="A555" s="1" t="str">
        <x:v>sh000300</x:v>
      </x:c>
      <x:c r="B555" s="1" t="str">
        <x:v>沪深300</x:v>
      </x:c>
      <x:c r="C555" s="1" t="str">
        <x:v>2014-11</x:v>
      </x:c>
      <x:c r="D555" s="1" t="str">
        <x:v>2014-10-31</x:v>
      </x:c>
      <x:c r="E555" s="5" t="n">
        <x:v>2508.33</x:v>
      </x:c>
      <x:c r="F555" s="6" t="str">
        <x:v>2014-11-28</x:v>
      </x:c>
      <x:c r="G555" s="5" t="n">
        <x:v>2808.82</x:v>
      </x:c>
      <x:c r="H555" s="7" t="n">
        <x:f>G555/E555-1</x:f>
        <x:v>0.11979683693931831</x:v>
      </x:c>
      <x:c r="I555" s="1" t="n">
        <x:v>1</x:v>
      </x:c>
      <x:c r="J555" s="1" t="n">
        <x:v>1</x:v>
      </x:c>
      <x:c r="K555" s="1" t="str">
        <x:v>中证官方优先</x:v>
      </x:c>
    </x:row>
    <x:row r="556" ht="25" customHeight="1">
      <x:c r="A556" s="1" t="str">
        <x:v>sh000300</x:v>
      </x:c>
      <x:c r="B556" s="1" t="str">
        <x:v>沪深300</x:v>
      </x:c>
      <x:c r="C556" s="1" t="str">
        <x:v>2014-12</x:v>
      </x:c>
      <x:c r="D556" s="1" t="str">
        <x:v>2014-11-28</x:v>
      </x:c>
      <x:c r="E556" s="5" t="n">
        <x:v>2808.82</x:v>
      </x:c>
      <x:c r="F556" s="6" t="str">
        <x:v>2014-12-31</x:v>
      </x:c>
      <x:c r="G556" s="5" t="n">
        <x:v>3533.71</x:v>
      </x:c>
      <x:c r="H556" s="7" t="n">
        <x:f>G556/E556-1</x:f>
        <x:v>0.2580763452268211</x:v>
      </x:c>
      <x:c r="I556" s="1" t="n">
        <x:v>1</x:v>
      </x:c>
      <x:c r="J556" s="1" t="n">
        <x:v>1</x:v>
      </x:c>
      <x:c r="K556" s="1" t="str">
        <x:v>中证官方优先</x:v>
      </x:c>
    </x:row>
    <x:row r="557" ht="25" customHeight="1">
      <x:c r="A557" s="1" t="str">
        <x:v>sh000300</x:v>
      </x:c>
      <x:c r="B557" s="1" t="str">
        <x:v>沪深300</x:v>
      </x:c>
      <x:c r="C557" s="1" t="str">
        <x:v>2015-01</x:v>
      </x:c>
      <x:c r="D557" s="1" t="str">
        <x:v>2014-12-31</x:v>
      </x:c>
      <x:c r="E557" s="5" t="n">
        <x:v>3533.71</x:v>
      </x:c>
      <x:c r="F557" s="6" t="str">
        <x:v>2015-01-30</x:v>
      </x:c>
      <x:c r="G557" s="5" t="n">
        <x:v>3434.39</x:v>
      </x:c>
      <x:c r="H557" s="7" t="n">
        <x:f>G557/E557-1</x:f>
        <x:v>-0.028106437709942256</x:v>
      </x:c>
      <x:c r="I557" s="1" t="n">
        <x:v>1</x:v>
      </x:c>
      <x:c r="J557" s="1" t="n">
        <x:v>1</x:v>
      </x:c>
      <x:c r="K557" s="1" t="str">
        <x:v>中证官方优先</x:v>
      </x:c>
    </x:row>
    <x:row r="558" ht="25" customHeight="1">
      <x:c r="A558" s="1" t="str">
        <x:v>sh000300</x:v>
      </x:c>
      <x:c r="B558" s="1" t="str">
        <x:v>沪深300</x:v>
      </x:c>
      <x:c r="C558" s="1" t="str">
        <x:v>2015-02</x:v>
      </x:c>
      <x:c r="D558" s="1" t="str">
        <x:v>2015-01-30</x:v>
      </x:c>
      <x:c r="E558" s="5" t="n">
        <x:v>3434.39</x:v>
      </x:c>
      <x:c r="F558" s="6" t="str">
        <x:v>2015-02-27</x:v>
      </x:c>
      <x:c r="G558" s="5" t="n">
        <x:v>3572.84</x:v>
      </x:c>
      <x:c r="H558" s="7" t="n">
        <x:f>G558/E558-1</x:f>
        <x:v>0.040312835758315346</x:v>
      </x:c>
      <x:c r="I558" s="1" t="n">
        <x:v>1</x:v>
      </x:c>
      <x:c r="J558" s="1" t="n">
        <x:v>1</x:v>
      </x:c>
      <x:c r="K558" s="1" t="str">
        <x:v>中证官方优先</x:v>
      </x:c>
    </x:row>
    <x:row r="559" ht="25" customHeight="1">
      <x:c r="A559" s="1" t="str">
        <x:v>sh000300</x:v>
      </x:c>
      <x:c r="B559" s="1" t="str">
        <x:v>沪深300</x:v>
      </x:c>
      <x:c r="C559" s="1" t="str">
        <x:v>2015-03</x:v>
      </x:c>
      <x:c r="D559" s="1" t="str">
        <x:v>2015-02-27</x:v>
      </x:c>
      <x:c r="E559" s="5" t="n">
        <x:v>3572.84</x:v>
      </x:c>
      <x:c r="F559" s="6" t="str">
        <x:v>2015-03-31</x:v>
      </x:c>
      <x:c r="G559" s="5" t="n">
        <x:v>4051.2</x:v>
      </x:c>
      <x:c r="H559" s="7" t="n">
        <x:f>G559/E559-1</x:f>
        <x:v>0.1338878875068572</x:v>
      </x:c>
      <x:c r="I559" s="1" t="n">
        <x:v>1</x:v>
      </x:c>
      <x:c r="J559" s="1" t="n">
        <x:v>1</x:v>
      </x:c>
      <x:c r="K559" s="1" t="str">
        <x:v>中证官方优先</x:v>
      </x:c>
    </x:row>
    <x:row r="560" ht="25" customHeight="1">
      <x:c r="A560" s="1" t="str">
        <x:v>sh000300</x:v>
      </x:c>
      <x:c r="B560" s="1" t="str">
        <x:v>沪深300</x:v>
      </x:c>
      <x:c r="C560" s="1" t="str">
        <x:v>2015-04</x:v>
      </x:c>
      <x:c r="D560" s="1" t="str">
        <x:v>2015-03-31</x:v>
      </x:c>
      <x:c r="E560" s="5" t="n">
        <x:v>4051.2</x:v>
      </x:c>
      <x:c r="F560" s="6" t="str">
        <x:v>2015-04-30</x:v>
      </x:c>
      <x:c r="G560" s="5" t="n">
        <x:v>4749.89</x:v>
      </x:c>
      <x:c r="H560" s="7" t="n">
        <x:f>G560/E560-1</x:f>
        <x:v>0.1724649486571881</x:v>
      </x:c>
      <x:c r="I560" s="1" t="n">
        <x:v>1</x:v>
      </x:c>
      <x:c r="J560" s="1" t="n">
        <x:v>1</x:v>
      </x:c>
      <x:c r="K560" s="1" t="str">
        <x:v>中证官方优先</x:v>
      </x:c>
    </x:row>
    <x:row r="561" ht="25" customHeight="1">
      <x:c r="A561" s="1" t="str">
        <x:v>sh000300</x:v>
      </x:c>
      <x:c r="B561" s="1" t="str">
        <x:v>沪深300</x:v>
      </x:c>
      <x:c r="C561" s="1" t="str">
        <x:v>2015-05</x:v>
      </x:c>
      <x:c r="D561" s="1" t="str">
        <x:v>2015-04-30</x:v>
      </x:c>
      <x:c r="E561" s="5" t="n">
        <x:v>4749.89</x:v>
      </x:c>
      <x:c r="F561" s="6" t="str">
        <x:v>2015-05-29</x:v>
      </x:c>
      <x:c r="G561" s="5" t="n">
        <x:v>4840.83</x:v>
      </x:c>
      <x:c r="H561" s="7" t="n">
        <x:f>G561/E561-1</x:f>
        <x:v>0.019145706532151197</x:v>
      </x:c>
      <x:c r="I561" s="1" t="n">
        <x:v>1</x:v>
      </x:c>
      <x:c r="J561" s="1" t="n">
        <x:v>1</x:v>
      </x:c>
      <x:c r="K561" s="1" t="str">
        <x:v>中证官方优先</x:v>
      </x:c>
    </x:row>
    <x:row r="562" ht="25" customHeight="1">
      <x:c r="A562" s="1" t="str">
        <x:v>sh000300</x:v>
      </x:c>
      <x:c r="B562" s="1" t="str">
        <x:v>沪深300</x:v>
      </x:c>
      <x:c r="C562" s="1" t="str">
        <x:v>2015-06</x:v>
      </x:c>
      <x:c r="D562" s="1" t="str">
        <x:v>2015-05-29</x:v>
      </x:c>
      <x:c r="E562" s="5" t="n">
        <x:v>4840.83</x:v>
      </x:c>
      <x:c r="F562" s="6" t="str">
        <x:v>2015-06-30</x:v>
      </x:c>
      <x:c r="G562" s="5" t="n">
        <x:v>4473</x:v>
      </x:c>
      <x:c r="H562" s="7" t="n">
        <x:f>G562/E562-1</x:f>
        <x:v>-0.07598490341532338</x:v>
      </x:c>
      <x:c r="I562" s="1" t="n">
        <x:v>1</x:v>
      </x:c>
      <x:c r="J562" s="1" t="n">
        <x:v>1</x:v>
      </x:c>
      <x:c r="K562" s="1" t="str">
        <x:v>中证官方优先</x:v>
      </x:c>
    </x:row>
    <x:row r="563" ht="25" customHeight="1">
      <x:c r="A563" s="1" t="str">
        <x:v>sh000300</x:v>
      </x:c>
      <x:c r="B563" s="1" t="str">
        <x:v>沪深300</x:v>
      </x:c>
      <x:c r="C563" s="1" t="str">
        <x:v>2015-07</x:v>
      </x:c>
      <x:c r="D563" s="1" t="str">
        <x:v>2015-06-30</x:v>
      </x:c>
      <x:c r="E563" s="5" t="n">
        <x:v>4473</x:v>
      </x:c>
      <x:c r="F563" s="6" t="str">
        <x:v>2015-07-31</x:v>
      </x:c>
      <x:c r="G563" s="5" t="n">
        <x:v>3816.7</x:v>
      </x:c>
      <x:c r="H563" s="7" t="n">
        <x:f>G563/E563-1</x:f>
        <x:v>-0.1467247932036665</x:v>
      </x:c>
      <x:c r="I563" s="1" t="n">
        <x:v>1</x:v>
      </x:c>
      <x:c r="J563" s="1" t="n">
        <x:v>1</x:v>
      </x:c>
      <x:c r="K563" s="1" t="str">
        <x:v>中证官方优先</x:v>
      </x:c>
    </x:row>
    <x:row r="564" ht="25" customHeight="1">
      <x:c r="A564" s="1" t="str">
        <x:v>sh000300</x:v>
      </x:c>
      <x:c r="B564" s="1" t="str">
        <x:v>沪深300</x:v>
      </x:c>
      <x:c r="C564" s="1" t="str">
        <x:v>2015-08</x:v>
      </x:c>
      <x:c r="D564" s="1" t="str">
        <x:v>2015-07-31</x:v>
      </x:c>
      <x:c r="E564" s="5" t="n">
        <x:v>3816.7</x:v>
      </x:c>
      <x:c r="F564" s="6" t="str">
        <x:v>2015-08-31</x:v>
      </x:c>
      <x:c r="G564" s="5" t="n">
        <x:v>3366.54</x:v>
      </x:c>
      <x:c r="H564" s="7" t="n">
        <x:f>G564/E564-1</x:f>
        <x:v>-0.11794482144260743</x:v>
      </x:c>
      <x:c r="I564" s="1" t="n">
        <x:v>1</x:v>
      </x:c>
      <x:c r="J564" s="1" t="n">
        <x:v>1</x:v>
      </x:c>
      <x:c r="K564" s="1" t="str">
        <x:v>中证官方优先</x:v>
      </x:c>
    </x:row>
    <x:row r="565" ht="25" customHeight="1">
      <x:c r="A565" s="1" t="str">
        <x:v>sh000300</x:v>
      </x:c>
      <x:c r="B565" s="1" t="str">
        <x:v>沪深300</x:v>
      </x:c>
      <x:c r="C565" s="1" t="str">
        <x:v>2015-09</x:v>
      </x:c>
      <x:c r="D565" s="1" t="str">
        <x:v>2015-08-31</x:v>
      </x:c>
      <x:c r="E565" s="5" t="n">
        <x:v>3366.54</x:v>
      </x:c>
      <x:c r="F565" s="6" t="str">
        <x:v>2015-09-30</x:v>
      </x:c>
      <x:c r="G565" s="5" t="n">
        <x:v>3202.95</x:v>
      </x:c>
      <x:c r="H565" s="7" t="n">
        <x:f>G565/E565-1</x:f>
        <x:v>-0.04859291735728677</x:v>
      </x:c>
      <x:c r="I565" s="1" t="n">
        <x:v>1</x:v>
      </x:c>
      <x:c r="J565" s="1" t="n">
        <x:v>1</x:v>
      </x:c>
      <x:c r="K565" s="1" t="str">
        <x:v>中证官方优先</x:v>
      </x:c>
    </x:row>
    <x:row r="566" ht="25" customHeight="1">
      <x:c r="A566" s="1" t="str">
        <x:v>sh000300</x:v>
      </x:c>
      <x:c r="B566" s="1" t="str">
        <x:v>沪深300</x:v>
      </x:c>
      <x:c r="C566" s="1" t="str">
        <x:v>2015-10</x:v>
      </x:c>
      <x:c r="D566" s="1" t="str">
        <x:v>2015-09-30</x:v>
      </x:c>
      <x:c r="E566" s="5" t="n">
        <x:v>3202.95</x:v>
      </x:c>
      <x:c r="F566" s="6" t="str">
        <x:v>2015-10-30</x:v>
      </x:c>
      <x:c r="G566" s="5" t="n">
        <x:v>3534.08</x:v>
      </x:c>
      <x:c r="H566" s="7" t="n">
        <x:f>G566/E566-1</x:f>
        <x:v>0.10338281896376778</x:v>
      </x:c>
      <x:c r="I566" s="1" t="n">
        <x:v>1</x:v>
      </x:c>
      <x:c r="J566" s="1" t="n">
        <x:v>1</x:v>
      </x:c>
      <x:c r="K566" s="1" t="str">
        <x:v>中证官方优先</x:v>
      </x:c>
    </x:row>
    <x:row r="567" ht="25" customHeight="1">
      <x:c r="A567" s="1" t="str">
        <x:v>sh000300</x:v>
      </x:c>
      <x:c r="B567" s="1" t="str">
        <x:v>沪深300</x:v>
      </x:c>
      <x:c r="C567" s="1" t="str">
        <x:v>2015-11</x:v>
      </x:c>
      <x:c r="D567" s="1" t="str">
        <x:v>2015-10-30</x:v>
      </x:c>
      <x:c r="E567" s="5" t="n">
        <x:v>3534.08</x:v>
      </x:c>
      <x:c r="F567" s="6" t="str">
        <x:v>2015-11-30</x:v>
      </x:c>
      <x:c r="G567" s="5" t="n">
        <x:v>3566.41</x:v>
      </x:c>
      <x:c r="H567" s="7" t="n">
        <x:f>G567/E567-1</x:f>
        <x:v>0.009148066823614576</x:v>
      </x:c>
      <x:c r="I567" s="1" t="n">
        <x:v>1</x:v>
      </x:c>
      <x:c r="J567" s="1" t="n">
        <x:v>1</x:v>
      </x:c>
      <x:c r="K567" s="1" t="str">
        <x:v>中证官方优先</x:v>
      </x:c>
    </x:row>
    <x:row r="568" ht="25" customHeight="1">
      <x:c r="A568" s="1" t="str">
        <x:v>sh000300</x:v>
      </x:c>
      <x:c r="B568" s="1" t="str">
        <x:v>沪深300</x:v>
      </x:c>
      <x:c r="C568" s="1" t="str">
        <x:v>2015-12</x:v>
      </x:c>
      <x:c r="D568" s="1" t="str">
        <x:v>2015-11-30</x:v>
      </x:c>
      <x:c r="E568" s="5" t="n">
        <x:v>3566.41</x:v>
      </x:c>
      <x:c r="F568" s="6" t="str">
        <x:v>2015-12-31</x:v>
      </x:c>
      <x:c r="G568" s="5" t="n">
        <x:v>3731</x:v>
      </x:c>
      <x:c r="H568" s="7" t="n">
        <x:f>G568/E568-1</x:f>
        <x:v>0.04615005005033068</x:v>
      </x:c>
      <x:c r="I568" s="1" t="n">
        <x:v>1</x:v>
      </x:c>
      <x:c r="J568" s="1" t="n">
        <x:v>1</x:v>
      </x:c>
      <x:c r="K568" s="1" t="str">
        <x:v>中证官方优先</x:v>
      </x:c>
    </x:row>
    <x:row r="569" ht="25" customHeight="1">
      <x:c r="A569" s="1" t="str">
        <x:v>sh000300</x:v>
      </x:c>
      <x:c r="B569" s="1" t="str">
        <x:v>沪深300</x:v>
      </x:c>
      <x:c r="C569" s="1" t="str">
        <x:v>2016-01</x:v>
      </x:c>
      <x:c r="D569" s="1" t="str">
        <x:v>2015-12-31</x:v>
      </x:c>
      <x:c r="E569" s="5" t="n">
        <x:v>3731</x:v>
      </x:c>
      <x:c r="F569" s="6" t="str">
        <x:v>2016-01-29</x:v>
      </x:c>
      <x:c r="G569" s="5" t="n">
        <x:v>2946.09</x:v>
      </x:c>
      <x:c r="H569" s="7" t="n">
        <x:f>G569/E569-1</x:f>
        <x:v>-0.21037523452157592</x:v>
      </x:c>
      <x:c r="I569" s="1" t="n">
        <x:v>1</x:v>
      </x:c>
      <x:c r="J569" s="1" t="n">
        <x:v>1</x:v>
      </x:c>
      <x:c r="K569" s="1" t="str">
        <x:v>中证官方优先</x:v>
      </x:c>
    </x:row>
    <x:row r="570" ht="25" customHeight="1">
      <x:c r="A570" s="1" t="str">
        <x:v>sh000300</x:v>
      </x:c>
      <x:c r="B570" s="1" t="str">
        <x:v>沪深300</x:v>
      </x:c>
      <x:c r="C570" s="1" t="str">
        <x:v>2016-02</x:v>
      </x:c>
      <x:c r="D570" s="1" t="str">
        <x:v>2016-01-29</x:v>
      </x:c>
      <x:c r="E570" s="5" t="n">
        <x:v>2946.09</x:v>
      </x:c>
      <x:c r="F570" s="6" t="str">
        <x:v>2016-02-29</x:v>
      </x:c>
      <x:c r="G570" s="5" t="n">
        <x:v>2877.47</x:v>
      </x:c>
      <x:c r="H570" s="7" t="n">
        <x:f>G570/E570-1</x:f>
        <x:v>-0.023291888570953434</x:v>
      </x:c>
      <x:c r="I570" s="1" t="n">
        <x:v>1</x:v>
      </x:c>
      <x:c r="J570" s="1" t="n">
        <x:v>1</x:v>
      </x:c>
      <x:c r="K570" s="1" t="str">
        <x:v>中证官方优先</x:v>
      </x:c>
    </x:row>
    <x:row r="571" ht="25" customHeight="1">
      <x:c r="A571" s="1" t="str">
        <x:v>sh000300</x:v>
      </x:c>
      <x:c r="B571" s="1" t="str">
        <x:v>沪深300</x:v>
      </x:c>
      <x:c r="C571" s="1" t="str">
        <x:v>2016-03</x:v>
      </x:c>
      <x:c r="D571" s="1" t="str">
        <x:v>2016-02-29</x:v>
      </x:c>
      <x:c r="E571" s="5" t="n">
        <x:v>2877.47</x:v>
      </x:c>
      <x:c r="F571" s="6" t="str">
        <x:v>2016-03-31</x:v>
      </x:c>
      <x:c r="G571" s="5" t="n">
        <x:v>3218.09</x:v>
      </x:c>
      <x:c r="H571" s="7" t="n">
        <x:f>G571/E571-1</x:f>
        <x:v>0.11837482232655794</x:v>
      </x:c>
      <x:c r="I571" s="1" t="n">
        <x:v>1</x:v>
      </x:c>
      <x:c r="J571" s="1" t="n">
        <x:v>1</x:v>
      </x:c>
      <x:c r="K571" s="1" t="str">
        <x:v>中证官方优先</x:v>
      </x:c>
    </x:row>
    <x:row r="572" ht="25" customHeight="1">
      <x:c r="A572" s="1" t="str">
        <x:v>sh000300</x:v>
      </x:c>
      <x:c r="B572" s="1" t="str">
        <x:v>沪深300</x:v>
      </x:c>
      <x:c r="C572" s="1" t="str">
        <x:v>2016-04</x:v>
      </x:c>
      <x:c r="D572" s="1" t="str">
        <x:v>2016-03-31</x:v>
      </x:c>
      <x:c r="E572" s="5" t="n">
        <x:v>3218.09</x:v>
      </x:c>
      <x:c r="F572" s="6" t="str">
        <x:v>2016-04-29</x:v>
      </x:c>
      <x:c r="G572" s="5" t="n">
        <x:v>3156.75</x:v>
      </x:c>
      <x:c r="H572" s="7" t="n">
        <x:f>G572/E572-1</x:f>
        <x:v>-0.019060995808072523</x:v>
      </x:c>
      <x:c r="I572" s="1" t="n">
        <x:v>1</x:v>
      </x:c>
      <x:c r="J572" s="1" t="n">
        <x:v>1</x:v>
      </x:c>
      <x:c r="K572" s="1" t="str">
        <x:v>中证官方优先</x:v>
      </x:c>
    </x:row>
    <x:row r="573" ht="25" customHeight="1">
      <x:c r="A573" s="1" t="str">
        <x:v>sh000300</x:v>
      </x:c>
      <x:c r="B573" s="1" t="str">
        <x:v>沪深300</x:v>
      </x:c>
      <x:c r="C573" s="1" t="str">
        <x:v>2016-05</x:v>
      </x:c>
      <x:c r="D573" s="1" t="str">
        <x:v>2016-04-29</x:v>
      </x:c>
      <x:c r="E573" s="5" t="n">
        <x:v>3156.75</x:v>
      </x:c>
      <x:c r="F573" s="6" t="str">
        <x:v>2016-05-31</x:v>
      </x:c>
      <x:c r="G573" s="5" t="n">
        <x:v>3169.56</x:v>
      </x:c>
      <x:c r="H573" s="7" t="n">
        <x:f>G573/E573-1</x:f>
        <x:v>0.004057971014492789</x:v>
      </x:c>
      <x:c r="I573" s="1" t="n">
        <x:v>1</x:v>
      </x:c>
      <x:c r="J573" s="1" t="n">
        <x:v>1</x:v>
      </x:c>
      <x:c r="K573" s="1" t="str">
        <x:v>中证官方优先</x:v>
      </x:c>
    </x:row>
    <x:row r="574" ht="25" customHeight="1">
      <x:c r="A574" s="1" t="str">
        <x:v>sh000300</x:v>
      </x:c>
      <x:c r="B574" s="1" t="str">
        <x:v>沪深300</x:v>
      </x:c>
      <x:c r="C574" s="1" t="str">
        <x:v>2016-06</x:v>
      </x:c>
      <x:c r="D574" s="1" t="str">
        <x:v>2016-05-31</x:v>
      </x:c>
      <x:c r="E574" s="5" t="n">
        <x:v>3169.56</x:v>
      </x:c>
      <x:c r="F574" s="6" t="str">
        <x:v>2016-06-30</x:v>
      </x:c>
      <x:c r="G574" s="5" t="n">
        <x:v>3153.92</x:v>
      </x:c>
      <x:c r="H574" s="7" t="n">
        <x:f>G574/E574-1</x:f>
        <x:v>-0.004934438849556355</x:v>
      </x:c>
      <x:c r="I574" s="1" t="n">
        <x:v>1</x:v>
      </x:c>
      <x:c r="J574" s="1" t="n">
        <x:v>1</x:v>
      </x:c>
      <x:c r="K574" s="1" t="str">
        <x:v>中证官方优先</x:v>
      </x:c>
    </x:row>
    <x:row r="575" ht="25" customHeight="1">
      <x:c r="A575" s="1" t="str">
        <x:v>sh000300</x:v>
      </x:c>
      <x:c r="B575" s="1" t="str">
        <x:v>沪深300</x:v>
      </x:c>
      <x:c r="C575" s="1" t="str">
        <x:v>2016-07</x:v>
      </x:c>
      <x:c r="D575" s="1" t="str">
        <x:v>2016-06-30</x:v>
      </x:c>
      <x:c r="E575" s="5" t="n">
        <x:v>3153.92</x:v>
      </x:c>
      <x:c r="F575" s="6" t="str">
        <x:v>2016-07-29</x:v>
      </x:c>
      <x:c r="G575" s="5" t="n">
        <x:v>3203.93</x:v>
      </x:c>
      <x:c r="H575" s="7" t="n">
        <x:f>G575/E575-1</x:f>
        <x:v>0.01585645799512969</x:v>
      </x:c>
      <x:c r="I575" s="1" t="n">
        <x:v>1</x:v>
      </x:c>
      <x:c r="J575" s="1" t="n">
        <x:v>1</x:v>
      </x:c>
      <x:c r="K575" s="1" t="str">
        <x:v>中证官方优先</x:v>
      </x:c>
    </x:row>
    <x:row r="576" ht="25" customHeight="1">
      <x:c r="A576" s="1" t="str">
        <x:v>sh000300</x:v>
      </x:c>
      <x:c r="B576" s="1" t="str">
        <x:v>沪深300</x:v>
      </x:c>
      <x:c r="C576" s="1" t="str">
        <x:v>2016-08</x:v>
      </x:c>
      <x:c r="D576" s="1" t="str">
        <x:v>2016-07-29</x:v>
      </x:c>
      <x:c r="E576" s="5" t="n">
        <x:v>3203.93</x:v>
      </x:c>
      <x:c r="F576" s="6" t="str">
        <x:v>2016-08-31</x:v>
      </x:c>
      <x:c r="G576" s="5" t="n">
        <x:v>3327.79</x:v>
      </x:c>
      <x:c r="H576" s="7" t="n">
        <x:f>G576/E576-1</x:f>
        <x:v>0.038658772195397484</x:v>
      </x:c>
      <x:c r="I576" s="1" t="n">
        <x:v>1</x:v>
      </x:c>
      <x:c r="J576" s="1" t="n">
        <x:v>1</x:v>
      </x:c>
      <x:c r="K576" s="1" t="str">
        <x:v>中证官方优先</x:v>
      </x:c>
    </x:row>
    <x:row r="577" ht="25" customHeight="1">
      <x:c r="A577" s="1" t="str">
        <x:v>sh000300</x:v>
      </x:c>
      <x:c r="B577" s="1" t="str">
        <x:v>沪深300</x:v>
      </x:c>
      <x:c r="C577" s="1" t="str">
        <x:v>2016-09</x:v>
      </x:c>
      <x:c r="D577" s="1" t="str">
        <x:v>2016-08-31</x:v>
      </x:c>
      <x:c r="E577" s="5" t="n">
        <x:v>3327.79</x:v>
      </x:c>
      <x:c r="F577" s="6" t="str">
        <x:v>2016-09-30</x:v>
      </x:c>
      <x:c r="G577" s="5" t="n">
        <x:v>3253.28</x:v>
      </x:c>
      <x:c r="H577" s="7" t="n">
        <x:f>G577/E577-1</x:f>
        <x:v>-0.022390234960739663</x:v>
      </x:c>
      <x:c r="I577" s="1" t="n">
        <x:v>1</x:v>
      </x:c>
      <x:c r="J577" s="1" t="n">
        <x:v>1</x:v>
      </x:c>
      <x:c r="K577" s="1" t="str">
        <x:v>中证官方优先</x:v>
      </x:c>
    </x:row>
    <x:row r="578" ht="25" customHeight="1">
      <x:c r="A578" s="1" t="str">
        <x:v>sh000300</x:v>
      </x:c>
      <x:c r="B578" s="1" t="str">
        <x:v>沪深300</x:v>
      </x:c>
      <x:c r="C578" s="1" t="str">
        <x:v>2016-10</x:v>
      </x:c>
      <x:c r="D578" s="1" t="str">
        <x:v>2016-09-30</x:v>
      </x:c>
      <x:c r="E578" s="5" t="n">
        <x:v>3253.28</x:v>
      </x:c>
      <x:c r="F578" s="6" t="str">
        <x:v>2016-10-31</x:v>
      </x:c>
      <x:c r="G578" s="5" t="n">
        <x:v>3336.28</x:v>
      </x:c>
      <x:c r="H578" s="7" t="n">
        <x:f>G578/E578-1</x:f>
        <x:v>0.02551271332316918</x:v>
      </x:c>
      <x:c r="I578" s="1" t="n">
        <x:v>1</x:v>
      </x:c>
      <x:c r="J578" s="1" t="n">
        <x:v>1</x:v>
      </x:c>
      <x:c r="K578" s="1" t="str">
        <x:v>中证官方优先</x:v>
      </x:c>
    </x:row>
    <x:row r="579" ht="25" customHeight="1">
      <x:c r="A579" s="1" t="str">
        <x:v>sh000300</x:v>
      </x:c>
      <x:c r="B579" s="1" t="str">
        <x:v>沪深300</x:v>
      </x:c>
      <x:c r="C579" s="1" t="str">
        <x:v>2016-11</x:v>
      </x:c>
      <x:c r="D579" s="1" t="str">
        <x:v>2016-10-31</x:v>
      </x:c>
      <x:c r="E579" s="5" t="n">
        <x:v>3336.28</x:v>
      </x:c>
      <x:c r="F579" s="6" t="str">
        <x:v>2016-11-30</x:v>
      </x:c>
      <x:c r="G579" s="5" t="n">
        <x:v>3538</x:v>
      </x:c>
      <x:c r="H579" s="7" t="n">
        <x:f>G579/E579-1</x:f>
        <x:v>0.06046255110482335</x:v>
      </x:c>
      <x:c r="I579" s="1" t="n">
        <x:v>1</x:v>
      </x:c>
      <x:c r="J579" s="1" t="n">
        <x:v>1</x:v>
      </x:c>
      <x:c r="K579" s="1" t="str">
        <x:v>中证官方优先</x:v>
      </x:c>
    </x:row>
    <x:row r="580" ht="25" customHeight="1">
      <x:c r="A580" s="1" t="str">
        <x:v>sh000300</x:v>
      </x:c>
      <x:c r="B580" s="1" t="str">
        <x:v>沪深300</x:v>
      </x:c>
      <x:c r="C580" s="1" t="str">
        <x:v>2016-12</x:v>
      </x:c>
      <x:c r="D580" s="1" t="str">
        <x:v>2016-11-30</x:v>
      </x:c>
      <x:c r="E580" s="5" t="n">
        <x:v>3538</x:v>
      </x:c>
      <x:c r="F580" s="6" t="str">
        <x:v>2016-12-30</x:v>
      </x:c>
      <x:c r="G580" s="5" t="n">
        <x:v>3310.08</x:v>
      </x:c>
      <x:c r="H580" s="7" t="n">
        <x:f>G580/E580-1</x:f>
        <x:v>-0.06442057659694744</x:v>
      </x:c>
      <x:c r="I580" s="1" t="n">
        <x:v>1</x:v>
      </x:c>
      <x:c r="J580" s="1" t="n">
        <x:v>1</x:v>
      </x:c>
      <x:c r="K580" s="1" t="str">
        <x:v>中证官方优先</x:v>
      </x:c>
    </x:row>
    <x:row r="581" ht="25" customHeight="1">
      <x:c r="A581" s="1" t="str">
        <x:v>sh000300</x:v>
      </x:c>
      <x:c r="B581" s="1" t="str">
        <x:v>沪深300</x:v>
      </x:c>
      <x:c r="C581" s="1" t="str">
        <x:v>2017-01</x:v>
      </x:c>
      <x:c r="D581" s="1" t="str">
        <x:v>2016-12-30</x:v>
      </x:c>
      <x:c r="E581" s="5" t="n">
        <x:v>3310.08</x:v>
      </x:c>
      <x:c r="F581" s="6" t="str">
        <x:v>2017-01-26</x:v>
      </x:c>
      <x:c r="G581" s="5" t="n">
        <x:v>3387.96</x:v>
      </x:c>
      <x:c r="H581" s="7" t="n">
        <x:f>G581/E581-1</x:f>
        <x:v>0.023528132250580036</x:v>
      </x:c>
      <x:c r="I581" s="1" t="n">
        <x:v>1</x:v>
      </x:c>
      <x:c r="J581" s="1" t="n">
        <x:v>1</x:v>
      </x:c>
      <x:c r="K581" s="1" t="str">
        <x:v>中证官方优先</x:v>
      </x:c>
    </x:row>
    <x:row r="582" ht="25" customHeight="1">
      <x:c r="A582" s="1" t="str">
        <x:v>sh000300</x:v>
      </x:c>
      <x:c r="B582" s="1" t="str">
        <x:v>沪深300</x:v>
      </x:c>
      <x:c r="C582" s="1" t="str">
        <x:v>2017-02</x:v>
      </x:c>
      <x:c r="D582" s="1" t="str">
        <x:v>2017-01-26</x:v>
      </x:c>
      <x:c r="E582" s="5" t="n">
        <x:v>3387.96</x:v>
      </x:c>
      <x:c r="F582" s="6" t="str">
        <x:v>2017-02-28</x:v>
      </x:c>
      <x:c r="G582" s="5" t="n">
        <x:v>3452.81</x:v>
      </x:c>
      <x:c r="H582" s="7" t="n">
        <x:f>G582/E582-1</x:f>
        <x:v>0.019141312176058634</x:v>
      </x:c>
      <x:c r="I582" s="1" t="n">
        <x:v>1</x:v>
      </x:c>
      <x:c r="J582" s="1" t="n">
        <x:v>1</x:v>
      </x:c>
      <x:c r="K582" s="1" t="str">
        <x:v>中证官方优先</x:v>
      </x:c>
    </x:row>
    <x:row r="583" ht="25" customHeight="1">
      <x:c r="A583" s="1" t="str">
        <x:v>sh000300</x:v>
      </x:c>
      <x:c r="B583" s="1" t="str">
        <x:v>沪深300</x:v>
      </x:c>
      <x:c r="C583" s="1" t="str">
        <x:v>2017-03</x:v>
      </x:c>
      <x:c r="D583" s="1" t="str">
        <x:v>2017-02-28</x:v>
      </x:c>
      <x:c r="E583" s="5" t="n">
        <x:v>3452.81</x:v>
      </x:c>
      <x:c r="F583" s="6" t="str">
        <x:v>2017-03-31</x:v>
      </x:c>
      <x:c r="G583" s="5" t="n">
        <x:v>3456.05</x:v>
      </x:c>
      <x:c r="H583" s="7" t="n">
        <x:f>G583/E583-1</x:f>
        <x:v>0.0009383661423594258</x:v>
      </x:c>
      <x:c r="I583" s="1" t="n">
        <x:v>1</x:v>
      </x:c>
      <x:c r="J583" s="1" t="n">
        <x:v>1</x:v>
      </x:c>
      <x:c r="K583" s="1" t="str">
        <x:v>中证官方优先</x:v>
      </x:c>
    </x:row>
    <x:row r="584" ht="25" customHeight="1">
      <x:c r="A584" s="1" t="str">
        <x:v>sh000300</x:v>
      </x:c>
      <x:c r="B584" s="1" t="str">
        <x:v>沪深300</x:v>
      </x:c>
      <x:c r="C584" s="1" t="str">
        <x:v>2017-04</x:v>
      </x:c>
      <x:c r="D584" s="1" t="str">
        <x:v>2017-03-31</x:v>
      </x:c>
      <x:c r="E584" s="5" t="n">
        <x:v>3456.05</x:v>
      </x:c>
      <x:c r="F584" s="6" t="str">
        <x:v>2017-04-28</x:v>
      </x:c>
      <x:c r="G584" s="5" t="n">
        <x:v>3439.75</x:v>
      </x:c>
      <x:c r="H584" s="7" t="n">
        <x:f>G584/E584-1</x:f>
        <x:v>-0.0047163669507096495</x:v>
      </x:c>
      <x:c r="I584" s="1" t="n">
        <x:v>1</x:v>
      </x:c>
      <x:c r="J584" s="1" t="n">
        <x:v>1</x:v>
      </x:c>
      <x:c r="K584" s="1" t="str">
        <x:v>中证官方优先</x:v>
      </x:c>
    </x:row>
    <x:row r="585" ht="25" customHeight="1">
      <x:c r="A585" s="1" t="str">
        <x:v>sh000300</x:v>
      </x:c>
      <x:c r="B585" s="1" t="str">
        <x:v>沪深300</x:v>
      </x:c>
      <x:c r="C585" s="1" t="str">
        <x:v>2017-05</x:v>
      </x:c>
      <x:c r="D585" s="1" t="str">
        <x:v>2017-04-28</x:v>
      </x:c>
      <x:c r="E585" s="5" t="n">
        <x:v>3439.75</x:v>
      </x:c>
      <x:c r="F585" s="6" t="str">
        <x:v>2017-05-31</x:v>
      </x:c>
      <x:c r="G585" s="5" t="n">
        <x:v>3492.88</x:v>
      </x:c>
      <x:c r="H585" s="7" t="n">
        <x:f>G585/E585-1</x:f>
        <x:v>0.015445889962933279</x:v>
      </x:c>
      <x:c r="I585" s="1" t="n">
        <x:v>1</x:v>
      </x:c>
      <x:c r="J585" s="1" t="n">
        <x:v>1</x:v>
      </x:c>
      <x:c r="K585" s="1" t="str">
        <x:v>中证官方优先</x:v>
      </x:c>
    </x:row>
    <x:row r="586" ht="25" customHeight="1">
      <x:c r="A586" s="1" t="str">
        <x:v>sh000300</x:v>
      </x:c>
      <x:c r="B586" s="1" t="str">
        <x:v>沪深300</x:v>
      </x:c>
      <x:c r="C586" s="1" t="str">
        <x:v>2017-06</x:v>
      </x:c>
      <x:c r="D586" s="1" t="str">
        <x:v>2017-05-31</x:v>
      </x:c>
      <x:c r="E586" s="5" t="n">
        <x:v>3492.88</x:v>
      </x:c>
      <x:c r="F586" s="6" t="str">
        <x:v>2017-06-30</x:v>
      </x:c>
      <x:c r="G586" s="5" t="n">
        <x:v>3666.8</x:v>
      </x:c>
      <x:c r="H586" s="7" t="n">
        <x:f>G586/E586-1</x:f>
        <x:v>0.04979272119282663</x:v>
      </x:c>
      <x:c r="I586" s="1" t="n">
        <x:v>1</x:v>
      </x:c>
      <x:c r="J586" s="1" t="n">
        <x:v>1</x:v>
      </x:c>
      <x:c r="K586" s="1" t="str">
        <x:v>中证官方优先</x:v>
      </x:c>
    </x:row>
    <x:row r="587" ht="25" customHeight="1">
      <x:c r="A587" s="1" t="str">
        <x:v>sh000300</x:v>
      </x:c>
      <x:c r="B587" s="1" t="str">
        <x:v>沪深300</x:v>
      </x:c>
      <x:c r="C587" s="1" t="str">
        <x:v>2017-07</x:v>
      </x:c>
      <x:c r="D587" s="1" t="str">
        <x:v>2017-06-30</x:v>
      </x:c>
      <x:c r="E587" s="5" t="n">
        <x:v>3666.8</x:v>
      </x:c>
      <x:c r="F587" s="6" t="str">
        <x:v>2017-07-31</x:v>
      </x:c>
      <x:c r="G587" s="5" t="n">
        <x:v>3737.87</x:v>
      </x:c>
      <x:c r="H587" s="7" t="n">
        <x:f>G587/E587-1</x:f>
        <x:v>0.01938202247191012</x:v>
      </x:c>
      <x:c r="I587" s="1" t="n">
        <x:v>1</x:v>
      </x:c>
      <x:c r="J587" s="1" t="n">
        <x:v>1</x:v>
      </x:c>
      <x:c r="K587" s="1" t="str">
        <x:v>中证官方优先</x:v>
      </x:c>
    </x:row>
    <x:row r="588" ht="25" customHeight="1">
      <x:c r="A588" s="1" t="str">
        <x:v>sh000300</x:v>
      </x:c>
      <x:c r="B588" s="1" t="str">
        <x:v>沪深300</x:v>
      </x:c>
      <x:c r="C588" s="1" t="str">
        <x:v>2017-08</x:v>
      </x:c>
      <x:c r="D588" s="1" t="str">
        <x:v>2017-07-31</x:v>
      </x:c>
      <x:c r="E588" s="5" t="n">
        <x:v>3737.87</x:v>
      </x:c>
      <x:c r="F588" s="6" t="str">
        <x:v>2017-08-31</x:v>
      </x:c>
      <x:c r="G588" s="5" t="n">
        <x:v>3822.09</x:v>
      </x:c>
      <x:c r="H588" s="7" t="n">
        <x:f>G588/E588-1</x:f>
        <x:v>0.02253154871624763</x:v>
      </x:c>
      <x:c r="I588" s="1" t="n">
        <x:v>1</x:v>
      </x:c>
      <x:c r="J588" s="1" t="n">
        <x:v>1</x:v>
      </x:c>
      <x:c r="K588" s="1" t="str">
        <x:v>中证官方优先</x:v>
      </x:c>
    </x:row>
    <x:row r="589" ht="25" customHeight="1">
      <x:c r="A589" s="1" t="str">
        <x:v>sh000300</x:v>
      </x:c>
      <x:c r="B589" s="1" t="str">
        <x:v>沪深300</x:v>
      </x:c>
      <x:c r="C589" s="1" t="str">
        <x:v>2017-09</x:v>
      </x:c>
      <x:c r="D589" s="1" t="str">
        <x:v>2017-08-31</x:v>
      </x:c>
      <x:c r="E589" s="5" t="n">
        <x:v>3822.09</x:v>
      </x:c>
      <x:c r="F589" s="6" t="str">
        <x:v>2017-09-29</x:v>
      </x:c>
      <x:c r="G589" s="5" t="n">
        <x:v>3836.5</x:v>
      </x:c>
      <x:c r="H589" s="7" t="n">
        <x:f>G589/E589-1</x:f>
        <x:v>0.003770188561755372</x:v>
      </x:c>
      <x:c r="I589" s="1" t="n">
        <x:v>1</x:v>
      </x:c>
      <x:c r="J589" s="1" t="n">
        <x:v>1</x:v>
      </x:c>
      <x:c r="K589" s="1" t="str">
        <x:v>中证官方优先</x:v>
      </x:c>
    </x:row>
    <x:row r="590" ht="25" customHeight="1">
      <x:c r="A590" s="1" t="str">
        <x:v>sh000300</x:v>
      </x:c>
      <x:c r="B590" s="1" t="str">
        <x:v>沪深300</x:v>
      </x:c>
      <x:c r="C590" s="1" t="str">
        <x:v>2017-10</x:v>
      </x:c>
      <x:c r="D590" s="1" t="str">
        <x:v>2017-09-29</x:v>
      </x:c>
      <x:c r="E590" s="5" t="n">
        <x:v>3836.5</x:v>
      </x:c>
      <x:c r="F590" s="6" t="str">
        <x:v>2017-10-31</x:v>
      </x:c>
      <x:c r="G590" s="5" t="n">
        <x:v>4006.72</x:v>
      </x:c>
      <x:c r="H590" s="7" t="n">
        <x:f>G590/E590-1</x:f>
        <x:v>0.04436856509839693</x:v>
      </x:c>
      <x:c r="I590" s="1" t="n">
        <x:v>1</x:v>
      </x:c>
      <x:c r="J590" s="1" t="n">
        <x:v>1</x:v>
      </x:c>
      <x:c r="K590" s="1" t="str">
        <x:v>中证官方优先</x:v>
      </x:c>
    </x:row>
    <x:row r="591" ht="25" customHeight="1">
      <x:c r="A591" s="1" t="str">
        <x:v>sh000300</x:v>
      </x:c>
      <x:c r="B591" s="1" t="str">
        <x:v>沪深300</x:v>
      </x:c>
      <x:c r="C591" s="1" t="str">
        <x:v>2017-11</x:v>
      </x:c>
      <x:c r="D591" s="1" t="str">
        <x:v>2017-10-31</x:v>
      </x:c>
      <x:c r="E591" s="5" t="n">
        <x:v>4006.72</x:v>
      </x:c>
      <x:c r="F591" s="6" t="str">
        <x:v>2017-11-30</x:v>
      </x:c>
      <x:c r="G591" s="5" t="n">
        <x:v>4006.1</x:v>
      </x:c>
      <x:c r="H591" s="7" t="n">
        <x:f>G591/E591-1</x:f>
        <x:v>-0.00015474003673821013</x:v>
      </x:c>
      <x:c r="I591" s="1" t="n">
        <x:v>1</x:v>
      </x:c>
      <x:c r="J591" s="1" t="n">
        <x:v>1</x:v>
      </x:c>
      <x:c r="K591" s="1" t="str">
        <x:v>中证官方优先</x:v>
      </x:c>
    </x:row>
    <x:row r="592" ht="25" customHeight="1">
      <x:c r="A592" s="1" t="str">
        <x:v>sh000300</x:v>
      </x:c>
      <x:c r="B592" s="1" t="str">
        <x:v>沪深300</x:v>
      </x:c>
      <x:c r="C592" s="1" t="str">
        <x:v>2017-12</x:v>
      </x:c>
      <x:c r="D592" s="1" t="str">
        <x:v>2017-11-30</x:v>
      </x:c>
      <x:c r="E592" s="5" t="n">
        <x:v>4006.1</x:v>
      </x:c>
      <x:c r="F592" s="6" t="str">
        <x:v>2017-12-29</x:v>
      </x:c>
      <x:c r="G592" s="5" t="n">
        <x:v>4030.85</x:v>
      </x:c>
      <x:c r="H592" s="7" t="n">
        <x:f>G592/E592-1</x:f>
        <x:v>0.006178078430393752</x:v>
      </x:c>
      <x:c r="I592" s="1" t="n">
        <x:v>1</x:v>
      </x:c>
      <x:c r="J592" s="1" t="n">
        <x:v>1</x:v>
      </x:c>
      <x:c r="K592" s="1" t="str">
        <x:v>中证官方优先</x:v>
      </x:c>
    </x:row>
    <x:row r="593" ht="25" customHeight="1">
      <x:c r="A593" s="1" t="str">
        <x:v>sh000300</x:v>
      </x:c>
      <x:c r="B593" s="1" t="str">
        <x:v>沪深300</x:v>
      </x:c>
      <x:c r="C593" s="1" t="str">
        <x:v>2018-01</x:v>
      </x:c>
      <x:c r="D593" s="1" t="str">
        <x:v>2017-12-29</x:v>
      </x:c>
      <x:c r="E593" s="5" t="n">
        <x:v>4030.85</x:v>
      </x:c>
      <x:c r="F593" s="6" t="str">
        <x:v>2018-01-31</x:v>
      </x:c>
      <x:c r="G593" s="5" t="n">
        <x:v>4275.9</x:v>
      </x:c>
      <x:c r="H593" s="7" t="n">
        <x:f>G593/E593-1</x:f>
        <x:v>0.06079362913529396</x:v>
      </x:c>
      <x:c r="I593" s="1" t="n">
        <x:v>1</x:v>
      </x:c>
      <x:c r="J593" s="1" t="n">
        <x:v>1</x:v>
      </x:c>
      <x:c r="K593" s="1" t="str">
        <x:v>中证官方优先</x:v>
      </x:c>
    </x:row>
    <x:row r="594" ht="25" customHeight="1">
      <x:c r="A594" s="1" t="str">
        <x:v>sh000300</x:v>
      </x:c>
      <x:c r="B594" s="1" t="str">
        <x:v>沪深300</x:v>
      </x:c>
      <x:c r="C594" s="1" t="str">
        <x:v>2018-02</x:v>
      </x:c>
      <x:c r="D594" s="1" t="str">
        <x:v>2018-01-31</x:v>
      </x:c>
      <x:c r="E594" s="5" t="n">
        <x:v>4275.9</x:v>
      </x:c>
      <x:c r="F594" s="6" t="str">
        <x:v>2018-02-28</x:v>
      </x:c>
      <x:c r="G594" s="5" t="n">
        <x:v>4023.64</x:v>
      </x:c>
      <x:c r="H594" s="7" t="n">
        <x:f>G594/E594-1</x:f>
        <x:v>-0.05899576697303488</x:v>
      </x:c>
      <x:c r="I594" s="1" t="n">
        <x:v>1</x:v>
      </x:c>
      <x:c r="J594" s="1" t="n">
        <x:v>1</x:v>
      </x:c>
      <x:c r="K594" s="1" t="str">
        <x:v>中证官方优先</x:v>
      </x:c>
    </x:row>
    <x:row r="595" ht="25" customHeight="1">
      <x:c r="A595" s="1" t="str">
        <x:v>sh000300</x:v>
      </x:c>
      <x:c r="B595" s="1" t="str">
        <x:v>沪深300</x:v>
      </x:c>
      <x:c r="C595" s="1" t="str">
        <x:v>2018-03</x:v>
      </x:c>
      <x:c r="D595" s="1" t="str">
        <x:v>2018-02-28</x:v>
      </x:c>
      <x:c r="E595" s="5" t="n">
        <x:v>4023.64</x:v>
      </x:c>
      <x:c r="F595" s="6" t="str">
        <x:v>2018-03-30</x:v>
      </x:c>
      <x:c r="G595" s="5" t="n">
        <x:v>3898.5</x:v>
      </x:c>
      <x:c r="H595" s="7" t="n">
        <x:f>G595/E595-1</x:f>
        <x:v>-0.03110119195554273</x:v>
      </x:c>
      <x:c r="I595" s="1" t="n">
        <x:v>1</x:v>
      </x:c>
      <x:c r="J595" s="1" t="n">
        <x:v>1</x:v>
      </x:c>
      <x:c r="K595" s="1" t="str">
        <x:v>中证官方优先</x:v>
      </x:c>
    </x:row>
    <x:row r="596" ht="25" customHeight="1">
      <x:c r="A596" s="1" t="str">
        <x:v>sh000300</x:v>
      </x:c>
      <x:c r="B596" s="1" t="str">
        <x:v>沪深300</x:v>
      </x:c>
      <x:c r="C596" s="1" t="str">
        <x:v>2018-04</x:v>
      </x:c>
      <x:c r="D596" s="1" t="str">
        <x:v>2018-03-30</x:v>
      </x:c>
      <x:c r="E596" s="5" t="n">
        <x:v>3898.5</x:v>
      </x:c>
      <x:c r="F596" s="6" t="str">
        <x:v>2018-04-27</x:v>
      </x:c>
      <x:c r="G596" s="5" t="n">
        <x:v>3756.88</x:v>
      </x:c>
      <x:c r="H596" s="7" t="n">
        <x:f>G596/E596-1</x:f>
        <x:v>-0.03632679235603431</x:v>
      </x:c>
      <x:c r="I596" s="1" t="n">
        <x:v>1</x:v>
      </x:c>
      <x:c r="J596" s="1" t="n">
        <x:v>1</x:v>
      </x:c>
      <x:c r="K596" s="1" t="str">
        <x:v>中证官方优先</x:v>
      </x:c>
    </x:row>
    <x:row r="597" ht="25" customHeight="1">
      <x:c r="A597" s="1" t="str">
        <x:v>sh000300</x:v>
      </x:c>
      <x:c r="B597" s="1" t="str">
        <x:v>沪深300</x:v>
      </x:c>
      <x:c r="C597" s="1" t="str">
        <x:v>2018-05</x:v>
      </x:c>
      <x:c r="D597" s="1" t="str">
        <x:v>2018-04-27</x:v>
      </x:c>
      <x:c r="E597" s="5" t="n">
        <x:v>3756.88</x:v>
      </x:c>
      <x:c r="F597" s="6" t="str">
        <x:v>2018-05-31</x:v>
      </x:c>
      <x:c r="G597" s="5" t="n">
        <x:v>3802.38</x:v>
      </x:c>
      <x:c r="H597" s="7" t="n">
        <x:f>G597/E597-1</x:f>
        <x:v>0.012111113477140556</x:v>
      </x:c>
      <x:c r="I597" s="1" t="n">
        <x:v>1</x:v>
      </x:c>
      <x:c r="J597" s="1" t="n">
        <x:v>1</x:v>
      </x:c>
      <x:c r="K597" s="1" t="str">
        <x:v>中证官方优先</x:v>
      </x:c>
    </x:row>
    <x:row r="598" ht="25" customHeight="1">
      <x:c r="A598" s="1" t="str">
        <x:v>sh000300</x:v>
      </x:c>
      <x:c r="B598" s="1" t="str">
        <x:v>沪深300</x:v>
      </x:c>
      <x:c r="C598" s="1" t="str">
        <x:v>2018-06</x:v>
      </x:c>
      <x:c r="D598" s="1" t="str">
        <x:v>2018-05-31</x:v>
      </x:c>
      <x:c r="E598" s="5" t="n">
        <x:v>3802.38</x:v>
      </x:c>
      <x:c r="F598" s="6" t="str">
        <x:v>2018-06-29</x:v>
      </x:c>
      <x:c r="G598" s="5" t="n">
        <x:v>3510.98</x:v>
      </x:c>
      <x:c r="H598" s="7" t="n">
        <x:f>G598/E598-1</x:f>
        <x:v>-0.07663621205665927</x:v>
      </x:c>
      <x:c r="I598" s="1" t="n">
        <x:v>1</x:v>
      </x:c>
      <x:c r="J598" s="1" t="n">
        <x:v>1</x:v>
      </x:c>
      <x:c r="K598" s="1" t="str">
        <x:v>中证官方优先</x:v>
      </x:c>
    </x:row>
    <x:row r="599" ht="25" customHeight="1">
      <x:c r="A599" s="1" t="str">
        <x:v>sh000300</x:v>
      </x:c>
      <x:c r="B599" s="1" t="str">
        <x:v>沪深300</x:v>
      </x:c>
      <x:c r="C599" s="1" t="str">
        <x:v>2018-07</x:v>
      </x:c>
      <x:c r="D599" s="1" t="str">
        <x:v>2018-06-29</x:v>
      </x:c>
      <x:c r="E599" s="5" t="n">
        <x:v>3510.98</x:v>
      </x:c>
      <x:c r="F599" s="6" t="str">
        <x:v>2018-07-31</x:v>
      </x:c>
      <x:c r="G599" s="5" t="n">
        <x:v>3517.66</x:v>
      </x:c>
      <x:c r="H599" s="7" t="n">
        <x:f>G599/E599-1</x:f>
        <x:v>0.001902602692125832</x:v>
      </x:c>
      <x:c r="I599" s="1" t="n">
        <x:v>1</x:v>
      </x:c>
      <x:c r="J599" s="1" t="n">
        <x:v>1</x:v>
      </x:c>
      <x:c r="K599" s="1" t="str">
        <x:v>中证官方优先</x:v>
      </x:c>
    </x:row>
    <x:row r="600" ht="25" customHeight="1">
      <x:c r="A600" s="1" t="str">
        <x:v>sh000300</x:v>
      </x:c>
      <x:c r="B600" s="1" t="str">
        <x:v>沪深300</x:v>
      </x:c>
      <x:c r="C600" s="1" t="str">
        <x:v>2018-08</x:v>
      </x:c>
      <x:c r="D600" s="1" t="str">
        <x:v>2018-07-31</x:v>
      </x:c>
      <x:c r="E600" s="5" t="n">
        <x:v>3517.66</x:v>
      </x:c>
      <x:c r="F600" s="6" t="str">
        <x:v>2018-08-31</x:v>
      </x:c>
      <x:c r="G600" s="5" t="n">
        <x:v>3334.5</x:v>
      </x:c>
      <x:c r="H600" s="7" t="n">
        <x:f>G600/E600-1</x:f>
        <x:v>-0.052068704763962415</x:v>
      </x:c>
      <x:c r="I600" s="1" t="n">
        <x:v>1</x:v>
      </x:c>
      <x:c r="J600" s="1" t="n">
        <x:v>1</x:v>
      </x:c>
      <x:c r="K600" s="1" t="str">
        <x:v>中证官方优先</x:v>
      </x:c>
    </x:row>
    <x:row r="601" ht="25" customHeight="1">
      <x:c r="A601" s="1" t="str">
        <x:v>sh000300</x:v>
      </x:c>
      <x:c r="B601" s="1" t="str">
        <x:v>沪深300</x:v>
      </x:c>
      <x:c r="C601" s="1" t="str">
        <x:v>2018-09</x:v>
      </x:c>
      <x:c r="D601" s="1" t="str">
        <x:v>2018-08-31</x:v>
      </x:c>
      <x:c r="E601" s="5" t="n">
        <x:v>3334.5</x:v>
      </x:c>
      <x:c r="F601" s="6" t="str">
        <x:v>2018-09-28</x:v>
      </x:c>
      <x:c r="G601" s="5" t="n">
        <x:v>3438.86</x:v>
      </x:c>
      <x:c r="H601" s="7" t="n">
        <x:f>G601/E601-1</x:f>
        <x:v>0.031297046033888165</x:v>
      </x:c>
      <x:c r="I601" s="1" t="n">
        <x:v>1</x:v>
      </x:c>
      <x:c r="J601" s="1" t="n">
        <x:v>1</x:v>
      </x:c>
      <x:c r="K601" s="1" t="str">
        <x:v>中证官方优先</x:v>
      </x:c>
    </x:row>
    <x:row r="602" ht="25" customHeight="1">
      <x:c r="A602" s="1" t="str">
        <x:v>sh000300</x:v>
      </x:c>
      <x:c r="B602" s="1" t="str">
        <x:v>沪深300</x:v>
      </x:c>
      <x:c r="C602" s="1" t="str">
        <x:v>2018-10</x:v>
      </x:c>
      <x:c r="D602" s="1" t="str">
        <x:v>2018-09-28</x:v>
      </x:c>
      <x:c r="E602" s="5" t="n">
        <x:v>3438.86</x:v>
      </x:c>
      <x:c r="F602" s="6" t="str">
        <x:v>2018-10-31</x:v>
      </x:c>
      <x:c r="G602" s="5" t="n">
        <x:v>3153.82</x:v>
      </x:c>
      <x:c r="H602" s="7" t="n">
        <x:f>G602/E602-1</x:f>
        <x:v>-0.08288793379201242</x:v>
      </x:c>
      <x:c r="I602" s="1" t="n">
        <x:v>1</x:v>
      </x:c>
      <x:c r="J602" s="1" t="n">
        <x:v>1</x:v>
      </x:c>
      <x:c r="K602" s="1" t="str">
        <x:v>中证官方优先</x:v>
      </x:c>
    </x:row>
    <x:row r="603" ht="25" customHeight="1">
      <x:c r="A603" s="1" t="str">
        <x:v>sh000300</x:v>
      </x:c>
      <x:c r="B603" s="1" t="str">
        <x:v>沪深300</x:v>
      </x:c>
      <x:c r="C603" s="1" t="str">
        <x:v>2018-11</x:v>
      </x:c>
      <x:c r="D603" s="1" t="str">
        <x:v>2018-10-31</x:v>
      </x:c>
      <x:c r="E603" s="5" t="n">
        <x:v>3153.82</x:v>
      </x:c>
      <x:c r="F603" s="6" t="str">
        <x:v>2018-11-30</x:v>
      </x:c>
      <x:c r="G603" s="5" t="n">
        <x:v>3172.69</x:v>
      </x:c>
      <x:c r="H603" s="7" t="n">
        <x:f>G603/E603-1</x:f>
        <x:v>0.005983220348656504</x:v>
      </x:c>
      <x:c r="I603" s="1" t="n">
        <x:v>1</x:v>
      </x:c>
      <x:c r="J603" s="1" t="n">
        <x:v>1</x:v>
      </x:c>
      <x:c r="K603" s="1" t="str">
        <x:v>中证官方优先</x:v>
      </x:c>
    </x:row>
    <x:row r="604" ht="25" customHeight="1">
      <x:c r="A604" s="1" t="str">
        <x:v>sh000300</x:v>
      </x:c>
      <x:c r="B604" s="1" t="str">
        <x:v>沪深300</x:v>
      </x:c>
      <x:c r="C604" s="1" t="str">
        <x:v>2018-12</x:v>
      </x:c>
      <x:c r="D604" s="1" t="str">
        <x:v>2018-11-30</x:v>
      </x:c>
      <x:c r="E604" s="5" t="n">
        <x:v>3172.69</x:v>
      </x:c>
      <x:c r="F604" s="6" t="str">
        <x:v>2018-12-28</x:v>
      </x:c>
      <x:c r="G604" s="5" t="n">
        <x:v>3010.65</x:v>
      </x:c>
      <x:c r="H604" s="7" t="n">
        <x:f>G604/E604-1</x:f>
        <x:v>-0.051073379372078564</x:v>
      </x:c>
      <x:c r="I604" s="1" t="n">
        <x:v>1</x:v>
      </x:c>
      <x:c r="J604" s="1" t="n">
        <x:v>1</x:v>
      </x:c>
      <x:c r="K604" s="1" t="str">
        <x:v>中证官方优先</x:v>
      </x:c>
    </x:row>
    <x:row r="605" ht="25" customHeight="1">
      <x:c r="A605" s="1" t="str">
        <x:v>sh000300</x:v>
      </x:c>
      <x:c r="B605" s="1" t="str">
        <x:v>沪深300</x:v>
      </x:c>
      <x:c r="C605" s="1" t="str">
        <x:v>2019-01</x:v>
      </x:c>
      <x:c r="D605" s="1" t="str">
        <x:v>2018-12-28</x:v>
      </x:c>
      <x:c r="E605" s="5" t="n">
        <x:v>3010.65</x:v>
      </x:c>
      <x:c r="F605" s="6" t="str">
        <x:v>2019-01-31</x:v>
      </x:c>
      <x:c r="G605" s="5" t="n">
        <x:v>3201.63</x:v>
      </x:c>
      <x:c r="H605" s="7" t="n">
        <x:f>G605/E605-1</x:f>
        <x:v>0.06343480643714816</x:v>
      </x:c>
      <x:c r="I605" s="1" t="n">
        <x:v>1</x:v>
      </x:c>
      <x:c r="J605" s="1" t="n">
        <x:v>1</x:v>
      </x:c>
      <x:c r="K605" s="1" t="str">
        <x:v>中证官方优先</x:v>
      </x:c>
    </x:row>
    <x:row r="606" ht="25" customHeight="1">
      <x:c r="A606" s="1" t="str">
        <x:v>sh000300</x:v>
      </x:c>
      <x:c r="B606" s="1" t="str">
        <x:v>沪深300</x:v>
      </x:c>
      <x:c r="C606" s="1" t="str">
        <x:v>2019-02</x:v>
      </x:c>
      <x:c r="D606" s="1" t="str">
        <x:v>2019-01-31</x:v>
      </x:c>
      <x:c r="E606" s="5" t="n">
        <x:v>3201.63</x:v>
      </x:c>
      <x:c r="F606" s="6" t="str">
        <x:v>2019-02-28</x:v>
      </x:c>
      <x:c r="G606" s="5" t="n">
        <x:v>3669.37</x:v>
      </x:c>
      <x:c r="H606" s="7" t="n">
        <x:f>G606/E606-1</x:f>
        <x:v>0.14609433319902676</x:v>
      </x:c>
      <x:c r="I606" s="1" t="n">
        <x:v>1</x:v>
      </x:c>
      <x:c r="J606" s="1" t="n">
        <x:v>1</x:v>
      </x:c>
      <x:c r="K606" s="1" t="str">
        <x:v>中证官方优先</x:v>
      </x:c>
    </x:row>
    <x:row r="607" ht="25" customHeight="1">
      <x:c r="A607" s="1" t="str">
        <x:v>sh000300</x:v>
      </x:c>
      <x:c r="B607" s="1" t="str">
        <x:v>沪深300</x:v>
      </x:c>
      <x:c r="C607" s="1" t="str">
        <x:v>2019-03</x:v>
      </x:c>
      <x:c r="D607" s="1" t="str">
        <x:v>2019-02-28</x:v>
      </x:c>
      <x:c r="E607" s="5" t="n">
        <x:v>3669.37</x:v>
      </x:c>
      <x:c r="F607" s="6" t="str">
        <x:v>2019-03-29</x:v>
      </x:c>
      <x:c r="G607" s="5" t="n">
        <x:v>3872.34</x:v>
      </x:c>
      <x:c r="H607" s="7" t="n">
        <x:f>G607/E607-1</x:f>
        <x:v>0.05531467254596856</x:v>
      </x:c>
      <x:c r="I607" s="1" t="n">
        <x:v>1</x:v>
      </x:c>
      <x:c r="J607" s="1" t="n">
        <x:v>1</x:v>
      </x:c>
      <x:c r="K607" s="1" t="str">
        <x:v>中证官方优先</x:v>
      </x:c>
    </x:row>
    <x:row r="608" ht="25" customHeight="1">
      <x:c r="A608" s="1" t="str">
        <x:v>sh000300</x:v>
      </x:c>
      <x:c r="B608" s="1" t="str">
        <x:v>沪深300</x:v>
      </x:c>
      <x:c r="C608" s="1" t="str">
        <x:v>2019-04</x:v>
      </x:c>
      <x:c r="D608" s="1" t="str">
        <x:v>2019-03-29</x:v>
      </x:c>
      <x:c r="E608" s="5" t="n">
        <x:v>3872.34</x:v>
      </x:c>
      <x:c r="F608" s="6" t="str">
        <x:v>2019-04-30</x:v>
      </x:c>
      <x:c r="G608" s="5" t="n">
        <x:v>3913.21</x:v>
      </x:c>
      <x:c r="H608" s="7" t="n">
        <x:f>G608/E608-1</x:f>
        <x:v>0.010554341819158486</x:v>
      </x:c>
      <x:c r="I608" s="1" t="n">
        <x:v>1</x:v>
      </x:c>
      <x:c r="J608" s="1" t="n">
        <x:v>1</x:v>
      </x:c>
      <x:c r="K608" s="1" t="str">
        <x:v>中证官方优先</x:v>
      </x:c>
    </x:row>
    <x:row r="609" ht="25" customHeight="1">
      <x:c r="A609" s="1" t="str">
        <x:v>sh000300</x:v>
      </x:c>
      <x:c r="B609" s="1" t="str">
        <x:v>沪深300</x:v>
      </x:c>
      <x:c r="C609" s="1" t="str">
        <x:v>2019-05</x:v>
      </x:c>
      <x:c r="D609" s="1" t="str">
        <x:v>2019-04-30</x:v>
      </x:c>
      <x:c r="E609" s="5" t="n">
        <x:v>3913.21</x:v>
      </x:c>
      <x:c r="F609" s="6" t="str">
        <x:v>2019-05-31</x:v>
      </x:c>
      <x:c r="G609" s="5" t="n">
        <x:v>3629.79</x:v>
      </x:c>
      <x:c r="H609" s="7" t="n">
        <x:f>G609/E609-1</x:f>
        <x:v>-0.0724264734067428</x:v>
      </x:c>
      <x:c r="I609" s="1" t="n">
        <x:v>1</x:v>
      </x:c>
      <x:c r="J609" s="1" t="n">
        <x:v>1</x:v>
      </x:c>
      <x:c r="K609" s="1" t="str">
        <x:v>中证官方优先</x:v>
      </x:c>
    </x:row>
    <x:row r="610" ht="25" customHeight="1">
      <x:c r="A610" s="1" t="str">
        <x:v>sh000300</x:v>
      </x:c>
      <x:c r="B610" s="1" t="str">
        <x:v>沪深300</x:v>
      </x:c>
      <x:c r="C610" s="1" t="str">
        <x:v>2019-06</x:v>
      </x:c>
      <x:c r="D610" s="1" t="str">
        <x:v>2019-05-31</x:v>
      </x:c>
      <x:c r="E610" s="5" t="n">
        <x:v>3629.79</x:v>
      </x:c>
      <x:c r="F610" s="6" t="str">
        <x:v>2019-06-28</x:v>
      </x:c>
      <x:c r="G610" s="5" t="n">
        <x:v>3825.59</x:v>
      </x:c>
      <x:c r="H610" s="7" t="n">
        <x:f>G610/E610-1</x:f>
        <x:v>0.05394251458073329</x:v>
      </x:c>
      <x:c r="I610" s="1" t="n">
        <x:v>1</x:v>
      </x:c>
      <x:c r="J610" s="1" t="n">
        <x:v>1</x:v>
      </x:c>
      <x:c r="K610" s="1" t="str">
        <x:v>中证官方优先</x:v>
      </x:c>
    </x:row>
    <x:row r="611" ht="25" customHeight="1">
      <x:c r="A611" s="1" t="str">
        <x:v>sh000300</x:v>
      </x:c>
      <x:c r="B611" s="1" t="str">
        <x:v>沪深300</x:v>
      </x:c>
      <x:c r="C611" s="1" t="str">
        <x:v>2019-07</x:v>
      </x:c>
      <x:c r="D611" s="1" t="str">
        <x:v>2019-06-28</x:v>
      </x:c>
      <x:c r="E611" s="5" t="n">
        <x:v>3825.59</x:v>
      </x:c>
      <x:c r="F611" s="6" t="str">
        <x:v>2019-07-31</x:v>
      </x:c>
      <x:c r="G611" s="5" t="n">
        <x:v>3835.36</x:v>
      </x:c>
      <x:c r="H611" s="7" t="n">
        <x:f>G611/E611-1</x:f>
        <x:v>0.002553854438138936</x:v>
      </x:c>
      <x:c r="I611" s="1" t="n">
        <x:v>1</x:v>
      </x:c>
      <x:c r="J611" s="1" t="n">
        <x:v>1</x:v>
      </x:c>
      <x:c r="K611" s="1" t="str">
        <x:v>中证官方优先</x:v>
      </x:c>
    </x:row>
    <x:row r="612" ht="25" customHeight="1">
      <x:c r="A612" s="1" t="str">
        <x:v>sh000300</x:v>
      </x:c>
      <x:c r="B612" s="1" t="str">
        <x:v>沪深300</x:v>
      </x:c>
      <x:c r="C612" s="1" t="str">
        <x:v>2019-08</x:v>
      </x:c>
      <x:c r="D612" s="1" t="str">
        <x:v>2019-07-31</x:v>
      </x:c>
      <x:c r="E612" s="5" t="n">
        <x:v>3835.36</x:v>
      </x:c>
      <x:c r="F612" s="6" t="str">
        <x:v>2019-08-30</x:v>
      </x:c>
      <x:c r="G612" s="5" t="n">
        <x:v>3799.59</x:v>
      </x:c>
      <x:c r="H612" s="7" t="n">
        <x:f>G612/E612-1</x:f>
        <x:v>-0.009326373534687793</x:v>
      </x:c>
      <x:c r="I612" s="1" t="n">
        <x:v>1</x:v>
      </x:c>
      <x:c r="J612" s="1" t="n">
        <x:v>1</x:v>
      </x:c>
      <x:c r="K612" s="1" t="str">
        <x:v>中证官方优先</x:v>
      </x:c>
    </x:row>
    <x:row r="613" ht="25" customHeight="1">
      <x:c r="A613" s="1" t="str">
        <x:v>sh000300</x:v>
      </x:c>
      <x:c r="B613" s="1" t="str">
        <x:v>沪深300</x:v>
      </x:c>
      <x:c r="C613" s="1" t="str">
        <x:v>2019-09</x:v>
      </x:c>
      <x:c r="D613" s="1" t="str">
        <x:v>2019-08-30</x:v>
      </x:c>
      <x:c r="E613" s="5" t="n">
        <x:v>3799.59</x:v>
      </x:c>
      <x:c r="F613" s="6" t="str">
        <x:v>2019-09-30</x:v>
      </x:c>
      <x:c r="G613" s="5" t="n">
        <x:v>3814.53</x:v>
      </x:c>
      <x:c r="H613" s="7" t="n">
        <x:f>G613/E613-1</x:f>
        <x:v>0.00393200318981779</x:v>
      </x:c>
      <x:c r="I613" s="1" t="n">
        <x:v>1</x:v>
      </x:c>
      <x:c r="J613" s="1" t="n">
        <x:v>1</x:v>
      </x:c>
      <x:c r="K613" s="1" t="str">
        <x:v>中证官方优先</x:v>
      </x:c>
    </x:row>
    <x:row r="614" ht="25" customHeight="1">
      <x:c r="A614" s="1" t="str">
        <x:v>sh000300</x:v>
      </x:c>
      <x:c r="B614" s="1" t="str">
        <x:v>沪深300</x:v>
      </x:c>
      <x:c r="C614" s="1" t="str">
        <x:v>2019-10</x:v>
      </x:c>
      <x:c r="D614" s="1" t="str">
        <x:v>2019-09-30</x:v>
      </x:c>
      <x:c r="E614" s="5" t="n">
        <x:v>3814.53</x:v>
      </x:c>
      <x:c r="F614" s="6" t="str">
        <x:v>2019-10-31</x:v>
      </x:c>
      <x:c r="G614" s="5" t="n">
        <x:v>3886.75</x:v>
      </x:c>
      <x:c r="H614" s="7" t="n">
        <x:f>G614/E614-1</x:f>
        <x:v>0.018932869842418265</x:v>
      </x:c>
      <x:c r="I614" s="1" t="n">
        <x:v>1</x:v>
      </x:c>
      <x:c r="J614" s="1" t="n">
        <x:v>1</x:v>
      </x:c>
      <x:c r="K614" s="1" t="str">
        <x:v>中证官方优先</x:v>
      </x:c>
    </x:row>
    <x:row r="615" ht="25" customHeight="1">
      <x:c r="A615" s="1" t="str">
        <x:v>sh000300</x:v>
      </x:c>
      <x:c r="B615" s="1" t="str">
        <x:v>沪深300</x:v>
      </x:c>
      <x:c r="C615" s="1" t="str">
        <x:v>2019-11</x:v>
      </x:c>
      <x:c r="D615" s="1" t="str">
        <x:v>2019-10-31</x:v>
      </x:c>
      <x:c r="E615" s="5" t="n">
        <x:v>3886.75</x:v>
      </x:c>
      <x:c r="F615" s="6" t="str">
        <x:v>2019-11-29</x:v>
      </x:c>
      <x:c r="G615" s="5" t="n">
        <x:v>3828.67</x:v>
      </x:c>
      <x:c r="H615" s="7" t="n">
        <x:f>G615/E615-1</x:f>
        <x:v>-0.01494307583456611</x:v>
      </x:c>
      <x:c r="I615" s="1" t="n">
        <x:v>1</x:v>
      </x:c>
      <x:c r="J615" s="1" t="n">
        <x:v>1</x:v>
      </x:c>
      <x:c r="K615" s="1" t="str">
        <x:v>中证官方优先</x:v>
      </x:c>
    </x:row>
    <x:row r="616" ht="25" customHeight="1">
      <x:c r="A616" s="1" t="str">
        <x:v>sh000300</x:v>
      </x:c>
      <x:c r="B616" s="1" t="str">
        <x:v>沪深300</x:v>
      </x:c>
      <x:c r="C616" s="1" t="str">
        <x:v>2019-12</x:v>
      </x:c>
      <x:c r="D616" s="1" t="str">
        <x:v>2019-11-29</x:v>
      </x:c>
      <x:c r="E616" s="5" t="n">
        <x:v>3828.67</x:v>
      </x:c>
      <x:c r="F616" s="6" t="str">
        <x:v>2019-12-31</x:v>
      </x:c>
      <x:c r="G616" s="5" t="n">
        <x:v>4096.58</x:v>
      </x:c>
      <x:c r="H616" s="7" t="n">
        <x:f>G616/E616-1</x:f>
        <x:v>0.0699746909501211</x:v>
      </x:c>
      <x:c r="I616" s="1" t="n">
        <x:v>1</x:v>
      </x:c>
      <x:c r="J616" s="1" t="n">
        <x:v>1</x:v>
      </x:c>
      <x:c r="K616" s="1" t="str">
        <x:v>中证官方优先</x:v>
      </x:c>
    </x:row>
    <x:row r="617" ht="25" customHeight="1">
      <x:c r="A617" s="1" t="str">
        <x:v>sh000300</x:v>
      </x:c>
      <x:c r="B617" s="1" t="str">
        <x:v>沪深300</x:v>
      </x:c>
      <x:c r="C617" s="1" t="str">
        <x:v>2020-01</x:v>
      </x:c>
      <x:c r="D617" s="1" t="str">
        <x:v>2019-12-31</x:v>
      </x:c>
      <x:c r="E617" s="5" t="n">
        <x:v>4096.58</x:v>
      </x:c>
      <x:c r="F617" s="6" t="str">
        <x:v>2020-01-23</x:v>
      </x:c>
      <x:c r="G617" s="5" t="n">
        <x:v>4003.9</x:v>
      </x:c>
      <x:c r="H617" s="7" t="n">
        <x:f>G617/E617-1</x:f>
        <x:v>-0.02262374956671176</x:v>
      </x:c>
      <x:c r="I617" s="1" t="n">
        <x:v>1</x:v>
      </x:c>
      <x:c r="J617" s="1" t="n">
        <x:v>1</x:v>
      </x:c>
      <x:c r="K617" s="1" t="str">
        <x:v>中证官方优先</x:v>
      </x:c>
    </x:row>
    <x:row r="618" ht="25" customHeight="1">
      <x:c r="A618" s="1" t="str">
        <x:v>sh000300</x:v>
      </x:c>
      <x:c r="B618" s="1" t="str">
        <x:v>沪深300</x:v>
      </x:c>
      <x:c r="C618" s="1" t="str">
        <x:v>2020-02</x:v>
      </x:c>
      <x:c r="D618" s="1" t="str">
        <x:v>2020-01-23</x:v>
      </x:c>
      <x:c r="E618" s="5" t="n">
        <x:v>4003.9</x:v>
      </x:c>
      <x:c r="F618" s="6" t="str">
        <x:v>2020-02-28</x:v>
      </x:c>
      <x:c r="G618" s="5" t="n">
        <x:v>3940.05</x:v>
      </x:c>
      <x:c r="H618" s="7" t="n">
        <x:f>G618/E618-1</x:f>
        <x:v>-0.015946951722070946</x:v>
      </x:c>
      <x:c r="I618" s="1" t="n">
        <x:v>1</x:v>
      </x:c>
      <x:c r="J618" s="1" t="n">
        <x:v>1</x:v>
      </x:c>
      <x:c r="K618" s="1" t="str">
        <x:v>中证官方优先</x:v>
      </x:c>
    </x:row>
    <x:row r="619" ht="25" customHeight="1">
      <x:c r="A619" s="1" t="str">
        <x:v>sh000300</x:v>
      </x:c>
      <x:c r="B619" s="1" t="str">
        <x:v>沪深300</x:v>
      </x:c>
      <x:c r="C619" s="1" t="str">
        <x:v>2020-03</x:v>
      </x:c>
      <x:c r="D619" s="1" t="str">
        <x:v>2020-02-28</x:v>
      </x:c>
      <x:c r="E619" s="5" t="n">
        <x:v>3940.05</x:v>
      </x:c>
      <x:c r="F619" s="6" t="str">
        <x:v>2020-03-31</x:v>
      </x:c>
      <x:c r="G619" s="5" t="n">
        <x:v>3686.16</x:v>
      </x:c>
      <x:c r="H619" s="7" t="n">
        <x:f>G619/E619-1</x:f>
        <x:v>-0.06443826854989154</x:v>
      </x:c>
      <x:c r="I619" s="1" t="n">
        <x:v>1</x:v>
      </x:c>
      <x:c r="J619" s="1" t="n">
        <x:v>1</x:v>
      </x:c>
      <x:c r="K619" s="1" t="str">
        <x:v>中证官方优先</x:v>
      </x:c>
    </x:row>
    <x:row r="620" ht="25" customHeight="1">
      <x:c r="A620" s="1" t="str">
        <x:v>sh000300</x:v>
      </x:c>
      <x:c r="B620" s="1" t="str">
        <x:v>沪深300</x:v>
      </x:c>
      <x:c r="C620" s="1" t="str">
        <x:v>2020-04</x:v>
      </x:c>
      <x:c r="D620" s="1" t="str">
        <x:v>2020-03-31</x:v>
      </x:c>
      <x:c r="E620" s="5" t="n">
        <x:v>3686.16</x:v>
      </x:c>
      <x:c r="F620" s="6" t="str">
        <x:v>2020-04-30</x:v>
      </x:c>
      <x:c r="G620" s="5" t="n">
        <x:v>3912.58</x:v>
      </x:c>
      <x:c r="H620" s="7" t="n">
        <x:f>G620/E620-1</x:f>
        <x:v>0.06142435488421549</x:v>
      </x:c>
      <x:c r="I620" s="1" t="n">
        <x:v>1</x:v>
      </x:c>
      <x:c r="J620" s="1" t="n">
        <x:v>1</x:v>
      </x:c>
      <x:c r="K620" s="1" t="str">
        <x:v>中证官方优先</x:v>
      </x:c>
    </x:row>
    <x:row r="621" ht="25" customHeight="1">
      <x:c r="A621" s="1" t="str">
        <x:v>sh000300</x:v>
      </x:c>
      <x:c r="B621" s="1" t="str">
        <x:v>沪深300</x:v>
      </x:c>
      <x:c r="C621" s="1" t="str">
        <x:v>2020-05</x:v>
      </x:c>
      <x:c r="D621" s="1" t="str">
        <x:v>2020-04-30</x:v>
      </x:c>
      <x:c r="E621" s="5" t="n">
        <x:v>3912.58</x:v>
      </x:c>
      <x:c r="F621" s="6" t="str">
        <x:v>2020-05-29</x:v>
      </x:c>
      <x:c r="G621" s="5" t="n">
        <x:v>3867.02</x:v>
      </x:c>
      <x:c r="H621" s="7" t="n">
        <x:f>G621/E621-1</x:f>
        <x:v>-0.011644490336299773</x:v>
      </x:c>
      <x:c r="I621" s="1" t="n">
        <x:v>1</x:v>
      </x:c>
      <x:c r="J621" s="1" t="n">
        <x:v>1</x:v>
      </x:c>
      <x:c r="K621" s="1" t="str">
        <x:v>中证官方优先</x:v>
      </x:c>
    </x:row>
    <x:row r="622" ht="25" customHeight="1">
      <x:c r="A622" s="1" t="str">
        <x:v>sh000300</x:v>
      </x:c>
      <x:c r="B622" s="1" t="str">
        <x:v>沪深300</x:v>
      </x:c>
      <x:c r="C622" s="1" t="str">
        <x:v>2020-06</x:v>
      </x:c>
      <x:c r="D622" s="1" t="str">
        <x:v>2020-05-29</x:v>
      </x:c>
      <x:c r="E622" s="5" t="n">
        <x:v>3867.02</x:v>
      </x:c>
      <x:c r="F622" s="6" t="str">
        <x:v>2020-06-30</x:v>
      </x:c>
      <x:c r="G622" s="5" t="n">
        <x:v>4163.96</x:v>
      </x:c>
      <x:c r="H622" s="7" t="n">
        <x:f>G622/E622-1</x:f>
        <x:v>0.07678781076901586</x:v>
      </x:c>
      <x:c r="I622" s="1" t="n">
        <x:v>1</x:v>
      </x:c>
      <x:c r="J622" s="1" t="n">
        <x:v>1</x:v>
      </x:c>
      <x:c r="K622" s="1" t="str">
        <x:v>中证官方优先</x:v>
      </x:c>
    </x:row>
    <x:row r="623" ht="25" customHeight="1">
      <x:c r="A623" s="1" t="str">
        <x:v>sh000300</x:v>
      </x:c>
      <x:c r="B623" s="1" t="str">
        <x:v>沪深300</x:v>
      </x:c>
      <x:c r="C623" s="1" t="str">
        <x:v>2020-07</x:v>
      </x:c>
      <x:c r="D623" s="1" t="str">
        <x:v>2020-06-30</x:v>
      </x:c>
      <x:c r="E623" s="5" t="n">
        <x:v>4163.96</x:v>
      </x:c>
      <x:c r="F623" s="6" t="str">
        <x:v>2020-07-31</x:v>
      </x:c>
      <x:c r="G623" s="5" t="n">
        <x:v>4695.05</x:v>
      </x:c>
      <x:c r="H623" s="7" t="n">
        <x:f>G623/E623-1</x:f>
        <x:v>0.12754445287658878</x:v>
      </x:c>
      <x:c r="I623" s="1" t="n">
        <x:v>1</x:v>
      </x:c>
      <x:c r="J623" s="1" t="n">
        <x:v>1</x:v>
      </x:c>
      <x:c r="K623" s="1" t="str">
        <x:v>中证官方优先</x:v>
      </x:c>
    </x:row>
    <x:row r="624" ht="25" customHeight="1">
      <x:c r="A624" s="1" t="str">
        <x:v>sh000300</x:v>
      </x:c>
      <x:c r="B624" s="1" t="str">
        <x:v>沪深300</x:v>
      </x:c>
      <x:c r="C624" s="1" t="str">
        <x:v>2020-08</x:v>
      </x:c>
      <x:c r="D624" s="1" t="str">
        <x:v>2020-07-31</x:v>
      </x:c>
      <x:c r="E624" s="5" t="n">
        <x:v>4695.05</x:v>
      </x:c>
      <x:c r="F624" s="6" t="str">
        <x:v>2020-08-31</x:v>
      </x:c>
      <x:c r="G624" s="5" t="n">
        <x:v>4816.22</x:v>
      </x:c>
      <x:c r="H624" s="7" t="n">
        <x:f>G624/E624-1</x:f>
        <x:v>0.02580803186334535</x:v>
      </x:c>
      <x:c r="I624" s="1" t="n">
        <x:v>1</x:v>
      </x:c>
      <x:c r="J624" s="1" t="n">
        <x:v>1</x:v>
      </x:c>
      <x:c r="K624" s="1" t="str">
        <x:v>中证官方优先</x:v>
      </x:c>
    </x:row>
    <x:row r="625" ht="25" customHeight="1">
      <x:c r="A625" s="1" t="str">
        <x:v>sh000300</x:v>
      </x:c>
      <x:c r="B625" s="1" t="str">
        <x:v>沪深300</x:v>
      </x:c>
      <x:c r="C625" s="1" t="str">
        <x:v>2020-09</x:v>
      </x:c>
      <x:c r="D625" s="1" t="str">
        <x:v>2020-08-31</x:v>
      </x:c>
      <x:c r="E625" s="5" t="n">
        <x:v>4816.22</x:v>
      </x:c>
      <x:c r="F625" s="6" t="str">
        <x:v>2020-09-30</x:v>
      </x:c>
      <x:c r="G625" s="5" t="n">
        <x:v>4587.4</x:v>
      </x:c>
      <x:c r="H625" s="7" t="n">
        <x:f>G625/E625-1</x:f>
        <x:v>-0.04751028815128888</x:v>
      </x:c>
      <x:c r="I625" s="1" t="n">
        <x:v>1</x:v>
      </x:c>
      <x:c r="J625" s="1" t="n">
        <x:v>1</x:v>
      </x:c>
      <x:c r="K625" s="1" t="str">
        <x:v>中证官方优先</x:v>
      </x:c>
    </x:row>
    <x:row r="626" ht="25" customHeight="1">
      <x:c r="A626" s="1" t="str">
        <x:v>sh000300</x:v>
      </x:c>
      <x:c r="B626" s="1" t="str">
        <x:v>沪深300</x:v>
      </x:c>
      <x:c r="C626" s="1" t="str">
        <x:v>2020-10</x:v>
      </x:c>
      <x:c r="D626" s="1" t="str">
        <x:v>2020-09-30</x:v>
      </x:c>
      <x:c r="E626" s="5" t="n">
        <x:v>4587.4</x:v>
      </x:c>
      <x:c r="F626" s="6" t="str">
        <x:v>2020-10-30</x:v>
      </x:c>
      <x:c r="G626" s="5" t="n">
        <x:v>4695.33</x:v>
      </x:c>
      <x:c r="H626" s="7" t="n">
        <x:f>G626/E626-1</x:f>
        <x:v>0.023527488337620417</x:v>
      </x:c>
      <x:c r="I626" s="1" t="n">
        <x:v>1</x:v>
      </x:c>
      <x:c r="J626" s="1" t="n">
        <x:v>1</x:v>
      </x:c>
      <x:c r="K626" s="1" t="str">
        <x:v>中证官方优先</x:v>
      </x:c>
    </x:row>
    <x:row r="627" ht="25" customHeight="1">
      <x:c r="A627" s="1" t="str">
        <x:v>sh000300</x:v>
      </x:c>
      <x:c r="B627" s="1" t="str">
        <x:v>沪深300</x:v>
      </x:c>
      <x:c r="C627" s="1" t="str">
        <x:v>2020-11</x:v>
      </x:c>
      <x:c r="D627" s="1" t="str">
        <x:v>2020-10-30</x:v>
      </x:c>
      <x:c r="E627" s="5" t="n">
        <x:v>4695.33</x:v>
      </x:c>
      <x:c r="F627" s="6" t="str">
        <x:v>2020-11-30</x:v>
      </x:c>
      <x:c r="G627" s="5" t="n">
        <x:v>4960.25</x:v>
      </x:c>
      <x:c r="H627" s="7" t="n">
        <x:f>G627/E627-1</x:f>
        <x:v>0.056422019325585326</x:v>
      </x:c>
      <x:c r="I627" s="1" t="n">
        <x:v>1</x:v>
      </x:c>
      <x:c r="J627" s="1" t="n">
        <x:v>1</x:v>
      </x:c>
      <x:c r="K627" s="1" t="str">
        <x:v>中证官方优先</x:v>
      </x:c>
    </x:row>
    <x:row r="628" ht="25" customHeight="1">
      <x:c r="A628" s="1" t="str">
        <x:v>sh000300</x:v>
      </x:c>
      <x:c r="B628" s="1" t="str">
        <x:v>沪深300</x:v>
      </x:c>
      <x:c r="C628" s="1" t="str">
        <x:v>2020-12</x:v>
      </x:c>
      <x:c r="D628" s="1" t="str">
        <x:v>2020-11-30</x:v>
      </x:c>
      <x:c r="E628" s="5" t="n">
        <x:v>4960.25</x:v>
      </x:c>
      <x:c r="F628" s="6" t="str">
        <x:v>2020-12-31</x:v>
      </x:c>
      <x:c r="G628" s="5" t="n">
        <x:v>5211.29</x:v>
      </x:c>
      <x:c r="H628" s="7" t="n">
        <x:f>G628/E628-1</x:f>
        <x:v>0.05061035230079125</x:v>
      </x:c>
      <x:c r="I628" s="1" t="n">
        <x:v>1</x:v>
      </x:c>
      <x:c r="J628" s="1" t="n">
        <x:v>1</x:v>
      </x:c>
      <x:c r="K628" s="1" t="str">
        <x:v>中证官方优先</x:v>
      </x:c>
    </x:row>
    <x:row r="629" ht="25" customHeight="1">
      <x:c r="A629" s="1" t="str">
        <x:v>sh000300</x:v>
      </x:c>
      <x:c r="B629" s="1" t="str">
        <x:v>沪深300</x:v>
      </x:c>
      <x:c r="C629" s="1" t="str">
        <x:v>2021-01</x:v>
      </x:c>
      <x:c r="D629" s="1" t="str">
        <x:v>2020-12-31</x:v>
      </x:c>
      <x:c r="E629" s="5" t="n">
        <x:v>5211.29</x:v>
      </x:c>
      <x:c r="F629" s="6" t="str">
        <x:v>2021-01-29</x:v>
      </x:c>
      <x:c r="G629" s="5" t="n">
        <x:v>5351.96</x:v>
      </x:c>
      <x:c r="H629" s="7" t="n">
        <x:f>G629/E629-1</x:f>
        <x:v>0.026993316434126724</x:v>
      </x:c>
      <x:c r="I629" s="1" t="n">
        <x:v>1</x:v>
      </x:c>
      <x:c r="J629" s="1" t="n">
        <x:v>1</x:v>
      </x:c>
      <x:c r="K629" s="1" t="str">
        <x:v>中证官方优先</x:v>
      </x:c>
    </x:row>
    <x:row r="630" ht="25" customHeight="1">
      <x:c r="A630" s="1" t="str">
        <x:v>sh000300</x:v>
      </x:c>
      <x:c r="B630" s="1" t="str">
        <x:v>沪深300</x:v>
      </x:c>
      <x:c r="C630" s="1" t="str">
        <x:v>2021-02</x:v>
      </x:c>
      <x:c r="D630" s="1" t="str">
        <x:v>2021-01-29</x:v>
      </x:c>
      <x:c r="E630" s="5" t="n">
        <x:v>5351.96</x:v>
      </x:c>
      <x:c r="F630" s="6" t="str">
        <x:v>2021-02-26</x:v>
      </x:c>
      <x:c r="G630" s="5" t="n">
        <x:v>5336.76</x:v>
      </x:c>
      <x:c r="H630" s="7" t="n">
        <x:f>G630/E630-1</x:f>
        <x:v>-0.002840081017047913</x:v>
      </x:c>
      <x:c r="I630" s="1" t="n">
        <x:v>1</x:v>
      </x:c>
      <x:c r="J630" s="1" t="n">
        <x:v>1</x:v>
      </x:c>
      <x:c r="K630" s="1" t="str">
        <x:v>中证官方优先</x:v>
      </x:c>
    </x:row>
    <x:row r="631" ht="25" customHeight="1">
      <x:c r="A631" s="1" t="str">
        <x:v>sh000300</x:v>
      </x:c>
      <x:c r="B631" s="1" t="str">
        <x:v>沪深300</x:v>
      </x:c>
      <x:c r="C631" s="1" t="str">
        <x:v>2021-03</x:v>
      </x:c>
      <x:c r="D631" s="1" t="str">
        <x:v>2021-02-26</x:v>
      </x:c>
      <x:c r="E631" s="5" t="n">
        <x:v>5336.76</x:v>
      </x:c>
      <x:c r="F631" s="6" t="str">
        <x:v>2021-03-31</x:v>
      </x:c>
      <x:c r="G631" s="5" t="n">
        <x:v>5048.36</x:v>
      </x:c>
      <x:c r="H631" s="7" t="n">
        <x:f>G631/E631-1</x:f>
        <x:v>-0.05404027912066511</x:v>
      </x:c>
      <x:c r="I631" s="1" t="n">
        <x:v>1</x:v>
      </x:c>
      <x:c r="J631" s="1" t="n">
        <x:v>1</x:v>
      </x:c>
      <x:c r="K631" s="1" t="str">
        <x:v>中证官方优先</x:v>
      </x:c>
    </x:row>
    <x:row r="632" ht="25" customHeight="1">
      <x:c r="A632" s="1" t="str">
        <x:v>sh000300</x:v>
      </x:c>
      <x:c r="B632" s="1" t="str">
        <x:v>沪深300</x:v>
      </x:c>
      <x:c r="C632" s="1" t="str">
        <x:v>2021-04</x:v>
      </x:c>
      <x:c r="D632" s="1" t="str">
        <x:v>2021-03-31</x:v>
      </x:c>
      <x:c r="E632" s="5" t="n">
        <x:v>5048.36</x:v>
      </x:c>
      <x:c r="F632" s="6" t="str">
        <x:v>2021-04-30</x:v>
      </x:c>
      <x:c r="G632" s="5" t="n">
        <x:v>5123.49</x:v>
      </x:c>
      <x:c r="H632" s="7" t="n">
        <x:f>G632/E632-1</x:f>
        <x:v>0.014882060708824252</x:v>
      </x:c>
      <x:c r="I632" s="1" t="n">
        <x:v>1</x:v>
      </x:c>
      <x:c r="J632" s="1" t="n">
        <x:v>1</x:v>
      </x:c>
      <x:c r="K632" s="1" t="str">
        <x:v>中证官方优先</x:v>
      </x:c>
    </x:row>
    <x:row r="633" ht="25" customHeight="1">
      <x:c r="A633" s="1" t="str">
        <x:v>sh000300</x:v>
      </x:c>
      <x:c r="B633" s="1" t="str">
        <x:v>沪深300</x:v>
      </x:c>
      <x:c r="C633" s="1" t="str">
        <x:v>2021-05</x:v>
      </x:c>
      <x:c r="D633" s="1" t="str">
        <x:v>2021-04-30</x:v>
      </x:c>
      <x:c r="E633" s="5" t="n">
        <x:v>5123.49</x:v>
      </x:c>
      <x:c r="F633" s="6" t="str">
        <x:v>2021-05-31</x:v>
      </x:c>
      <x:c r="G633" s="5" t="n">
        <x:v>5331.57</x:v>
      </x:c>
      <x:c r="H633" s="7" t="n">
        <x:f>G633/E633-1</x:f>
        <x:v>0.04061294156912565</x:v>
      </x:c>
      <x:c r="I633" s="1" t="n">
        <x:v>1</x:v>
      </x:c>
      <x:c r="J633" s="1" t="n">
        <x:v>1</x:v>
      </x:c>
      <x:c r="K633" s="1" t="str">
        <x:v>中证官方优先</x:v>
      </x:c>
    </x:row>
    <x:row r="634" ht="25" customHeight="1">
      <x:c r="A634" s="1" t="str">
        <x:v>sh000300</x:v>
      </x:c>
      <x:c r="B634" s="1" t="str">
        <x:v>沪深300</x:v>
      </x:c>
      <x:c r="C634" s="1" t="str">
        <x:v>2021-06</x:v>
      </x:c>
      <x:c r="D634" s="1" t="str">
        <x:v>2021-05-31</x:v>
      </x:c>
      <x:c r="E634" s="5" t="n">
        <x:v>5331.57</x:v>
      </x:c>
      <x:c r="F634" s="6" t="str">
        <x:v>2021-06-30</x:v>
      </x:c>
      <x:c r="G634" s="5" t="n">
        <x:v>5224.04</x:v>
      </x:c>
      <x:c r="H634" s="7" t="n">
        <x:f>G634/E634-1</x:f>
        <x:v>-0.020168543224603597</x:v>
      </x:c>
      <x:c r="I634" s="1" t="n">
        <x:v>1</x:v>
      </x:c>
      <x:c r="J634" s="1" t="n">
        <x:v>1</x:v>
      </x:c>
      <x:c r="K634" s="1" t="str">
        <x:v>中证官方优先</x:v>
      </x:c>
    </x:row>
    <x:row r="635" ht="25" customHeight="1">
      <x:c r="A635" s="1" t="str">
        <x:v>sh000300</x:v>
      </x:c>
      <x:c r="B635" s="1" t="str">
        <x:v>沪深300</x:v>
      </x:c>
      <x:c r="C635" s="1" t="str">
        <x:v>2021-07</x:v>
      </x:c>
      <x:c r="D635" s="1" t="str">
        <x:v>2021-06-30</x:v>
      </x:c>
      <x:c r="E635" s="5" t="n">
        <x:v>5224.04</x:v>
      </x:c>
      <x:c r="F635" s="6" t="str">
        <x:v>2021-07-30</x:v>
      </x:c>
      <x:c r="G635" s="5" t="n">
        <x:v>4811.17</x:v>
      </x:c>
      <x:c r="H635" s="7" t="n">
        <x:f>G635/E635-1</x:f>
        <x:v>-0.07903270265924456</x:v>
      </x:c>
      <x:c r="I635" s="1" t="n">
        <x:v>1</x:v>
      </x:c>
      <x:c r="J635" s="1" t="n">
        <x:v>1</x:v>
      </x:c>
      <x:c r="K635" s="1" t="str">
        <x:v>中证官方优先</x:v>
      </x:c>
    </x:row>
    <x:row r="636" ht="25" customHeight="1">
      <x:c r="A636" s="1" t="str">
        <x:v>sh000300</x:v>
      </x:c>
      <x:c r="B636" s="1" t="str">
        <x:v>沪深300</x:v>
      </x:c>
      <x:c r="C636" s="1" t="str">
        <x:v>2021-08</x:v>
      </x:c>
      <x:c r="D636" s="1" t="str">
        <x:v>2021-07-30</x:v>
      </x:c>
      <x:c r="E636" s="5" t="n">
        <x:v>4811.17</x:v>
      </x:c>
      <x:c r="F636" s="6" t="str">
        <x:v>2021-08-31</x:v>
      </x:c>
      <x:c r="G636" s="5" t="n">
        <x:v>4805.61</x:v>
      </x:c>
      <x:c r="H636" s="7" t="n">
        <x:f>G636/E636-1</x:f>
        <x:v>-0.0011556440533176948</x:v>
      </x:c>
      <x:c r="I636" s="1" t="n">
        <x:v>1</x:v>
      </x:c>
      <x:c r="J636" s="1" t="n">
        <x:v>1</x:v>
      </x:c>
      <x:c r="K636" s="1" t="str">
        <x:v>中证官方优先</x:v>
      </x:c>
    </x:row>
    <x:row r="637" ht="25" customHeight="1">
      <x:c r="A637" s="1" t="str">
        <x:v>sh000300</x:v>
      </x:c>
      <x:c r="B637" s="1" t="str">
        <x:v>沪深300</x:v>
      </x:c>
      <x:c r="C637" s="1" t="str">
        <x:v>2021-09</x:v>
      </x:c>
      <x:c r="D637" s="1" t="str">
        <x:v>2021-08-31</x:v>
      </x:c>
      <x:c r="E637" s="5" t="n">
        <x:v>4805.61</x:v>
      </x:c>
      <x:c r="F637" s="6" t="str">
        <x:v>2021-09-30</x:v>
      </x:c>
      <x:c r="G637" s="5" t="n">
        <x:v>4866.38</x:v>
      </x:c>
      <x:c r="H637" s="7" t="n">
        <x:f>G637/E637-1</x:f>
        <x:v>0.01264563707833144</x:v>
      </x:c>
      <x:c r="I637" s="1" t="n">
        <x:v>1</x:v>
      </x:c>
      <x:c r="J637" s="1" t="n">
        <x:v>1</x:v>
      </x:c>
      <x:c r="K637" s="1" t="str">
        <x:v>中证官方优先</x:v>
      </x:c>
    </x:row>
    <x:row r="638" ht="25" customHeight="1">
      <x:c r="A638" s="1" t="str">
        <x:v>sh000300</x:v>
      </x:c>
      <x:c r="B638" s="1" t="str">
        <x:v>沪深300</x:v>
      </x:c>
      <x:c r="C638" s="1" t="str">
        <x:v>2021-10</x:v>
      </x:c>
      <x:c r="D638" s="1" t="str">
        <x:v>2021-09-30</x:v>
      </x:c>
      <x:c r="E638" s="5" t="n">
        <x:v>4866.38</x:v>
      </x:c>
      <x:c r="F638" s="6" t="str">
        <x:v>2021-10-29</x:v>
      </x:c>
      <x:c r="G638" s="5" t="n">
        <x:v>4908.77</x:v>
      </x:c>
      <x:c r="H638" s="7" t="n">
        <x:f>G638/E638-1</x:f>
        <x:v>0.008710787073759274</x:v>
      </x:c>
      <x:c r="I638" s="1" t="n">
        <x:v>1</x:v>
      </x:c>
      <x:c r="J638" s="1" t="n">
        <x:v>1</x:v>
      </x:c>
      <x:c r="K638" s="1" t="str">
        <x:v>中证官方优先</x:v>
      </x:c>
    </x:row>
    <x:row r="639" ht="25" customHeight="1">
      <x:c r="A639" s="1" t="str">
        <x:v>sh000300</x:v>
      </x:c>
      <x:c r="B639" s="1" t="str">
        <x:v>沪深300</x:v>
      </x:c>
      <x:c r="C639" s="1" t="str">
        <x:v>2021-11</x:v>
      </x:c>
      <x:c r="D639" s="1" t="str">
        <x:v>2021-10-29</x:v>
      </x:c>
      <x:c r="E639" s="5" t="n">
        <x:v>4908.77</x:v>
      </x:c>
      <x:c r="F639" s="6" t="str">
        <x:v>2021-11-30</x:v>
      </x:c>
      <x:c r="G639" s="5" t="n">
        <x:v>4832.03</x:v>
      </x:c>
      <x:c r="H639" s="7" t="n">
        <x:f>G639/E639-1</x:f>
        <x:v>-0.015633244173184013</x:v>
      </x:c>
      <x:c r="I639" s="1" t="n">
        <x:v>1</x:v>
      </x:c>
      <x:c r="J639" s="1" t="n">
        <x:v>1</x:v>
      </x:c>
      <x:c r="K639" s="1" t="str">
        <x:v>中证官方优先</x:v>
      </x:c>
    </x:row>
    <x:row r="640" ht="25" customHeight="1">
      <x:c r="A640" s="1" t="str">
        <x:v>sh000300</x:v>
      </x:c>
      <x:c r="B640" s="1" t="str">
        <x:v>沪深300</x:v>
      </x:c>
      <x:c r="C640" s="1" t="str">
        <x:v>2021-12</x:v>
      </x:c>
      <x:c r="D640" s="1" t="str">
        <x:v>2021-11-30</x:v>
      </x:c>
      <x:c r="E640" s="5" t="n">
        <x:v>4832.03</x:v>
      </x:c>
      <x:c r="F640" s="6" t="str">
        <x:v>2021-12-31</x:v>
      </x:c>
      <x:c r="G640" s="5" t="n">
        <x:v>4940.37</x:v>
      </x:c>
      <x:c r="H640" s="7" t="n">
        <x:f>G640/E640-1</x:f>
        <x:v>0.022421218411309507</x:v>
      </x:c>
      <x:c r="I640" s="1" t="n">
        <x:v>1</x:v>
      </x:c>
      <x:c r="J640" s="1" t="n">
        <x:v>1</x:v>
      </x:c>
      <x:c r="K640" s="1" t="str">
        <x:v>中证官方优先</x:v>
      </x:c>
    </x:row>
    <x:row r="641" ht="25" customHeight="1">
      <x:c r="A641" s="1" t="str">
        <x:v>sh000300</x:v>
      </x:c>
      <x:c r="B641" s="1" t="str">
        <x:v>沪深300</x:v>
      </x:c>
      <x:c r="C641" s="1" t="str">
        <x:v>2022-01</x:v>
      </x:c>
      <x:c r="D641" s="1" t="str">
        <x:v>2021-12-31</x:v>
      </x:c>
      <x:c r="E641" s="5" t="n">
        <x:v>4940.37</x:v>
      </x:c>
      <x:c r="F641" s="6" t="str">
        <x:v>2022-01-28</x:v>
      </x:c>
      <x:c r="G641" s="5" t="n">
        <x:v>4563.77</x:v>
      </x:c>
      <x:c r="H641" s="7" t="n">
        <x:f>G641/E641-1</x:f>
        <x:v>-0.07622910834613594</x:v>
      </x:c>
      <x:c r="I641" s="1" t="n">
        <x:v>1</x:v>
      </x:c>
      <x:c r="J641" s="1" t="n">
        <x:v>1</x:v>
      </x:c>
      <x:c r="K641" s="1" t="str">
        <x:v>中证官方优先</x:v>
      </x:c>
    </x:row>
    <x:row r="642" ht="25" customHeight="1">
      <x:c r="A642" s="1" t="str">
        <x:v>sh000300</x:v>
      </x:c>
      <x:c r="B642" s="1" t="str">
        <x:v>沪深300</x:v>
      </x:c>
      <x:c r="C642" s="1" t="str">
        <x:v>2022-02</x:v>
      </x:c>
      <x:c r="D642" s="1" t="str">
        <x:v>2022-01-28</x:v>
      </x:c>
      <x:c r="E642" s="5" t="n">
        <x:v>4563.77</x:v>
      </x:c>
      <x:c r="F642" s="6" t="str">
        <x:v>2022-02-28</x:v>
      </x:c>
      <x:c r="G642" s="5" t="n">
        <x:v>4581.65</x:v>
      </x:c>
      <x:c r="H642" s="7" t="n">
        <x:f>G642/E642-1</x:f>
        <x:v>0.0039178135620330234</x:v>
      </x:c>
      <x:c r="I642" s="1" t="n">
        <x:v>1</x:v>
      </x:c>
      <x:c r="J642" s="1" t="n">
        <x:v>1</x:v>
      </x:c>
      <x:c r="K642" s="1" t="str">
        <x:v>中证官方优先</x:v>
      </x:c>
    </x:row>
    <x:row r="643" ht="25" customHeight="1">
      <x:c r="A643" s="1" t="str">
        <x:v>sh000300</x:v>
      </x:c>
      <x:c r="B643" s="1" t="str">
        <x:v>沪深300</x:v>
      </x:c>
      <x:c r="C643" s="1" t="str">
        <x:v>2022-03</x:v>
      </x:c>
      <x:c r="D643" s="1" t="str">
        <x:v>2022-02-28</x:v>
      </x:c>
      <x:c r="E643" s="5" t="n">
        <x:v>4581.65</x:v>
      </x:c>
      <x:c r="F643" s="6" t="str">
        <x:v>2022-03-31</x:v>
      </x:c>
      <x:c r="G643" s="5" t="n">
        <x:v>4222.6</x:v>
      </x:c>
      <x:c r="H643" s="7" t="n">
        <x:f>G643/E643-1</x:f>
        <x:v>-0.07836696386672903</x:v>
      </x:c>
      <x:c r="I643" s="1" t="n">
        <x:v>1</x:v>
      </x:c>
      <x:c r="J643" s="1" t="n">
        <x:v>1</x:v>
      </x:c>
      <x:c r="K643" s="1" t="str">
        <x:v>中证官方优先</x:v>
      </x:c>
    </x:row>
    <x:row r="644" ht="25" customHeight="1">
      <x:c r="A644" s="1" t="str">
        <x:v>sh000300</x:v>
      </x:c>
      <x:c r="B644" s="1" t="str">
        <x:v>沪深300</x:v>
      </x:c>
      <x:c r="C644" s="1" t="str">
        <x:v>2022-04</x:v>
      </x:c>
      <x:c r="D644" s="1" t="str">
        <x:v>2022-03-31</x:v>
      </x:c>
      <x:c r="E644" s="5" t="n">
        <x:v>4222.6</x:v>
      </x:c>
      <x:c r="F644" s="6" t="str">
        <x:v>2022-04-29</x:v>
      </x:c>
      <x:c r="G644" s="5" t="n">
        <x:v>4016.24</x:v>
      </x:c>
      <x:c r="H644" s="7" t="n">
        <x:f>G644/E644-1</x:f>
        <x:v>-0.04887036423056901</x:v>
      </x:c>
      <x:c r="I644" s="1" t="n">
        <x:v>1</x:v>
      </x:c>
      <x:c r="J644" s="1" t="n">
        <x:v>1</x:v>
      </x:c>
      <x:c r="K644" s="1" t="str">
        <x:v>中证官方优先</x:v>
      </x:c>
    </x:row>
    <x:row r="645" ht="25" customHeight="1">
      <x:c r="A645" s="1" t="str">
        <x:v>sh000300</x:v>
      </x:c>
      <x:c r="B645" s="1" t="str">
        <x:v>沪深300</x:v>
      </x:c>
      <x:c r="C645" s="1" t="str">
        <x:v>2022-05</x:v>
      </x:c>
      <x:c r="D645" s="1" t="str">
        <x:v>2022-04-29</x:v>
      </x:c>
      <x:c r="E645" s="5" t="n">
        <x:v>4016.24</x:v>
      </x:c>
      <x:c r="F645" s="6" t="str">
        <x:v>2022-05-31</x:v>
      </x:c>
      <x:c r="G645" s="5" t="n">
        <x:v>4091.52</x:v>
      </x:c>
      <x:c r="H645" s="7" t="n">
        <x:f>G645/E645-1</x:f>
        <x:v>0.018743899766946237</x:v>
      </x:c>
      <x:c r="I645" s="1" t="n">
        <x:v>1</x:v>
      </x:c>
      <x:c r="J645" s="1" t="n">
        <x:v>1</x:v>
      </x:c>
      <x:c r="K645" s="1" t="str">
        <x:v>中证官方优先</x:v>
      </x:c>
    </x:row>
    <x:row r="646" ht="25" customHeight="1">
      <x:c r="A646" s="1" t="str">
        <x:v>sh000300</x:v>
      </x:c>
      <x:c r="B646" s="1" t="str">
        <x:v>沪深300</x:v>
      </x:c>
      <x:c r="C646" s="1" t="str">
        <x:v>2022-06</x:v>
      </x:c>
      <x:c r="D646" s="1" t="str">
        <x:v>2022-05-31</x:v>
      </x:c>
      <x:c r="E646" s="5" t="n">
        <x:v>4091.52</x:v>
      </x:c>
      <x:c r="F646" s="6" t="str">
        <x:v>2022-06-30</x:v>
      </x:c>
      <x:c r="G646" s="5" t="n">
        <x:v>4485.01</x:v>
      </x:c>
      <x:c r="H646" s="7" t="n">
        <x:f>G646/E646-1</x:f>
        <x:v>0.09617208274675426</x:v>
      </x:c>
      <x:c r="I646" s="1" t="n">
        <x:v>1</x:v>
      </x:c>
      <x:c r="J646" s="1" t="n">
        <x:v>1</x:v>
      </x:c>
      <x:c r="K646" s="1" t="str">
        <x:v>中证官方优先</x:v>
      </x:c>
    </x:row>
    <x:row r="647" ht="25" customHeight="1">
      <x:c r="A647" s="1" t="str">
        <x:v>sh000300</x:v>
      </x:c>
      <x:c r="B647" s="1" t="str">
        <x:v>沪深300</x:v>
      </x:c>
      <x:c r="C647" s="1" t="str">
        <x:v>2022-07</x:v>
      </x:c>
      <x:c r="D647" s="1" t="str">
        <x:v>2022-06-30</x:v>
      </x:c>
      <x:c r="E647" s="5" t="n">
        <x:v>4485.01</x:v>
      </x:c>
      <x:c r="F647" s="6" t="str">
        <x:v>2022-07-29</x:v>
      </x:c>
      <x:c r="G647" s="5" t="n">
        <x:v>4170.1</x:v>
      </x:c>
      <x:c r="H647" s="7" t="n">
        <x:f>G647/E647-1</x:f>
        <x:v>-0.07021389027003277</x:v>
      </x:c>
      <x:c r="I647" s="1" t="n">
        <x:v>1</x:v>
      </x:c>
      <x:c r="J647" s="1" t="n">
        <x:v>1</x:v>
      </x:c>
      <x:c r="K647" s="1" t="str">
        <x:v>中证官方优先</x:v>
      </x:c>
    </x:row>
    <x:row r="648" ht="25" customHeight="1">
      <x:c r="A648" s="1" t="str">
        <x:v>sh000300</x:v>
      </x:c>
      <x:c r="B648" s="1" t="str">
        <x:v>沪深300</x:v>
      </x:c>
      <x:c r="C648" s="1" t="str">
        <x:v>2022-08</x:v>
      </x:c>
      <x:c r="D648" s="1" t="str">
        <x:v>2022-07-29</x:v>
      </x:c>
      <x:c r="E648" s="5" t="n">
        <x:v>4170.1</x:v>
      </x:c>
      <x:c r="F648" s="6" t="str">
        <x:v>2022-08-31</x:v>
      </x:c>
      <x:c r="G648" s="5" t="n">
        <x:v>4078.84</x:v>
      </x:c>
      <x:c r="H648" s="7" t="n">
        <x:f>G648/E648-1</x:f>
        <x:v>-0.02188436728136023</x:v>
      </x:c>
      <x:c r="I648" s="1" t="n">
        <x:v>1</x:v>
      </x:c>
      <x:c r="J648" s="1" t="n">
        <x:v>1</x:v>
      </x:c>
      <x:c r="K648" s="1" t="str">
        <x:v>中证官方优先</x:v>
      </x:c>
    </x:row>
    <x:row r="649" ht="25" customHeight="1">
      <x:c r="A649" s="1" t="str">
        <x:v>sh000300</x:v>
      </x:c>
      <x:c r="B649" s="1" t="str">
        <x:v>沪深300</x:v>
      </x:c>
      <x:c r="C649" s="1" t="str">
        <x:v>2022-09</x:v>
      </x:c>
      <x:c r="D649" s="1" t="str">
        <x:v>2022-08-31</x:v>
      </x:c>
      <x:c r="E649" s="5" t="n">
        <x:v>4078.84</x:v>
      </x:c>
      <x:c r="F649" s="6" t="str">
        <x:v>2022-09-30</x:v>
      </x:c>
      <x:c r="G649" s="5" t="n">
        <x:v>3804.89</x:v>
      </x:c>
      <x:c r="H649" s="7" t="n">
        <x:f>G649/E649-1</x:f>
        <x:v>-0.06716370340587041</x:v>
      </x:c>
      <x:c r="I649" s="1" t="n">
        <x:v>1</x:v>
      </x:c>
      <x:c r="J649" s="1" t="n">
        <x:v>1</x:v>
      </x:c>
      <x:c r="K649" s="1" t="str">
        <x:v>中证官方优先</x:v>
      </x:c>
    </x:row>
    <x:row r="650" ht="25" customHeight="1">
      <x:c r="A650" s="1" t="str">
        <x:v>sh000300</x:v>
      </x:c>
      <x:c r="B650" s="1" t="str">
        <x:v>沪深300</x:v>
      </x:c>
      <x:c r="C650" s="1" t="str">
        <x:v>2022-10</x:v>
      </x:c>
      <x:c r="D650" s="1" t="str">
        <x:v>2022-09-30</x:v>
      </x:c>
      <x:c r="E650" s="5" t="n">
        <x:v>3804.89</x:v>
      </x:c>
      <x:c r="F650" s="6" t="str">
        <x:v>2022-10-31</x:v>
      </x:c>
      <x:c r="G650" s="5" t="n">
        <x:v>3508.7</x:v>
      </x:c>
      <x:c r="H650" s="7" t="n">
        <x:f>G650/E650-1</x:f>
        <x:v>-0.07784456318053878</x:v>
      </x:c>
      <x:c r="I650" s="1" t="n">
        <x:v>1</x:v>
      </x:c>
      <x:c r="J650" s="1" t="n">
        <x:v>1</x:v>
      </x:c>
      <x:c r="K650" s="1" t="str">
        <x:v>中证官方优先</x:v>
      </x:c>
    </x:row>
    <x:row r="651" ht="25" customHeight="1">
      <x:c r="A651" s="1" t="str">
        <x:v>sh000300</x:v>
      </x:c>
      <x:c r="B651" s="1" t="str">
        <x:v>沪深300</x:v>
      </x:c>
      <x:c r="C651" s="1" t="str">
        <x:v>2022-11</x:v>
      </x:c>
      <x:c r="D651" s="1" t="str">
        <x:v>2022-10-31</x:v>
      </x:c>
      <x:c r="E651" s="5" t="n">
        <x:v>3508.7</x:v>
      </x:c>
      <x:c r="F651" s="6" t="str">
        <x:v>2022-11-30</x:v>
      </x:c>
      <x:c r="G651" s="5" t="n">
        <x:v>3853.04</x:v>
      </x:c>
      <x:c r="H651" s="7" t="n">
        <x:f>G651/E651-1</x:f>
        <x:v>0.09813891184769297</x:v>
      </x:c>
      <x:c r="I651" s="1" t="n">
        <x:v>1</x:v>
      </x:c>
      <x:c r="J651" s="1" t="n">
        <x:v>1</x:v>
      </x:c>
      <x:c r="K651" s="1" t="str">
        <x:v>中证官方优先</x:v>
      </x:c>
    </x:row>
    <x:row r="652" ht="25" customHeight="1">
      <x:c r="A652" s="1" t="str">
        <x:v>sh000300</x:v>
      </x:c>
      <x:c r="B652" s="1" t="str">
        <x:v>沪深300</x:v>
      </x:c>
      <x:c r="C652" s="1" t="str">
        <x:v>2022-12</x:v>
      </x:c>
      <x:c r="D652" s="1" t="str">
        <x:v>2022-11-30</x:v>
      </x:c>
      <x:c r="E652" s="5" t="n">
        <x:v>3853.04</x:v>
      </x:c>
      <x:c r="F652" s="6" t="str">
        <x:v>2022-12-30</x:v>
      </x:c>
      <x:c r="G652" s="5" t="n">
        <x:v>3871.63</x:v>
      </x:c>
      <x:c r="H652" s="7" t="n">
        <x:f>G652/E652-1</x:f>
        <x:v>0.004824761746568873</x:v>
      </x:c>
      <x:c r="I652" s="1" t="n">
        <x:v>1</x:v>
      </x:c>
      <x:c r="J652" s="1" t="n">
        <x:v>1</x:v>
      </x:c>
      <x:c r="K652" s="1" t="str">
        <x:v>中证官方优先</x:v>
      </x:c>
    </x:row>
    <x:row r="653" ht="25" customHeight="1">
      <x:c r="A653" s="1" t="str">
        <x:v>sh000300</x:v>
      </x:c>
      <x:c r="B653" s="1" t="str">
        <x:v>沪深300</x:v>
      </x:c>
      <x:c r="C653" s="1" t="str">
        <x:v>2023-01</x:v>
      </x:c>
      <x:c r="D653" s="1" t="str">
        <x:v>2022-12-30</x:v>
      </x:c>
      <x:c r="E653" s="5" t="n">
        <x:v>3871.63</x:v>
      </x:c>
      <x:c r="F653" s="6" t="str">
        <x:v>2023-01-31</x:v>
      </x:c>
      <x:c r="G653" s="5" t="n">
        <x:v>4156.86</x:v>
      </x:c>
      <x:c r="H653" s="7" t="n">
        <x:f>G653/E653-1</x:f>
        <x:v>0.07367181264738609</x:v>
      </x:c>
      <x:c r="I653" s="1" t="n">
        <x:v>1</x:v>
      </x:c>
      <x:c r="J653" s="1" t="n">
        <x:v>1</x:v>
      </x:c>
      <x:c r="K653" s="1" t="str">
        <x:v>中证官方优先</x:v>
      </x:c>
    </x:row>
    <x:row r="654" ht="25" customHeight="1">
      <x:c r="A654" s="1" t="str">
        <x:v>sh000300</x:v>
      </x:c>
      <x:c r="B654" s="1" t="str">
        <x:v>沪深300</x:v>
      </x:c>
      <x:c r="C654" s="1" t="str">
        <x:v>2023-02</x:v>
      </x:c>
      <x:c r="D654" s="1" t="str">
        <x:v>2023-01-31</x:v>
      </x:c>
      <x:c r="E654" s="5" t="n">
        <x:v>4156.86</x:v>
      </x:c>
      <x:c r="F654" s="6" t="str">
        <x:v>2023-02-28</x:v>
      </x:c>
      <x:c r="G654" s="5" t="n">
        <x:v>4069.46</x:v>
      </x:c>
      <x:c r="H654" s="7" t="n">
        <x:f>G654/E654-1</x:f>
        <x:v>-0.021025485582867764</x:v>
      </x:c>
      <x:c r="I654" s="1" t="n">
        <x:v>1</x:v>
      </x:c>
      <x:c r="J654" s="1" t="n">
        <x:v>1</x:v>
      </x:c>
      <x:c r="K654" s="1" t="str">
        <x:v>中证官方优先</x:v>
      </x:c>
    </x:row>
    <x:row r="655" ht="25" customHeight="1">
      <x:c r="A655" s="1" t="str">
        <x:v>sh000300</x:v>
      </x:c>
      <x:c r="B655" s="1" t="str">
        <x:v>沪深300</x:v>
      </x:c>
      <x:c r="C655" s="1" t="str">
        <x:v>2023-03</x:v>
      </x:c>
      <x:c r="D655" s="1" t="str">
        <x:v>2023-02-28</x:v>
      </x:c>
      <x:c r="E655" s="5" t="n">
        <x:v>4069.46</x:v>
      </x:c>
      <x:c r="F655" s="6" t="str">
        <x:v>2023-03-31</x:v>
      </x:c>
      <x:c r="G655" s="5" t="n">
        <x:v>4050.93</x:v>
      </x:c>
      <x:c r="H655" s="7" t="n">
        <x:f>G655/E655-1</x:f>
        <x:v>-0.004553429693374578</x:v>
      </x:c>
      <x:c r="I655" s="1" t="n">
        <x:v>1</x:v>
      </x:c>
      <x:c r="J655" s="1" t="n">
        <x:v>1</x:v>
      </x:c>
      <x:c r="K655" s="1" t="str">
        <x:v>中证官方优先</x:v>
      </x:c>
    </x:row>
    <x:row r="656" ht="25" customHeight="1">
      <x:c r="A656" s="1" t="str">
        <x:v>sh000300</x:v>
      </x:c>
      <x:c r="B656" s="1" t="str">
        <x:v>沪深300</x:v>
      </x:c>
      <x:c r="C656" s="1" t="str">
        <x:v>2023-04</x:v>
      </x:c>
      <x:c r="D656" s="1" t="str">
        <x:v>2023-03-31</x:v>
      </x:c>
      <x:c r="E656" s="5" t="n">
        <x:v>4050.93</x:v>
      </x:c>
      <x:c r="F656" s="6" t="str">
        <x:v>2023-04-28</x:v>
      </x:c>
      <x:c r="G656" s="5" t="n">
        <x:v>4029.09</x:v>
      </x:c>
      <x:c r="H656" s="7" t="n">
        <x:f>G656/E656-1</x:f>
        <x:v>-0.0053913545778375704</x:v>
      </x:c>
      <x:c r="I656" s="1" t="n">
        <x:v>1</x:v>
      </x:c>
      <x:c r="J656" s="1" t="n">
        <x:v>1</x:v>
      </x:c>
      <x:c r="K656" s="1" t="str">
        <x:v>中证官方优先</x:v>
      </x:c>
    </x:row>
    <x:row r="657" ht="25" customHeight="1">
      <x:c r="A657" s="1" t="str">
        <x:v>sh000300</x:v>
      </x:c>
      <x:c r="B657" s="1" t="str">
        <x:v>沪深300</x:v>
      </x:c>
      <x:c r="C657" s="1" t="str">
        <x:v>2023-05</x:v>
      </x:c>
      <x:c r="D657" s="1" t="str">
        <x:v>2023-04-28</x:v>
      </x:c>
      <x:c r="E657" s="5" t="n">
        <x:v>4029.09</x:v>
      </x:c>
      <x:c r="F657" s="6" t="str">
        <x:v>2023-05-31</x:v>
      </x:c>
      <x:c r="G657" s="5" t="n">
        <x:v>3798.54</x:v>
      </x:c>
      <x:c r="H657" s="7" t="n">
        <x:f>G657/E657-1</x:f>
        <x:v>-0.05722135767629921</x:v>
      </x:c>
      <x:c r="I657" s="1" t="n">
        <x:v>1</x:v>
      </x:c>
      <x:c r="J657" s="1" t="n">
        <x:v>1</x:v>
      </x:c>
      <x:c r="K657" s="1" t="str">
        <x:v>中证官方优先</x:v>
      </x:c>
    </x:row>
    <x:row r="658" ht="25" customHeight="1">
      <x:c r="A658" s="1" t="str">
        <x:v>sh000300</x:v>
      </x:c>
      <x:c r="B658" s="1" t="str">
        <x:v>沪深300</x:v>
      </x:c>
      <x:c r="C658" s="1" t="str">
        <x:v>2023-06</x:v>
      </x:c>
      <x:c r="D658" s="1" t="str">
        <x:v>2023-05-31</x:v>
      </x:c>
      <x:c r="E658" s="5" t="n">
        <x:v>3798.54</x:v>
      </x:c>
      <x:c r="F658" s="6" t="str">
        <x:v>2023-06-30</x:v>
      </x:c>
      <x:c r="G658" s="5" t="n">
        <x:v>3842.45</x:v>
      </x:c>
      <x:c r="H658" s="7" t="n">
        <x:f>G658/E658-1</x:f>
        <x:v>0.01155970451805155</x:v>
      </x:c>
      <x:c r="I658" s="1" t="n">
        <x:v>1</x:v>
      </x:c>
      <x:c r="J658" s="1" t="n">
        <x:v>1</x:v>
      </x:c>
      <x:c r="K658" s="1" t="str">
        <x:v>中证官方优先</x:v>
      </x:c>
    </x:row>
    <x:row r="659" ht="25" customHeight="1">
      <x:c r="A659" s="1" t="str">
        <x:v>sh000300</x:v>
      </x:c>
      <x:c r="B659" s="1" t="str">
        <x:v>沪深300</x:v>
      </x:c>
      <x:c r="C659" s="1" t="str">
        <x:v>2023-07</x:v>
      </x:c>
      <x:c r="D659" s="1" t="str">
        <x:v>2023-06-30</x:v>
      </x:c>
      <x:c r="E659" s="5" t="n">
        <x:v>3842.45</x:v>
      </x:c>
      <x:c r="F659" s="6" t="str">
        <x:v>2023-07-31</x:v>
      </x:c>
      <x:c r="G659" s="5" t="n">
        <x:v>4014.63</x:v>
      </x:c>
      <x:c r="H659" s="7" t="n">
        <x:f>G659/E659-1</x:f>
        <x:v>0.044809951983760365</x:v>
      </x:c>
      <x:c r="I659" s="1" t="n">
        <x:v>1</x:v>
      </x:c>
      <x:c r="J659" s="1" t="n">
        <x:v>1</x:v>
      </x:c>
      <x:c r="K659" s="1" t="str">
        <x:v>中证官方优先</x:v>
      </x:c>
    </x:row>
    <x:row r="660" ht="25" customHeight="1">
      <x:c r="A660" s="1" t="str">
        <x:v>sh000300</x:v>
      </x:c>
      <x:c r="B660" s="1" t="str">
        <x:v>沪深300</x:v>
      </x:c>
      <x:c r="C660" s="1" t="str">
        <x:v>2023-08</x:v>
      </x:c>
      <x:c r="D660" s="1" t="str">
        <x:v>2023-07-31</x:v>
      </x:c>
      <x:c r="E660" s="5" t="n">
        <x:v>4014.63</x:v>
      </x:c>
      <x:c r="F660" s="6" t="str">
        <x:v>2023-08-31</x:v>
      </x:c>
      <x:c r="G660" s="5" t="n">
        <x:v>3765.27</x:v>
      </x:c>
      <x:c r="H660" s="7" t="n">
        <x:f>G660/E660-1</x:f>
        <x:v>-0.06211282235224669</x:v>
      </x:c>
      <x:c r="I660" s="1" t="n">
        <x:v>1</x:v>
      </x:c>
      <x:c r="J660" s="1" t="n">
        <x:v>1</x:v>
      </x:c>
      <x:c r="K660" s="1" t="str">
        <x:v>中证官方优先</x:v>
      </x:c>
    </x:row>
    <x:row r="661" ht="25" customHeight="1">
      <x:c r="A661" s="1" t="str">
        <x:v>sh000300</x:v>
      </x:c>
      <x:c r="B661" s="1" t="str">
        <x:v>沪深300</x:v>
      </x:c>
      <x:c r="C661" s="1" t="str">
        <x:v>2023-09</x:v>
      </x:c>
      <x:c r="D661" s="1" t="str">
        <x:v>2023-08-31</x:v>
      </x:c>
      <x:c r="E661" s="5" t="n">
        <x:v>3765.27</x:v>
      </x:c>
      <x:c r="F661" s="6" t="str">
        <x:v>2023-09-28</x:v>
      </x:c>
      <x:c r="G661" s="5" t="n">
        <x:v>3689.52</x:v>
      </x:c>
      <x:c r="H661" s="7" t="n">
        <x:f>G661/E661-1</x:f>
        <x:v>-0.0201180791815726</x:v>
      </x:c>
      <x:c r="I661" s="1" t="n">
        <x:v>1</x:v>
      </x:c>
      <x:c r="J661" s="1" t="n">
        <x:v>1</x:v>
      </x:c>
      <x:c r="K661" s="1" t="str">
        <x:v>中证官方优先</x:v>
      </x:c>
    </x:row>
    <x:row r="662" ht="25" customHeight="1">
      <x:c r="A662" s="1" t="str">
        <x:v>sh000300</x:v>
      </x:c>
      <x:c r="B662" s="1" t="str">
        <x:v>沪深300</x:v>
      </x:c>
      <x:c r="C662" s="1" t="str">
        <x:v>2023-10</x:v>
      </x:c>
      <x:c r="D662" s="1" t="str">
        <x:v>2023-09-28</x:v>
      </x:c>
      <x:c r="E662" s="5" t="n">
        <x:v>3689.52</x:v>
      </x:c>
      <x:c r="F662" s="6" t="str">
        <x:v>2023-10-31</x:v>
      </x:c>
      <x:c r="G662" s="5" t="n">
        <x:v>3572.51</x:v>
      </x:c>
      <x:c r="H662" s="7" t="n">
        <x:f>G662/E662-1</x:f>
        <x:v>-0.03171415251848475</x:v>
      </x:c>
      <x:c r="I662" s="1" t="n">
        <x:v>1</x:v>
      </x:c>
      <x:c r="J662" s="1" t="n">
        <x:v>1</x:v>
      </x:c>
      <x:c r="K662" s="1" t="str">
        <x:v>中证官方优先</x:v>
      </x:c>
    </x:row>
    <x:row r="663" ht="25" customHeight="1">
      <x:c r="A663" s="1" t="str">
        <x:v>sh000300</x:v>
      </x:c>
      <x:c r="B663" s="1" t="str">
        <x:v>沪深300</x:v>
      </x:c>
      <x:c r="C663" s="1" t="str">
        <x:v>2023-11</x:v>
      </x:c>
      <x:c r="D663" s="1" t="str">
        <x:v>2023-10-31</x:v>
      </x:c>
      <x:c r="E663" s="5" t="n">
        <x:v>3572.51</x:v>
      </x:c>
      <x:c r="F663" s="6" t="str">
        <x:v>2023-11-30</x:v>
      </x:c>
      <x:c r="G663" s="5" t="n">
        <x:v>3496.2</x:v>
      </x:c>
      <x:c r="H663" s="7" t="n">
        <x:f>G663/E663-1</x:f>
        <x:v>-0.021360332091442835</x:v>
      </x:c>
      <x:c r="I663" s="1" t="n">
        <x:v>1</x:v>
      </x:c>
      <x:c r="J663" s="1" t="n">
        <x:v>1</x:v>
      </x:c>
      <x:c r="K663" s="1" t="str">
        <x:v>中证官方优先</x:v>
      </x:c>
    </x:row>
    <x:row r="664" ht="25" customHeight="1">
      <x:c r="A664" s="1" t="str">
        <x:v>sh000300</x:v>
      </x:c>
      <x:c r="B664" s="1" t="str">
        <x:v>沪深300</x:v>
      </x:c>
      <x:c r="C664" s="1" t="str">
        <x:v>2023-12</x:v>
      </x:c>
      <x:c r="D664" s="1" t="str">
        <x:v>2023-11-30</x:v>
      </x:c>
      <x:c r="E664" s="5" t="n">
        <x:v>3496.2</x:v>
      </x:c>
      <x:c r="F664" s="6" t="str">
        <x:v>2023-12-29</x:v>
      </x:c>
      <x:c r="G664" s="5" t="n">
        <x:v>3431.11</x:v>
      </x:c>
      <x:c r="H664" s="7" t="n">
        <x:f>G664/E664-1</x:f>
        <x:v>-0.018617355986499495</x:v>
      </x:c>
      <x:c r="I664" s="1" t="n">
        <x:v>1</x:v>
      </x:c>
      <x:c r="J664" s="1" t="n">
        <x:v>1</x:v>
      </x:c>
      <x:c r="K664" s="1" t="str">
        <x:v>中证官方优先</x:v>
      </x:c>
    </x:row>
    <x:row r="665" ht="25" customHeight="1">
      <x:c r="A665" s="1" t="str">
        <x:v>sh000300</x:v>
      </x:c>
      <x:c r="B665" s="1" t="str">
        <x:v>沪深300</x:v>
      </x:c>
      <x:c r="C665" s="1" t="str">
        <x:v>2024-01</x:v>
      </x:c>
      <x:c r="D665" s="1" t="str">
        <x:v>2023-12-29</x:v>
      </x:c>
      <x:c r="E665" s="5" t="n">
        <x:v>3431.11</x:v>
      </x:c>
      <x:c r="F665" s="6" t="str">
        <x:v>2024-01-31</x:v>
      </x:c>
      <x:c r="G665" s="5" t="n">
        <x:v>3215.35</x:v>
      </x:c>
      <x:c r="H665" s="7" t="n">
        <x:f>G665/E665-1</x:f>
        <x:v>-0.06288344005292756</x:v>
      </x:c>
      <x:c r="I665" s="1" t="n">
        <x:v>1</x:v>
      </x:c>
      <x:c r="J665" s="1" t="n">
        <x:v>1</x:v>
      </x:c>
      <x:c r="K665" s="1" t="str">
        <x:v>中证官方优先</x:v>
      </x:c>
    </x:row>
    <x:row r="666" ht="25" customHeight="1">
      <x:c r="A666" s="1" t="str">
        <x:v>sh000300</x:v>
      </x:c>
      <x:c r="B666" s="1" t="str">
        <x:v>沪深300</x:v>
      </x:c>
      <x:c r="C666" s="1" t="str">
        <x:v>2024-02</x:v>
      </x:c>
      <x:c r="D666" s="1" t="str">
        <x:v>2024-01-31</x:v>
      </x:c>
      <x:c r="E666" s="5" t="n">
        <x:v>3215.35</x:v>
      </x:c>
      <x:c r="F666" s="6" t="str">
        <x:v>2024-02-29</x:v>
      </x:c>
      <x:c r="G666" s="5" t="n">
        <x:v>3516.08</x:v>
      </x:c>
      <x:c r="H666" s="7" t="n">
        <x:f>G666/E666-1</x:f>
        <x:v>0.09352947579579207</x:v>
      </x:c>
      <x:c r="I666" s="1" t="n">
        <x:v>1</x:v>
      </x:c>
      <x:c r="J666" s="1" t="n">
        <x:v>1</x:v>
      </x:c>
      <x:c r="K666" s="1" t="str">
        <x:v>中证官方优先</x:v>
      </x:c>
    </x:row>
    <x:row r="667" ht="25" customHeight="1">
      <x:c r="A667" s="1" t="str">
        <x:v>sh000300</x:v>
      </x:c>
      <x:c r="B667" s="1" t="str">
        <x:v>沪深300</x:v>
      </x:c>
      <x:c r="C667" s="1" t="str">
        <x:v>2024-03</x:v>
      </x:c>
      <x:c r="D667" s="1" t="str">
        <x:v>2024-02-29</x:v>
      </x:c>
      <x:c r="E667" s="5" t="n">
        <x:v>3516.08</x:v>
      </x:c>
      <x:c r="F667" s="6" t="str">
        <x:v>2024-03-29</x:v>
      </x:c>
      <x:c r="G667" s="5" t="n">
        <x:v>3537.48</x:v>
      </x:c>
      <x:c r="H667" s="7" t="n">
        <x:f>G667/E667-1</x:f>
        <x:v>0.006086323405610772</x:v>
      </x:c>
      <x:c r="I667" s="1" t="n">
        <x:v>1</x:v>
      </x:c>
      <x:c r="J667" s="1" t="n">
        <x:v>1</x:v>
      </x:c>
      <x:c r="K667" s="1" t="str">
        <x:v>中证官方优先</x:v>
      </x:c>
    </x:row>
    <x:row r="668" ht="25" customHeight="1">
      <x:c r="A668" s="1" t="str">
        <x:v>sh000300</x:v>
      </x:c>
      <x:c r="B668" s="1" t="str">
        <x:v>沪深300</x:v>
      </x:c>
      <x:c r="C668" s="1" t="str">
        <x:v>2024-04</x:v>
      </x:c>
      <x:c r="D668" s="1" t="str">
        <x:v>2024-03-29</x:v>
      </x:c>
      <x:c r="E668" s="5" t="n">
        <x:v>3537.48</x:v>
      </x:c>
      <x:c r="F668" s="6" t="str">
        <x:v>2024-04-30</x:v>
      </x:c>
      <x:c r="G668" s="5" t="n">
        <x:v>3604.39</x:v>
      </x:c>
      <x:c r="H668" s="7" t="n">
        <x:f>G668/E668-1</x:f>
        <x:v>0.018914594570145882</x:v>
      </x:c>
      <x:c r="I668" s="1" t="n">
        <x:v>1</x:v>
      </x:c>
      <x:c r="J668" s="1" t="n">
        <x:v>1</x:v>
      </x:c>
      <x:c r="K668" s="1" t="str">
        <x:v>中证官方优先</x:v>
      </x:c>
    </x:row>
    <x:row r="669" ht="25" customHeight="1">
      <x:c r="A669" s="1" t="str">
        <x:v>sh000300</x:v>
      </x:c>
      <x:c r="B669" s="1" t="str">
        <x:v>沪深300</x:v>
      </x:c>
      <x:c r="C669" s="1" t="str">
        <x:v>2024-05</x:v>
      </x:c>
      <x:c r="D669" s="1" t="str">
        <x:v>2024-04-30</x:v>
      </x:c>
      <x:c r="E669" s="5" t="n">
        <x:v>3604.39</x:v>
      </x:c>
      <x:c r="F669" s="6" t="str">
        <x:v>2024-05-31</x:v>
      </x:c>
      <x:c r="G669" s="5" t="n">
        <x:v>3579.92</x:v>
      </x:c>
      <x:c r="H669" s="7" t="n">
        <x:f>G669/E669-1</x:f>
        <x:v>-0.006788943482808452</x:v>
      </x:c>
      <x:c r="I669" s="1" t="n">
        <x:v>1</x:v>
      </x:c>
      <x:c r="J669" s="1" t="n">
        <x:v>1</x:v>
      </x:c>
      <x:c r="K669" s="1" t="str">
        <x:v>中证官方优先</x:v>
      </x:c>
    </x:row>
    <x:row r="670" ht="25" customHeight="1">
      <x:c r="A670" s="1" t="str">
        <x:v>sh000300</x:v>
      </x:c>
      <x:c r="B670" s="1" t="str">
        <x:v>沪深300</x:v>
      </x:c>
      <x:c r="C670" s="1" t="str">
        <x:v>2024-06</x:v>
      </x:c>
      <x:c r="D670" s="1" t="str">
        <x:v>2024-05-31</x:v>
      </x:c>
      <x:c r="E670" s="5" t="n">
        <x:v>3579.92</x:v>
      </x:c>
      <x:c r="F670" s="6" t="str">
        <x:v>2024-06-28</x:v>
      </x:c>
      <x:c r="G670" s="5" t="n">
        <x:v>3461.66</x:v>
      </x:c>
      <x:c r="H670" s="7" t="n">
        <x:f>G670/E670-1</x:f>
        <x:v>-0.03303425774877655</x:v>
      </x:c>
      <x:c r="I670" s="1" t="n">
        <x:v>1</x:v>
      </x:c>
      <x:c r="J670" s="1" t="n">
        <x:v>1</x:v>
      </x:c>
      <x:c r="K670" s="1" t="str">
        <x:v>中证官方优先</x:v>
      </x:c>
    </x:row>
    <x:row r="671" ht="25" customHeight="1">
      <x:c r="A671" s="1" t="str">
        <x:v>sh000300</x:v>
      </x:c>
      <x:c r="B671" s="1" t="str">
        <x:v>沪深300</x:v>
      </x:c>
      <x:c r="C671" s="1" t="str">
        <x:v>2024-07</x:v>
      </x:c>
      <x:c r="D671" s="1" t="str">
        <x:v>2024-06-28</x:v>
      </x:c>
      <x:c r="E671" s="5" t="n">
        <x:v>3461.66</x:v>
      </x:c>
      <x:c r="F671" s="6" t="str">
        <x:v>2024-07-31</x:v>
      </x:c>
      <x:c r="G671" s="5" t="n">
        <x:v>3442.08</x:v>
      </x:c>
      <x:c r="H671" s="7" t="n">
        <x:f>G671/E671-1</x:f>
        <x:v>-0.005656245847368013</x:v>
      </x:c>
      <x:c r="I671" s="1" t="n">
        <x:v>1</x:v>
      </x:c>
      <x:c r="J671" s="1" t="n">
        <x:v>1</x:v>
      </x:c>
      <x:c r="K671" s="1" t="str">
        <x:v>中证官方优先</x:v>
      </x:c>
    </x:row>
    <x:row r="672" ht="25" customHeight="1">
      <x:c r="A672" s="1" t="str">
        <x:v>sh000300</x:v>
      </x:c>
      <x:c r="B672" s="1" t="str">
        <x:v>沪深300</x:v>
      </x:c>
      <x:c r="C672" s="1" t="str">
        <x:v>2024-08</x:v>
      </x:c>
      <x:c r="D672" s="1" t="str">
        <x:v>2024-07-31</x:v>
      </x:c>
      <x:c r="E672" s="5" t="n">
        <x:v>3442.08</x:v>
      </x:c>
      <x:c r="F672" s="6" t="str">
        <x:v>2024-08-30</x:v>
      </x:c>
      <x:c r="G672" s="5" t="n">
        <x:v>3321.43</x:v>
      </x:c>
      <x:c r="H672" s="7" t="n">
        <x:f>G672/E672-1</x:f>
        <x:v>-0.03505148050016271</x:v>
      </x:c>
      <x:c r="I672" s="1" t="n">
        <x:v>1</x:v>
      </x:c>
      <x:c r="J672" s="1" t="n">
        <x:v>1</x:v>
      </x:c>
      <x:c r="K672" s="1" t="str">
        <x:v>中证官方优先</x:v>
      </x:c>
    </x:row>
    <x:row r="673" ht="25" customHeight="1">
      <x:c r="A673" s="1" t="str">
        <x:v>sh000300</x:v>
      </x:c>
      <x:c r="B673" s="1" t="str">
        <x:v>沪深300</x:v>
      </x:c>
      <x:c r="C673" s="1" t="str">
        <x:v>2024-09</x:v>
      </x:c>
      <x:c r="D673" s="1" t="str">
        <x:v>2024-08-30</x:v>
      </x:c>
      <x:c r="E673" s="5" t="n">
        <x:v>3321.43</x:v>
      </x:c>
      <x:c r="F673" s="6" t="str">
        <x:v>2024-09-30</x:v>
      </x:c>
      <x:c r="G673" s="5" t="n">
        <x:v>4017.85</x:v>
      </x:c>
      <x:c r="H673" s="7" t="n">
        <x:f>G673/E673-1</x:f>
        <x:v>0.20967474852698986</x:v>
      </x:c>
      <x:c r="I673" s="1" t="n">
        <x:v>1</x:v>
      </x:c>
      <x:c r="J673" s="1" t="n">
        <x:v>1</x:v>
      </x:c>
      <x:c r="K673" s="1" t="str">
        <x:v>中证官方优先</x:v>
      </x:c>
    </x:row>
    <x:row r="674" ht="25" customHeight="1">
      <x:c r="A674" s="1" t="str">
        <x:v>sh000300</x:v>
      </x:c>
      <x:c r="B674" s="1" t="str">
        <x:v>沪深300</x:v>
      </x:c>
      <x:c r="C674" s="1" t="str">
        <x:v>2024-10</x:v>
      </x:c>
      <x:c r="D674" s="1" t="str">
        <x:v>2024-09-30</x:v>
      </x:c>
      <x:c r="E674" s="5" t="n">
        <x:v>4017.85</x:v>
      </x:c>
      <x:c r="F674" s="6" t="str">
        <x:v>2024-10-31</x:v>
      </x:c>
      <x:c r="G674" s="5" t="n">
        <x:v>3891.04</x:v>
      </x:c>
      <x:c r="H674" s="7" t="n">
        <x:f>G674/E674-1</x:f>
        <x:v>-0.031561656109610814</x:v>
      </x:c>
      <x:c r="I674" s="1" t="n">
        <x:v>1</x:v>
      </x:c>
      <x:c r="J674" s="1" t="n">
        <x:v>1</x:v>
      </x:c>
      <x:c r="K674" s="1" t="str">
        <x:v>中证官方优先</x:v>
      </x:c>
    </x:row>
    <x:row r="675" ht="25" customHeight="1">
      <x:c r="A675" s="1" t="str">
        <x:v>sh000300</x:v>
      </x:c>
      <x:c r="B675" s="1" t="str">
        <x:v>沪深300</x:v>
      </x:c>
      <x:c r="C675" s="1" t="str">
        <x:v>2024-11</x:v>
      </x:c>
      <x:c r="D675" s="1" t="str">
        <x:v>2024-10-31</x:v>
      </x:c>
      <x:c r="E675" s="5" t="n">
        <x:v>3891.04</x:v>
      </x:c>
      <x:c r="F675" s="6" t="str">
        <x:v>2024-11-29</x:v>
      </x:c>
      <x:c r="G675" s="5" t="n">
        <x:v>3916.58</x:v>
      </x:c>
      <x:c r="H675" s="7" t="n">
        <x:f>G675/E675-1</x:f>
        <x:v>0.006563797853530229</x:v>
      </x:c>
      <x:c r="I675" s="1" t="n">
        <x:v>1</x:v>
      </x:c>
      <x:c r="J675" s="1" t="n">
        <x:v>1</x:v>
      </x:c>
      <x:c r="K675" s="1" t="str">
        <x:v>中证官方优先</x:v>
      </x:c>
    </x:row>
    <x:row r="676" ht="25" customHeight="1">
      <x:c r="A676" s="1" t="str">
        <x:v>sh000300</x:v>
      </x:c>
      <x:c r="B676" s="1" t="str">
        <x:v>沪深300</x:v>
      </x:c>
      <x:c r="C676" s="1" t="str">
        <x:v>2024-12</x:v>
      </x:c>
      <x:c r="D676" s="1" t="str">
        <x:v>2024-11-29</x:v>
      </x:c>
      <x:c r="E676" s="5" t="n">
        <x:v>3916.58</x:v>
      </x:c>
      <x:c r="F676" s="6" t="str">
        <x:v>2024-12-31</x:v>
      </x:c>
      <x:c r="G676" s="5" t="n">
        <x:v>3934.91</x:v>
      </x:c>
      <x:c r="H676" s="7" t="n">
        <x:f>G676/E676-1</x:f>
        <x:v>0.004680103559738358</x:v>
      </x:c>
      <x:c r="I676" s="1" t="n">
        <x:v>1</x:v>
      </x:c>
      <x:c r="J676" s="1" t="n">
        <x:v>1</x:v>
      </x:c>
      <x:c r="K676" s="1" t="str">
        <x:v>中证官方优先</x:v>
      </x:c>
    </x:row>
    <x:row r="677" ht="25" customHeight="1">
      <x:c r="A677" s="1" t="str">
        <x:v>sh000300</x:v>
      </x:c>
      <x:c r="B677" s="1" t="str">
        <x:v>沪深300</x:v>
      </x:c>
      <x:c r="C677" s="1" t="str">
        <x:v>2025-01</x:v>
      </x:c>
      <x:c r="D677" s="1" t="str">
        <x:v>2024-12-31</x:v>
      </x:c>
      <x:c r="E677" s="5" t="n">
        <x:v>3934.91</x:v>
      </x:c>
      <x:c r="F677" s="6" t="str">
        <x:v>2025-01-27</x:v>
      </x:c>
      <x:c r="G677" s="5" t="n">
        <x:v>3817.08</x:v>
      </x:c>
      <x:c r="H677" s="7" t="n">
        <x:f>G677/E677-1</x:f>
        <x:v>-0.02994477637353843</x:v>
      </x:c>
      <x:c r="I677" s="1" t="n">
        <x:v>1</x:v>
      </x:c>
      <x:c r="J677" s="1" t="n">
        <x:v>1</x:v>
      </x:c>
      <x:c r="K677" s="1" t="str">
        <x:v>中证官方优先</x:v>
      </x:c>
    </x:row>
    <x:row r="678" ht="25" customHeight="1">
      <x:c r="A678" s="1" t="str">
        <x:v>sh000300</x:v>
      </x:c>
      <x:c r="B678" s="1" t="str">
        <x:v>沪深300</x:v>
      </x:c>
      <x:c r="C678" s="1" t="str">
        <x:v>2025-02</x:v>
      </x:c>
      <x:c r="D678" s="1" t="str">
        <x:v>2025-01-27</x:v>
      </x:c>
      <x:c r="E678" s="5" t="n">
        <x:v>3817.08</x:v>
      </x:c>
      <x:c r="F678" s="6" t="str">
        <x:v>2025-02-28</x:v>
      </x:c>
      <x:c r="G678" s="5" t="n">
        <x:v>3890.05</x:v>
      </x:c>
      <x:c r="H678" s="7" t="n">
        <x:f>G678/E678-1</x:f>
        <x:v>0.019116707011642475</x:v>
      </x:c>
      <x:c r="I678" s="1" t="n">
        <x:v>1</x:v>
      </x:c>
      <x:c r="J678" s="1" t="n">
        <x:v>1</x:v>
      </x:c>
      <x:c r="K678" s="1" t="str">
        <x:v>中证官方优先</x:v>
      </x:c>
    </x:row>
    <x:row r="679" ht="25" customHeight="1">
      <x:c r="A679" s="1" t="str">
        <x:v>sh000300</x:v>
      </x:c>
      <x:c r="B679" s="1" t="str">
        <x:v>沪深300</x:v>
      </x:c>
      <x:c r="C679" s="1" t="str">
        <x:v>2025-03</x:v>
      </x:c>
      <x:c r="D679" s="1" t="str">
        <x:v>2025-02-28</x:v>
      </x:c>
      <x:c r="E679" s="5" t="n">
        <x:v>3890.05</x:v>
      </x:c>
      <x:c r="F679" s="6" t="str">
        <x:v>2025-03-31</x:v>
      </x:c>
      <x:c r="G679" s="5" t="n">
        <x:v>3887.31</x:v>
      </x:c>
      <x:c r="H679" s="7" t="n">
        <x:f>G679/E679-1</x:f>
        <x:v>-0.0007043611264637706</x:v>
      </x:c>
      <x:c r="I679" s="1" t="n">
        <x:v>1</x:v>
      </x:c>
      <x:c r="J679" s="1" t="n">
        <x:v>1</x:v>
      </x:c>
      <x:c r="K679" s="1" t="str">
        <x:v>中证官方优先</x:v>
      </x:c>
    </x:row>
    <x:row r="680" ht="25" customHeight="1">
      <x:c r="A680" s="1" t="str">
        <x:v>sh000300</x:v>
      </x:c>
      <x:c r="B680" s="1" t="str">
        <x:v>沪深300</x:v>
      </x:c>
      <x:c r="C680" s="1" t="str">
        <x:v>2025-04</x:v>
      </x:c>
      <x:c r="D680" s="1" t="str">
        <x:v>2025-03-31</x:v>
      </x:c>
      <x:c r="E680" s="5" t="n">
        <x:v>3887.31</x:v>
      </x:c>
      <x:c r="F680" s="6" t="str">
        <x:v>2025-04-30</x:v>
      </x:c>
      <x:c r="G680" s="5" t="n">
        <x:v>3770.57</x:v>
      </x:c>
      <x:c r="H680" s="7" t="n">
        <x:f>G680/E680-1</x:f>
        <x:v>-0.03003104974905524</x:v>
      </x:c>
      <x:c r="I680" s="1" t="n">
        <x:v>1</x:v>
      </x:c>
      <x:c r="J680" s="1" t="n">
        <x:v>1</x:v>
      </x:c>
      <x:c r="K680" s="1" t="str">
        <x:v>中证官方优先</x:v>
      </x:c>
    </x:row>
    <x:row r="681" ht="25" customHeight="1">
      <x:c r="A681" s="1" t="str">
        <x:v>sh000300</x:v>
      </x:c>
      <x:c r="B681" s="1" t="str">
        <x:v>沪深300</x:v>
      </x:c>
      <x:c r="C681" s="1" t="str">
        <x:v>2025-05</x:v>
      </x:c>
      <x:c r="D681" s="1" t="str">
        <x:v>2025-04-30</x:v>
      </x:c>
      <x:c r="E681" s="5" t="n">
        <x:v>3770.57</x:v>
      </x:c>
      <x:c r="F681" s="6" t="str">
        <x:v>2025-05-30</x:v>
      </x:c>
      <x:c r="G681" s="5" t="n">
        <x:v>3840.23</x:v>
      </x:c>
      <x:c r="H681" s="7" t="n">
        <x:f>G681/E681-1</x:f>
        <x:v>0.01847466032987044</x:v>
      </x:c>
      <x:c r="I681" s="1" t="n">
        <x:v>1</x:v>
      </x:c>
      <x:c r="J681" s="1" t="n">
        <x:v>1</x:v>
      </x:c>
      <x:c r="K681" s="1" t="str">
        <x:v>中证官方优先</x:v>
      </x:c>
    </x:row>
    <x:row r="682" ht="25" customHeight="1">
      <x:c r="A682" s="1" t="str">
        <x:v>sh000300</x:v>
      </x:c>
      <x:c r="B682" s="1" t="str">
        <x:v>沪深300</x:v>
      </x:c>
      <x:c r="C682" s="1" t="str">
        <x:v>2025-06</x:v>
      </x:c>
      <x:c r="D682" s="1" t="str">
        <x:v>2025-05-30</x:v>
      </x:c>
      <x:c r="E682" s="5" t="n">
        <x:v>3840.23</x:v>
      </x:c>
      <x:c r="F682" s="6" t="str">
        <x:v>2025-06-30</x:v>
      </x:c>
      <x:c r="G682" s="5" t="n">
        <x:v>3936.08</x:v>
      </x:c>
      <x:c r="H682" s="7" t="n">
        <x:f>G682/E682-1</x:f>
        <x:v>0.024959442533389886</x:v>
      </x:c>
      <x:c r="I682" s="1" t="n">
        <x:v>1</x:v>
      </x:c>
      <x:c r="J682" s="1" t="n">
        <x:v>1</x:v>
      </x:c>
      <x:c r="K682" s="1" t="str">
        <x:v>中证官方优先</x:v>
      </x:c>
    </x:row>
    <x:row r="683" ht="25" customHeight="1">
      <x:c r="A683" s="1" t="str">
        <x:v>sh000300</x:v>
      </x:c>
      <x:c r="B683" s="1" t="str">
        <x:v>沪深300</x:v>
      </x:c>
      <x:c r="C683" s="1" t="str">
        <x:v>2025-07</x:v>
      </x:c>
      <x:c r="D683" s="1" t="str">
        <x:v>2025-06-30</x:v>
      </x:c>
      <x:c r="E683" s="5" t="n">
        <x:v>3936.08</x:v>
      </x:c>
      <x:c r="F683" s="6" t="str">
        <x:v>2025-07-31</x:v>
      </x:c>
      <x:c r="G683" s="5" t="n">
        <x:v>4075.59</x:v>
      </x:c>
      <x:c r="H683" s="7" t="n">
        <x:f>G683/E683-1</x:f>
        <x:v>0.03544389341680043</x:v>
      </x:c>
      <x:c r="I683" s="1" t="n">
        <x:v>1</x:v>
      </x:c>
      <x:c r="J683" s="1" t="n">
        <x:v>1</x:v>
      </x:c>
      <x:c r="K683" s="1" t="str">
        <x:v>中证官方优先</x:v>
      </x:c>
    </x:row>
    <x:row r="684" ht="25" customHeight="1">
      <x:c r="A684" s="1" t="str">
        <x:v>sh000300</x:v>
      </x:c>
      <x:c r="B684" s="1" t="str">
        <x:v>沪深300</x:v>
      </x:c>
      <x:c r="C684" s="1" t="str">
        <x:v>2025-08</x:v>
      </x:c>
      <x:c r="D684" s="1" t="str">
        <x:v>2025-07-31</x:v>
      </x:c>
      <x:c r="E684" s="5" t="n">
        <x:v>4075.59</x:v>
      </x:c>
      <x:c r="F684" s="6" t="str">
        <x:v>2025-08-29</x:v>
      </x:c>
      <x:c r="G684" s="5" t="n">
        <x:v>4496.76</x:v>
      </x:c>
      <x:c r="H684" s="7" t="n">
        <x:f>G684/E684-1</x:f>
        <x:v>0.1033396391688075</x:v>
      </x:c>
      <x:c r="I684" s="1" t="n">
        <x:v>1</x:v>
      </x:c>
      <x:c r="J684" s="1" t="n">
        <x:v>1</x:v>
      </x:c>
      <x:c r="K684" s="1" t="str">
        <x:v>中证官方优先</x:v>
      </x:c>
    </x:row>
    <x:row r="685" ht="25" customHeight="1">
      <x:c r="A685" s="1" t="str">
        <x:v>sh000300</x:v>
      </x:c>
      <x:c r="B685" s="1" t="str">
        <x:v>沪深300</x:v>
      </x:c>
      <x:c r="C685" s="1" t="str">
        <x:v>2025-09</x:v>
      </x:c>
      <x:c r="D685" s="1" t="str">
        <x:v>2025-08-29</x:v>
      </x:c>
      <x:c r="E685" s="5" t="n">
        <x:v>4496.76</x:v>
      </x:c>
      <x:c r="F685" s="6" t="str">
        <x:v>2025-09-30</x:v>
      </x:c>
      <x:c r="G685" s="5" t="n">
        <x:v>4640.69</x:v>
      </x:c>
      <x:c r="H685" s="7" t="n">
        <x:f>G685/E685-1</x:f>
        <x:v>0.03200748983712698</x:v>
      </x:c>
      <x:c r="I685" s="1" t="n">
        <x:v>1</x:v>
      </x:c>
      <x:c r="J685" s="1" t="n">
        <x:v>1</x:v>
      </x:c>
      <x:c r="K685" s="1" t="str">
        <x:v>中证官方优先</x:v>
      </x:c>
    </x:row>
    <x:row r="686" ht="25" customHeight="1">
      <x:c r="A686" s="1" t="str">
        <x:v>sh000300</x:v>
      </x:c>
      <x:c r="B686" s="1" t="str">
        <x:v>沪深300</x:v>
      </x:c>
      <x:c r="C686" s="1" t="str">
        <x:v>2025-10</x:v>
      </x:c>
      <x:c r="D686" s="1" t="str">
        <x:v>2025-09-30</x:v>
      </x:c>
      <x:c r="E686" s="5" t="n">
        <x:v>4640.69</x:v>
      </x:c>
      <x:c r="F686" s="6" t="str">
        <x:v>2025-10-31</x:v>
      </x:c>
      <x:c r="G686" s="5" t="n">
        <x:v>4640.67</x:v>
      </x:c>
      <x:c r="H686" s="7" t="n">
        <x:f>G686/E686-1</x:f>
        <x:v>-0.0000043097039448269925</x:v>
      </x:c>
      <x:c r="I686" s="1" t="n">
        <x:v>1</x:v>
      </x:c>
      <x:c r="J686" s="1" t="n">
        <x:v>1</x:v>
      </x:c>
      <x:c r="K686" s="1" t="str">
        <x:v>中证官方优先</x:v>
      </x:c>
    </x:row>
    <x:row r="687" ht="25" customHeight="1">
      <x:c r="A687" s="1" t="str">
        <x:v>sh000300</x:v>
      </x:c>
      <x:c r="B687" s="1" t="str">
        <x:v>沪深300</x:v>
      </x:c>
      <x:c r="C687" s="1" t="str">
        <x:v>2025-11</x:v>
      </x:c>
      <x:c r="D687" s="1" t="str">
        <x:v>2025-10-31</x:v>
      </x:c>
      <x:c r="E687" s="5" t="n">
        <x:v>4640.67</x:v>
      </x:c>
      <x:c r="F687" s="6" t="str">
        <x:v>2025-11-28</x:v>
      </x:c>
      <x:c r="G687" s="5" t="n">
        <x:v>4526.66</x:v>
      </x:c>
      <x:c r="H687" s="7" t="n">
        <x:f>G687/E687-1</x:f>
        <x:v>-0.024567573216798477</x:v>
      </x:c>
      <x:c r="I687" s="1" t="n">
        <x:v>1</x:v>
      </x:c>
      <x:c r="J687" s="1" t="n">
        <x:v>1</x:v>
      </x:c>
      <x:c r="K687" s="1" t="str">
        <x:v>中证官方优先</x:v>
      </x:c>
    </x:row>
    <x:row r="688" ht="25" customHeight="1">
      <x:c r="A688" s="1" t="str">
        <x:v>sh000300</x:v>
      </x:c>
      <x:c r="B688" s="1" t="str">
        <x:v>沪深300</x:v>
      </x:c>
      <x:c r="C688" s="1" t="str">
        <x:v>2025-12</x:v>
      </x:c>
      <x:c r="D688" s="1" t="str">
        <x:v>2025-11-28</x:v>
      </x:c>
      <x:c r="E688" s="5" t="n">
        <x:v>4526.66</x:v>
      </x:c>
      <x:c r="F688" s="6" t="str">
        <x:v>2025-12-31</x:v>
      </x:c>
      <x:c r="G688" s="5" t="n">
        <x:v>4629.94</x:v>
      </x:c>
      <x:c r="H688" s="7" t="n">
        <x:f>G688/E688-1</x:f>
        <x:v>0.022815939346007896</x:v>
      </x:c>
      <x:c r="I688" s="1" t="n">
        <x:v>1</x:v>
      </x:c>
      <x:c r="J688" s="1" t="n">
        <x:v>1</x:v>
      </x:c>
      <x:c r="K688" s="1" t="str">
        <x:v>中证官方优先</x:v>
      </x:c>
    </x:row>
    <x:row r="689" ht="25" customHeight="1">
      <x:c r="A689" s="1" t="str">
        <x:v>sh000300</x:v>
      </x:c>
      <x:c r="B689" s="1" t="str">
        <x:v>沪深300</x:v>
      </x:c>
      <x:c r="C689" s="1" t="str">
        <x:v>2026-01</x:v>
      </x:c>
      <x:c r="D689" s="1" t="str">
        <x:v>2025-12-31</x:v>
      </x:c>
      <x:c r="E689" s="5" t="n">
        <x:v>4629.94</x:v>
      </x:c>
      <x:c r="F689" s="6" t="str">
        <x:v>2026-01-30</x:v>
      </x:c>
      <x:c r="G689" s="5" t="n">
        <x:v>4706.34</x:v>
      </x:c>
      <x:c r="H689" s="7" t="n">
        <x:f>G689/E689-1</x:f>
        <x:v>0.01650129375326692</x:v>
      </x:c>
      <x:c r="I689" s="1" t="n">
        <x:v>1</x:v>
      </x:c>
      <x:c r="J689" s="1" t="n">
        <x:v>1</x:v>
      </x:c>
      <x:c r="K689" s="1" t="str">
        <x:v>中证官方优先</x:v>
      </x:c>
    </x:row>
    <x:row r="690" ht="25" customHeight="1">
      <x:c r="A690" s="1" t="str">
        <x:v>sh000300</x:v>
      </x:c>
      <x:c r="B690" s="1" t="str">
        <x:v>沪深300</x:v>
      </x:c>
      <x:c r="C690" s="1" t="str">
        <x:v>2026-02</x:v>
      </x:c>
      <x:c r="D690" s="1" t="str">
        <x:v>2026-01-30</x:v>
      </x:c>
      <x:c r="E690" s="5" t="n">
        <x:v>4706.34</x:v>
      </x:c>
      <x:c r="F690" s="6" t="str">
        <x:v>2026-02-27</x:v>
      </x:c>
      <x:c r="G690" s="5" t="n">
        <x:v>4710.65</x:v>
      </x:c>
      <x:c r="H690" s="7" t="n">
        <x:f>G690/E690-1</x:f>
        <x:v>0.0009157859398172263</x:v>
      </x:c>
      <x:c r="I690" s="1" t="n">
        <x:v>1</x:v>
      </x:c>
      <x:c r="J690" s="1" t="n">
        <x:v>1</x:v>
      </x:c>
      <x:c r="K690" s="1" t="str">
        <x:v>中证官方优先</x:v>
      </x:c>
    </x:row>
    <x:row r="691" ht="25" customHeight="1">
      <x:c r="A691" s="1" t="str">
        <x:v>sh000300</x:v>
      </x:c>
      <x:c r="B691" s="1" t="str">
        <x:v>沪深300</x:v>
      </x:c>
      <x:c r="C691" s="1" t="str">
        <x:v>2026-03</x:v>
      </x:c>
      <x:c r="D691" s="1" t="str">
        <x:v>2026-02-27</x:v>
      </x:c>
      <x:c r="E691" s="5" t="n">
        <x:v>4710.65</x:v>
      </x:c>
      <x:c r="F691" s="6" t="str">
        <x:v>2026-03-31</x:v>
      </x:c>
      <x:c r="G691" s="5" t="n">
        <x:v>4450.05</x:v>
      </x:c>
      <x:c r="H691" s="7" t="n">
        <x:f>G691/E691-1</x:f>
        <x:v>-0.05532145245348297</x:v>
      </x:c>
      <x:c r="I691" s="1" t="n">
        <x:v>1</x:v>
      </x:c>
      <x:c r="J691" s="1" t="n">
        <x:v>1</x:v>
      </x:c>
      <x:c r="K691" s="1" t="str">
        <x:v>中证官方优先</x:v>
      </x:c>
    </x:row>
    <x:row r="692" ht="25" customHeight="1">
      <x:c r="A692" s="1" t="str">
        <x:v>sh000300</x:v>
      </x:c>
      <x:c r="B692" s="1" t="str">
        <x:v>沪深300</x:v>
      </x:c>
      <x:c r="C692" s="1" t="str">
        <x:v>2026-04</x:v>
      </x:c>
      <x:c r="D692" s="1" t="str">
        <x:v>2026-03-31</x:v>
      </x:c>
      <x:c r="E692" s="5" t="n">
        <x:v>4450.05</x:v>
      </x:c>
      <x:c r="F692" s="6" t="str">
        <x:v>2026-04-30</x:v>
      </x:c>
      <x:c r="G692" s="5" t="n">
        <x:v>4807.31</x:v>
      </x:c>
      <x:c r="H692" s="7" t="n">
        <x:f>G692/E692-1</x:f>
        <x:v>0.08028224401973016</x:v>
      </x:c>
      <x:c r="I692" s="1" t="n">
        <x:v>1</x:v>
      </x:c>
      <x:c r="J692" s="1" t="n">
        <x:v>1</x:v>
      </x:c>
      <x:c r="K692" s="1" t="str">
        <x:v>中证官方优先</x:v>
      </x:c>
    </x:row>
    <x:row r="693" ht="25" customHeight="1">
      <x:c r="A693" s="1" t="str">
        <x:v>sh000300</x:v>
      </x:c>
      <x:c r="B693" s="1" t="str">
        <x:v>沪深300</x:v>
      </x:c>
      <x:c r="C693" s="1" t="str">
        <x:v>2026-05</x:v>
      </x:c>
      <x:c r="D693" s="1" t="str">
        <x:v>2026-04-30</x:v>
      </x:c>
      <x:c r="E693" s="5" t="n">
        <x:v>4807.31</x:v>
      </x:c>
      <x:c r="F693" s="6" t="str">
        <x:v>2026-05-29</x:v>
      </x:c>
      <x:c r="G693" s="5" t="n">
        <x:v>4892.12</x:v>
      </x:c>
      <x:c r="H693" s="7" t="n">
        <x:f>G693/E693-1</x:f>
        <x:v>0.01764188288252666</x:v>
      </x:c>
      <x:c r="I693" s="1" t="n">
        <x:v>1</x:v>
      </x:c>
      <x:c r="J693" s="1" t="n">
        <x:v>1</x:v>
      </x:c>
      <x:c r="K693" s="1" t="str">
        <x:v>中证官方优先</x:v>
      </x:c>
    </x:row>
    <x:row r="694" ht="25" customHeight="1">
      <x:c r="A694" s="1" t="str">
        <x:v>sh000300</x:v>
      </x:c>
      <x:c r="B694" s="1" t="str">
        <x:v>沪深300</x:v>
      </x:c>
      <x:c r="C694" s="1" t="str">
        <x:v>2026-06</x:v>
      </x:c>
      <x:c r="D694" s="1" t="str">
        <x:v>2026-05-29</x:v>
      </x:c>
      <x:c r="E694" s="5" t="n">
        <x:v>4892.12</x:v>
      </x:c>
      <x:c r="F694" s="6" t="str">
        <x:v>2026-06-30</x:v>
      </x:c>
      <x:c r="G694" s="5" t="n">
        <x:v>4979.43</x:v>
      </x:c>
      <x:c r="H694" s="7" t="n">
        <x:f>G694/E694-1</x:f>
        <x:v>0.0178470683466474</x:v>
      </x:c>
      <x:c r="I694" s="1" t="n">
        <x:v>1</x:v>
      </x:c>
      <x:c r="J694" s="1" t="n">
        <x:v>1</x:v>
      </x:c>
      <x:c r="K694" s="1" t="str">
        <x:v>中证官方优先</x:v>
      </x:c>
    </x:row>
    <x:row r="695" ht="25" customHeight="1">
      <x:c r="A695" s="1" t="str">
        <x:v>sh000300</x:v>
      </x:c>
      <x:c r="B695" s="1" t="str">
        <x:v>沪深300</x:v>
      </x:c>
      <x:c r="C695" s="1" t="str">
        <x:v>2026-07</x:v>
      </x:c>
      <x:c r="D695" s="1" t="str">
        <x:v>2026-06-30</x:v>
      </x:c>
      <x:c r="E695" s="5" t="n">
        <x:v>4979.43</x:v>
      </x:c>
      <x:c r="F695" s="6" t="str">
        <x:v>2026-07-31</x:v>
      </x:c>
      <x:c r="G695" s="5" t="n">
        <x:v>4588.2</x:v>
      </x:c>
      <x:c r="H695" s="7" t="n">
        <x:f>G695/E695-1</x:f>
        <x:v>-0.07856923382796832</x:v>
      </x:c>
      <x:c r="I695" s="1" t="n">
        <x:v>1</x:v>
      </x:c>
      <x:c r="J695" s="1" t="n">
        <x:v>1</x:v>
      </x:c>
      <x:c r="K695" s="1" t="str">
        <x:v>中证官方优先</x:v>
      </x:c>
    </x:row>
    <x:row r="696" ht="25" customHeight="1">
      <x:c r="A696" s="1" t="str">
        <x:v>sh000300</x:v>
      </x:c>
      <x:c r="B696" s="1" t="str">
        <x:v>沪深300</x:v>
      </x:c>
      <x:c r="C696" s="1" t="str">
        <x:v>2026-08</x:v>
      </x:c>
      <x:c r="D696" s="1" t="str">
        <x:v>2026-07-31</x:v>
      </x:c>
      <x:c r="E696" s="5" t="n">
        <x:v>4588.2</x:v>
      </x:c>
      <x:c r="F696" s="6" t="str">
        <x:v>2026-08-31</x:v>
      </x:c>
      <x:c r="G696" s="5" t="n">
        <x:v>4625.09</x:v>
      </x:c>
      <x:c r="H696" s="7" t="n">
        <x:f>G696/E696-1</x:f>
        <x:v>0.008040190052744034</x:v>
      </x:c>
      <x:c r="I696" s="1" t="n">
        <x:v>1</x:v>
      </x:c>
      <x:c r="J696" s="1" t="n">
        <x:v>1</x:v>
      </x:c>
      <x:c r="K696" s="1" t="str">
        <x:v>中证官方优先</x:v>
      </x:c>
    </x:row>
    <x:row r="697" ht="25" customHeight="1">
      <x:c r="A697" s="1" t="str">
        <x:v>sh000300</x:v>
      </x:c>
      <x:c r="B697" s="1" t="str">
        <x:v>沪深300</x:v>
      </x:c>
      <x:c r="C697" s="1" t="str">
        <x:v>2026-09</x:v>
      </x:c>
      <x:c r="D697" s="1" t="str">
        <x:v>2026-08-31</x:v>
      </x:c>
      <x:c r="E697" s="5" t="n">
        <x:v>4625.09</x:v>
      </x:c>
      <x:c r="F697" s="6" t="str">
        <x:v>2026-09-30</x:v>
      </x:c>
      <x:c r="G697" s="5" t="n">
        <x:v>4357.62</x:v>
      </x:c>
      <x:c r="H697" s="7" t="n">
        <x:f>G697/E697-1</x:f>
        <x:v>-0.057830226006412855</x:v>
      </x:c>
      <x:c r="I697" s="1" t="n">
        <x:v>1</x:v>
      </x:c>
      <x:c r="J697" s="1" t="n">
        <x:v>1</x:v>
      </x:c>
      <x:c r="K697" s="1" t="str">
        <x:v>中证官方优先</x:v>
      </x:c>
    </x:row>
    <x:row r="698" ht="25" customHeight="1">
      <x:c r="A698" s="1" t="str">
        <x:v>sh000300</x:v>
      </x:c>
      <x:c r="B698" s="1" t="str">
        <x:v>沪深300</x:v>
      </x:c>
      <x:c r="C698" s="1" t="str">
        <x:v>2026-10</x:v>
      </x:c>
      <x:c r="D698" s="1" t="str">
        <x:v>2026-09-30</x:v>
      </x:c>
      <x:c r="E698" s="5" t="n">
        <x:v>4357.62</x:v>
      </x:c>
      <x:c r="F698" s="6" t="str">
        <x:v>2026-10-09</x:v>
      </x:c>
      <x:c r="G698" s="5" t="n">
        <x:v>4317.25</x:v>
      </x:c>
      <x:c r="H698" s="7" t="n">
        <x:f>G698/E698-1</x:f>
        <x:v>-0.00926423139236554</x:v>
      </x:c>
      <x:c r="I698" s="1" t="n">
        <x:v>0</x:v>
      </x:c>
      <x:c r="J698" s="1" t="n">
        <x:v>1</x:v>
      </x:c>
      <x:c r="K698" s="1" t="str">
        <x:v>中证官方优先</x:v>
      </x:c>
    </x:row>
    <x:row r="699" ht="25" customHeight="1">
      <x:c r="A699" s="1" t="str">
        <x:v>sh000905</x:v>
      </x:c>
      <x:c r="B699" s="1" t="str">
        <x:v>中证500</x:v>
      </x:c>
      <x:c r="C699" s="1" t="str">
        <x:v>2005-01</x:v>
      </x:c>
      <x:c r="D699" s="1" t="str">
        <x:v>2004-12-31</x:v>
      </x:c>
      <x:c r="E699" s="5" t="n">
        <x:v>1000</x:v>
      </x:c>
      <x:c r="F699" s="6" t="str">
        <x:v>2005-01-31</x:v>
      </x:c>
      <x:c r="G699" s="5" t="n">
        <x:v>922.65</x:v>
      </x:c>
      <x:c r="H699" s="7" t="n">
        <x:f>G699/E699-1</x:f>
        <x:v>-0.07735000000000003</x:v>
      </x:c>
      <x:c r="I699" s="1" t="n">
        <x:v>1</x:v>
      </x:c>
      <x:c r="J699" s="1" t="n">
        <x:v>0</x:v>
      </x:c>
      <x:c r="K699" s="1" t="str">
        <x:v>中证官方优先</x:v>
      </x:c>
    </x:row>
    <x:row r="700" ht="25" customHeight="1">
      <x:c r="A700" s="1" t="str">
        <x:v>sh000905</x:v>
      </x:c>
      <x:c r="B700" s="1" t="str">
        <x:v>中证500</x:v>
      </x:c>
      <x:c r="C700" s="1" t="str">
        <x:v>2005-02</x:v>
      </x:c>
      <x:c r="D700" s="1" t="str">
        <x:v>2005-01-31</x:v>
      </x:c>
      <x:c r="E700" s="5" t="n">
        <x:v>922.65</x:v>
      </x:c>
      <x:c r="F700" s="6" t="str">
        <x:v>2005-02-28</x:v>
      </x:c>
      <x:c r="G700" s="5" t="n">
        <x:v>1020.85</x:v>
      </x:c>
      <x:c r="H700" s="7" t="n">
        <x:f>G700/E700-1</x:f>
        <x:v>0.1064325583915895</x:v>
      </x:c>
      <x:c r="I700" s="1" t="n">
        <x:v>1</x:v>
      </x:c>
      <x:c r="J700" s="1" t="n">
        <x:v>0</x:v>
      </x:c>
      <x:c r="K700" s="1" t="str">
        <x:v>中证官方优先</x:v>
      </x:c>
    </x:row>
    <x:row r="701" ht="25" customHeight="1">
      <x:c r="A701" s="1" t="str">
        <x:v>sh000905</x:v>
      </x:c>
      <x:c r="B701" s="1" t="str">
        <x:v>中证500</x:v>
      </x:c>
      <x:c r="C701" s="1" t="str">
        <x:v>2005-03</x:v>
      </x:c>
      <x:c r="D701" s="1" t="str">
        <x:v>2005-02-28</x:v>
      </x:c>
      <x:c r="E701" s="5" t="n">
        <x:v>1020.85</x:v>
      </x:c>
      <x:c r="F701" s="6" t="str">
        <x:v>2005-03-31</x:v>
      </x:c>
      <x:c r="G701" s="5" t="n">
        <x:v>896.07</x:v>
      </x:c>
      <x:c r="H701" s="7" t="n">
        <x:f>G701/E701-1</x:f>
        <x:v>-0.12223147377185672</x:v>
      </x:c>
      <x:c r="I701" s="1" t="n">
        <x:v>1</x:v>
      </x:c>
      <x:c r="J701" s="1" t="n">
        <x:v>0</x:v>
      </x:c>
      <x:c r="K701" s="1" t="str">
        <x:v>中证官方优先</x:v>
      </x:c>
    </x:row>
    <x:row r="702" ht="25" customHeight="1">
      <x:c r="A702" s="1" t="str">
        <x:v>sh000905</x:v>
      </x:c>
      <x:c r="B702" s="1" t="str">
        <x:v>中证500</x:v>
      </x:c>
      <x:c r="C702" s="1" t="str">
        <x:v>2005-04</x:v>
      </x:c>
      <x:c r="D702" s="1" t="str">
        <x:v>2005-03-31</x:v>
      </x:c>
      <x:c r="E702" s="5" t="n">
        <x:v>896.07</x:v>
      </x:c>
      <x:c r="F702" s="6" t="str">
        <x:v>2005-04-29</x:v>
      </x:c>
      <x:c r="G702" s="5" t="n">
        <x:v>847.61</x:v>
      </x:c>
      <x:c r="H702" s="7" t="n">
        <x:f>G702/E702-1</x:f>
        <x:v>-0.05408059638197915</x:v>
      </x:c>
      <x:c r="I702" s="1" t="n">
        <x:v>1</x:v>
      </x:c>
      <x:c r="J702" s="1" t="n">
        <x:v>0</x:v>
      </x:c>
      <x:c r="K702" s="1" t="str">
        <x:v>中证官方优先</x:v>
      </x:c>
    </x:row>
    <x:row r="703" ht="25" customHeight="1">
      <x:c r="A703" s="1" t="str">
        <x:v>sh000905</x:v>
      </x:c>
      <x:c r="B703" s="1" t="str">
        <x:v>中证500</x:v>
      </x:c>
      <x:c r="C703" s="1" t="str">
        <x:v>2005-05</x:v>
      </x:c>
      <x:c r="D703" s="1" t="str">
        <x:v>2005-04-29</x:v>
      </x:c>
      <x:c r="E703" s="5" t="n">
        <x:v>847.61</x:v>
      </x:c>
      <x:c r="F703" s="6" t="str">
        <x:v>2005-05-31</x:v>
      </x:c>
      <x:c r="G703" s="5" t="n">
        <x:v>796.87</x:v>
      </x:c>
      <x:c r="H703" s="7" t="n">
        <x:f>G703/E703-1</x:f>
        <x:v>-0.05986243673387526</x:v>
      </x:c>
      <x:c r="I703" s="1" t="n">
        <x:v>1</x:v>
      </x:c>
      <x:c r="J703" s="1" t="n">
        <x:v>0</x:v>
      </x:c>
      <x:c r="K703" s="1" t="str">
        <x:v>中证官方优先</x:v>
      </x:c>
    </x:row>
    <x:row r="704" ht="25" customHeight="1">
      <x:c r="A704" s="1" t="str">
        <x:v>sh000905</x:v>
      </x:c>
      <x:c r="B704" s="1" t="str">
        <x:v>中证500</x:v>
      </x:c>
      <x:c r="C704" s="1" t="str">
        <x:v>2005-06</x:v>
      </x:c>
      <x:c r="D704" s="1" t="str">
        <x:v>2005-05-31</x:v>
      </x:c>
      <x:c r="E704" s="5" t="n">
        <x:v>796.87</x:v>
      </x:c>
      <x:c r="F704" s="6" t="str">
        <x:v>2005-06-30</x:v>
      </x:c>
      <x:c r="G704" s="5" t="n">
        <x:v>791.5</x:v>
      </x:c>
      <x:c r="H704" s="7" t="n">
        <x:f>G704/E704-1</x:f>
        <x:v>-0.00673886581249139</x:v>
      </x:c>
      <x:c r="I704" s="1" t="n">
        <x:v>1</x:v>
      </x:c>
      <x:c r="J704" s="1" t="n">
        <x:v>0</x:v>
      </x:c>
      <x:c r="K704" s="1" t="str">
        <x:v>中证官方优先</x:v>
      </x:c>
    </x:row>
    <x:row r="705" ht="25" customHeight="1">
      <x:c r="A705" s="1" t="str">
        <x:v>sh000905</x:v>
      </x:c>
      <x:c r="B705" s="1" t="str">
        <x:v>中证500</x:v>
      </x:c>
      <x:c r="C705" s="1" t="str">
        <x:v>2005-07</x:v>
      </x:c>
      <x:c r="D705" s="1" t="str">
        <x:v>2005-06-30</x:v>
      </x:c>
      <x:c r="E705" s="5" t="n">
        <x:v>791.5</x:v>
      </x:c>
      <x:c r="F705" s="6" t="str">
        <x:v>2005-07-29</x:v>
      </x:c>
      <x:c r="G705" s="5" t="n">
        <x:v>744.82</x:v>
      </x:c>
      <x:c r="H705" s="7" t="n">
        <x:f>G705/E705-1</x:f>
        <x:v>-0.05897662665824377</x:v>
      </x:c>
      <x:c r="I705" s="1" t="n">
        <x:v>1</x:v>
      </x:c>
      <x:c r="J705" s="1" t="n">
        <x:v>0</x:v>
      </x:c>
      <x:c r="K705" s="1" t="str">
        <x:v>中证官方优先</x:v>
      </x:c>
    </x:row>
    <x:row r="706" ht="25" customHeight="1">
      <x:c r="A706" s="1" t="str">
        <x:v>sh000905</x:v>
      </x:c>
      <x:c r="B706" s="1" t="str">
        <x:v>中证500</x:v>
      </x:c>
      <x:c r="C706" s="1" t="str">
        <x:v>2005-08</x:v>
      </x:c>
      <x:c r="D706" s="1" t="str">
        <x:v>2005-07-29</x:v>
      </x:c>
      <x:c r="E706" s="5" t="n">
        <x:v>744.82</x:v>
      </x:c>
      <x:c r="F706" s="6" t="str">
        <x:v>2005-08-31</x:v>
      </x:c>
      <x:c r="G706" s="5" t="n">
        <x:v>845.14</x:v>
      </x:c>
      <x:c r="H706" s="7" t="n">
        <x:f>G706/E706-1</x:f>
        <x:v>0.13469026073413692</x:v>
      </x:c>
      <x:c r="I706" s="1" t="n">
        <x:v>1</x:v>
      </x:c>
      <x:c r="J706" s="1" t="n">
        <x:v>0</x:v>
      </x:c>
      <x:c r="K706" s="1" t="str">
        <x:v>中证官方优先</x:v>
      </x:c>
    </x:row>
    <x:row r="707" ht="25" customHeight="1">
      <x:c r="A707" s="1" t="str">
        <x:v>sh000905</x:v>
      </x:c>
      <x:c r="B707" s="1" t="str">
        <x:v>中证500</x:v>
      </x:c>
      <x:c r="C707" s="1" t="str">
        <x:v>2005-09</x:v>
      </x:c>
      <x:c r="D707" s="1" t="str">
        <x:v>2005-08-31</x:v>
      </x:c>
      <x:c r="E707" s="5" t="n">
        <x:v>845.14</x:v>
      </x:c>
      <x:c r="F707" s="6" t="str">
        <x:v>2005-09-30</x:v>
      </x:c>
      <x:c r="G707" s="5" t="n">
        <x:v>869.51</x:v>
      </x:c>
      <x:c r="H707" s="7" t="n">
        <x:f>G707/E707-1</x:f>
        <x:v>0.028835459213857995</x:v>
      </x:c>
      <x:c r="I707" s="1" t="n">
        <x:v>1</x:v>
      </x:c>
      <x:c r="J707" s="1" t="n">
        <x:v>0</x:v>
      </x:c>
      <x:c r="K707" s="1" t="str">
        <x:v>中证官方优先</x:v>
      </x:c>
    </x:row>
    <x:row r="708" ht="25" customHeight="1">
      <x:c r="A708" s="1" t="str">
        <x:v>sh000905</x:v>
      </x:c>
      <x:c r="B708" s="1" t="str">
        <x:v>中证500</x:v>
      </x:c>
      <x:c r="C708" s="1" t="str">
        <x:v>2005-10</x:v>
      </x:c>
      <x:c r="D708" s="1" t="str">
        <x:v>2005-09-30</x:v>
      </x:c>
      <x:c r="E708" s="5" t="n">
        <x:v>869.51</x:v>
      </x:c>
      <x:c r="F708" s="6" t="str">
        <x:v>2005-10-31</x:v>
      </x:c>
      <x:c r="G708" s="5" t="n">
        <x:v>828.66</x:v>
      </x:c>
      <x:c r="H708" s="7" t="n">
        <x:f>G708/E708-1</x:f>
        <x:v>-0.046980483260687045</x:v>
      </x:c>
      <x:c r="I708" s="1" t="n">
        <x:v>1</x:v>
      </x:c>
      <x:c r="J708" s="1" t="n">
        <x:v>0</x:v>
      </x:c>
      <x:c r="K708" s="1" t="str">
        <x:v>中证官方优先</x:v>
      </x:c>
    </x:row>
    <x:row r="709" ht="25" customHeight="1">
      <x:c r="A709" s="1" t="str">
        <x:v>sh000905</x:v>
      </x:c>
      <x:c r="B709" s="1" t="str">
        <x:v>中证500</x:v>
      </x:c>
      <x:c r="C709" s="1" t="str">
        <x:v>2005-11</x:v>
      </x:c>
      <x:c r="D709" s="1" t="str">
        <x:v>2005-10-31</x:v>
      </x:c>
      <x:c r="E709" s="5" t="n">
        <x:v>828.66</x:v>
      </x:c>
      <x:c r="F709" s="6" t="str">
        <x:v>2005-11-30</x:v>
      </x:c>
      <x:c r="G709" s="5" t="n">
        <x:v>829.5</x:v>
      </x:c>
      <x:c r="H709" s="7" t="n">
        <x:f>G709/E709-1</x:f>
        <x:v>0.0010136847440447294</x:v>
      </x:c>
      <x:c r="I709" s="1" t="n">
        <x:v>1</x:v>
      </x:c>
      <x:c r="J709" s="1" t="n">
        <x:v>0</x:v>
      </x:c>
      <x:c r="K709" s="1" t="str">
        <x:v>中证官方优先</x:v>
      </x:c>
    </x:row>
    <x:row r="710" ht="25" customHeight="1">
      <x:c r="A710" s="1" t="str">
        <x:v>sh000905</x:v>
      </x:c>
      <x:c r="B710" s="1" t="str">
        <x:v>中证500</x:v>
      </x:c>
      <x:c r="C710" s="1" t="str">
        <x:v>2005-12</x:v>
      </x:c>
      <x:c r="D710" s="1" t="str">
        <x:v>2005-11-30</x:v>
      </x:c>
      <x:c r="E710" s="5" t="n">
        <x:v>829.5</x:v>
      </x:c>
      <x:c r="F710" s="6" t="str">
        <x:v>2005-12-30</x:v>
      </x:c>
      <x:c r="G710" s="5" t="n">
        <x:v>860.13</x:v>
      </x:c>
      <x:c r="H710" s="7" t="n">
        <x:f>G710/E710-1</x:f>
        <x:v>0.036925858951175394</x:v>
      </x:c>
      <x:c r="I710" s="1" t="n">
        <x:v>1</x:v>
      </x:c>
      <x:c r="J710" s="1" t="n">
        <x:v>0</x:v>
      </x:c>
      <x:c r="K710" s="1" t="str">
        <x:v>中证官方优先</x:v>
      </x:c>
    </x:row>
    <x:row r="711" ht="25" customHeight="1">
      <x:c r="A711" s="1" t="str">
        <x:v>sh000905</x:v>
      </x:c>
      <x:c r="B711" s="1" t="str">
        <x:v>中证500</x:v>
      </x:c>
      <x:c r="C711" s="1" t="str">
        <x:v>2006-01</x:v>
      </x:c>
      <x:c r="D711" s="1" t="str">
        <x:v>2005-12-30</x:v>
      </x:c>
      <x:c r="E711" s="5" t="n">
        <x:v>860.13</x:v>
      </x:c>
      <x:c r="F711" s="6" t="str">
        <x:v>2006-01-25</x:v>
      </x:c>
      <x:c r="G711" s="5" t="n">
        <x:v>957.79</x:v>
      </x:c>
      <x:c r="H711" s="7" t="n">
        <x:f>G711/E711-1</x:f>
        <x:v>0.11354097636403804</x:v>
      </x:c>
      <x:c r="I711" s="1" t="n">
        <x:v>1</x:v>
      </x:c>
      <x:c r="J711" s="1" t="n">
        <x:v>0</x:v>
      </x:c>
      <x:c r="K711" s="1" t="str">
        <x:v>中证官方优先</x:v>
      </x:c>
    </x:row>
    <x:row r="712" ht="25" customHeight="1">
      <x:c r="A712" s="1" t="str">
        <x:v>sh000905</x:v>
      </x:c>
      <x:c r="B712" s="1" t="str">
        <x:v>中证500</x:v>
      </x:c>
      <x:c r="C712" s="1" t="str">
        <x:v>2006-02</x:v>
      </x:c>
      <x:c r="D712" s="1" t="str">
        <x:v>2006-01-25</x:v>
      </x:c>
      <x:c r="E712" s="5" t="n">
        <x:v>957.79</x:v>
      </x:c>
      <x:c r="F712" s="6" t="str">
        <x:v>2006-02-28</x:v>
      </x:c>
      <x:c r="G712" s="5" t="n">
        <x:v>964.73</x:v>
      </x:c>
      <x:c r="H712" s="7" t="n">
        <x:f>G712/E712-1</x:f>
        <x:v>0.007245847210766598</x:v>
      </x:c>
      <x:c r="I712" s="1" t="n">
        <x:v>1</x:v>
      </x:c>
      <x:c r="J712" s="1" t="n">
        <x:v>0</x:v>
      </x:c>
      <x:c r="K712" s="1" t="str">
        <x:v>中证官方优先</x:v>
      </x:c>
    </x:row>
    <x:row r="713" ht="25" customHeight="1">
      <x:c r="A713" s="1" t="str">
        <x:v>sh000905</x:v>
      </x:c>
      <x:c r="B713" s="1" t="str">
        <x:v>中证500</x:v>
      </x:c>
      <x:c r="C713" s="1" t="str">
        <x:v>2006-03</x:v>
      </x:c>
      <x:c r="D713" s="1" t="str">
        <x:v>2006-02-28</x:v>
      </x:c>
      <x:c r="E713" s="5" t="n">
        <x:v>964.73</x:v>
      </x:c>
      <x:c r="F713" s="6" t="str">
        <x:v>2006-03-31</x:v>
      </x:c>
      <x:c r="G713" s="5" t="n">
        <x:v>1000.25</x:v>
      </x:c>
      <x:c r="H713" s="7" t="n">
        <x:f>G713/E713-1</x:f>
        <x:v>0.036818591730328754</x:v>
      </x:c>
      <x:c r="I713" s="1" t="n">
        <x:v>1</x:v>
      </x:c>
      <x:c r="J713" s="1" t="n">
        <x:v>0</x:v>
      </x:c>
      <x:c r="K713" s="1" t="str">
        <x:v>中证官方优先</x:v>
      </x:c>
    </x:row>
    <x:row r="714" ht="25" customHeight="1">
      <x:c r="A714" s="1" t="str">
        <x:v>sh000905</x:v>
      </x:c>
      <x:c r="B714" s="1" t="str">
        <x:v>中证500</x:v>
      </x:c>
      <x:c r="C714" s="1" t="str">
        <x:v>2006-04</x:v>
      </x:c>
      <x:c r="D714" s="1" t="str">
        <x:v>2006-03-31</x:v>
      </x:c>
      <x:c r="E714" s="5" t="n">
        <x:v>1000.25</x:v>
      </x:c>
      <x:c r="F714" s="6" t="str">
        <x:v>2006-04-28</x:v>
      </x:c>
      <x:c r="G714" s="5" t="n">
        <x:v>1141.69</x:v>
      </x:c>
      <x:c r="H714" s="7" t="n">
        <x:f>G714/E714-1</x:f>
        <x:v>0.1414046488377907</x:v>
      </x:c>
      <x:c r="I714" s="1" t="n">
        <x:v>1</x:v>
      </x:c>
      <x:c r="J714" s="1" t="n">
        <x:v>0</x:v>
      </x:c>
      <x:c r="K714" s="1" t="str">
        <x:v>中证官方优先</x:v>
      </x:c>
    </x:row>
    <x:row r="715" ht="25" customHeight="1">
      <x:c r="A715" s="1" t="str">
        <x:v>sh000905</x:v>
      </x:c>
      <x:c r="B715" s="1" t="str">
        <x:v>中证500</x:v>
      </x:c>
      <x:c r="C715" s="1" t="str">
        <x:v>2006-05</x:v>
      </x:c>
      <x:c r="D715" s="1" t="str">
        <x:v>2006-04-28</x:v>
      </x:c>
      <x:c r="E715" s="5" t="n">
        <x:v>1141.69</x:v>
      </x:c>
      <x:c r="F715" s="6" t="str">
        <x:v>2006-05-31</x:v>
      </x:c>
      <x:c r="G715" s="5" t="n">
        <x:v>1402.33</x:v>
      </x:c>
      <x:c r="H715" s="7" t="n">
        <x:f>G715/E715-1</x:f>
        <x:v>0.22829314437369153</x:v>
      </x:c>
      <x:c r="I715" s="1" t="n">
        <x:v>1</x:v>
      </x:c>
      <x:c r="J715" s="1" t="n">
        <x:v>0</x:v>
      </x:c>
      <x:c r="K715" s="1" t="str">
        <x:v>中证官方优先</x:v>
      </x:c>
    </x:row>
    <x:row r="716" ht="25" customHeight="1">
      <x:c r="A716" s="1" t="str">
        <x:v>sh000905</x:v>
      </x:c>
      <x:c r="B716" s="1" t="str">
        <x:v>中证500</x:v>
      </x:c>
      <x:c r="C716" s="1" t="str">
        <x:v>2006-06</x:v>
      </x:c>
      <x:c r="D716" s="1" t="str">
        <x:v>2006-05-31</x:v>
      </x:c>
      <x:c r="E716" s="5" t="n">
        <x:v>1402.33</x:v>
      </x:c>
      <x:c r="F716" s="6" t="str">
        <x:v>2006-06-30</x:v>
      </x:c>
      <x:c r="G716" s="5" t="n">
        <x:v>1486</x:v>
      </x:c>
      <x:c r="H716" s="7" t="n">
        <x:f>G716/E716-1</x:f>
        <x:v>0.05966498613022608</x:v>
      </x:c>
      <x:c r="I716" s="1" t="n">
        <x:v>1</x:v>
      </x:c>
      <x:c r="J716" s="1" t="n">
        <x:v>0</x:v>
      </x:c>
      <x:c r="K716" s="1" t="str">
        <x:v>中证官方优先</x:v>
      </x:c>
    </x:row>
    <x:row r="717" ht="25" customHeight="1">
      <x:c r="A717" s="1" t="str">
        <x:v>sh000905</x:v>
      </x:c>
      <x:c r="B717" s="1" t="str">
        <x:v>中证500</x:v>
      </x:c>
      <x:c r="C717" s="1" t="str">
        <x:v>2006-07</x:v>
      </x:c>
      <x:c r="D717" s="1" t="str">
        <x:v>2006-06-30</x:v>
      </x:c>
      <x:c r="E717" s="5" t="n">
        <x:v>1486</x:v>
      </x:c>
      <x:c r="F717" s="6" t="str">
        <x:v>2006-07-31</x:v>
      </x:c>
      <x:c r="G717" s="5" t="n">
        <x:v>1425.04</x:v>
      </x:c>
      <x:c r="H717" s="7" t="n">
        <x:f>G717/E717-1</x:f>
        <x:v>-0.04102288021534328</x:v>
      </x:c>
      <x:c r="I717" s="1" t="n">
        <x:v>1</x:v>
      </x:c>
      <x:c r="J717" s="1" t="n">
        <x:v>0</x:v>
      </x:c>
      <x:c r="K717" s="1" t="str">
        <x:v>中证官方优先</x:v>
      </x:c>
    </x:row>
    <x:row r="718" ht="25" customHeight="1">
      <x:c r="A718" s="1" t="str">
        <x:v>sh000905</x:v>
      </x:c>
      <x:c r="B718" s="1" t="str">
        <x:v>中证500</x:v>
      </x:c>
      <x:c r="C718" s="1" t="str">
        <x:v>2006-08</x:v>
      </x:c>
      <x:c r="D718" s="1" t="str">
        <x:v>2006-07-31</x:v>
      </x:c>
      <x:c r="E718" s="5" t="n">
        <x:v>1425.04</x:v>
      </x:c>
      <x:c r="F718" s="6" t="str">
        <x:v>2006-08-31</x:v>
      </x:c>
      <x:c r="G718" s="5" t="n">
        <x:v>1479.9</x:v>
      </x:c>
      <x:c r="H718" s="7" t="n">
        <x:f>G718/E718-1</x:f>
        <x:v>0.038497164991859956</x:v>
      </x:c>
      <x:c r="I718" s="1" t="n">
        <x:v>1</x:v>
      </x:c>
      <x:c r="J718" s="1" t="n">
        <x:v>0</x:v>
      </x:c>
      <x:c r="K718" s="1" t="str">
        <x:v>中证官方优先</x:v>
      </x:c>
    </x:row>
    <x:row r="719" ht="25" customHeight="1">
      <x:c r="A719" s="1" t="str">
        <x:v>sh000905</x:v>
      </x:c>
      <x:c r="B719" s="1" t="str">
        <x:v>中证500</x:v>
      </x:c>
      <x:c r="C719" s="1" t="str">
        <x:v>2006-09</x:v>
      </x:c>
      <x:c r="D719" s="1" t="str">
        <x:v>2006-08-31</x:v>
      </x:c>
      <x:c r="E719" s="5" t="n">
        <x:v>1479.9</x:v>
      </x:c>
      <x:c r="F719" s="6" t="str">
        <x:v>2006-09-29</x:v>
      </x:c>
      <x:c r="G719" s="5" t="n">
        <x:v>1550.8</x:v>
      </x:c>
      <x:c r="H719" s="7" t="n">
        <x:f>G719/E719-1</x:f>
        <x:v>0.04790864247584281</x:v>
      </x:c>
      <x:c r="I719" s="1" t="n">
        <x:v>1</x:v>
      </x:c>
      <x:c r="J719" s="1" t="n">
        <x:v>0</x:v>
      </x:c>
      <x:c r="K719" s="1" t="str">
        <x:v>中证官方优先</x:v>
      </x:c>
    </x:row>
    <x:row r="720" ht="25" customHeight="1">
      <x:c r="A720" s="1" t="str">
        <x:v>sh000905</x:v>
      </x:c>
      <x:c r="B720" s="1" t="str">
        <x:v>中证500</x:v>
      </x:c>
      <x:c r="C720" s="1" t="str">
        <x:v>2006-10</x:v>
      </x:c>
      <x:c r="D720" s="1" t="str">
        <x:v>2006-09-29</x:v>
      </x:c>
      <x:c r="E720" s="5" t="n">
        <x:v>1550.8</x:v>
      </x:c>
      <x:c r="F720" s="6" t="str">
        <x:v>2006-10-31</x:v>
      </x:c>
      <x:c r="G720" s="5" t="n">
        <x:v>1541.64</x:v>
      </x:c>
      <x:c r="H720" s="7" t="n">
        <x:f>G720/E720-1</x:f>
        <x:v>-0.005906628836729322</x:v>
      </x:c>
      <x:c r="I720" s="1" t="n">
        <x:v>1</x:v>
      </x:c>
      <x:c r="J720" s="1" t="n">
        <x:v>0</x:v>
      </x:c>
      <x:c r="K720" s="1" t="str">
        <x:v>中证官方优先</x:v>
      </x:c>
    </x:row>
    <x:row r="721" ht="25" customHeight="1">
      <x:c r="A721" s="1" t="str">
        <x:v>sh000905</x:v>
      </x:c>
      <x:c r="B721" s="1" t="str">
        <x:v>中证500</x:v>
      </x:c>
      <x:c r="C721" s="1" t="str">
        <x:v>2006-11</x:v>
      </x:c>
      <x:c r="D721" s="1" t="str">
        <x:v>2006-10-31</x:v>
      </x:c>
      <x:c r="E721" s="5" t="n">
        <x:v>1541.64</x:v>
      </x:c>
      <x:c r="F721" s="6" t="str">
        <x:v>2006-11-30</x:v>
      </x:c>
      <x:c r="G721" s="5" t="n">
        <x:v>1623.82</x:v>
      </x:c>
      <x:c r="H721" s="7" t="n">
        <x:f>G721/E721-1</x:f>
        <x:v>0.053306868010689845</x:v>
      </x:c>
      <x:c r="I721" s="1" t="n">
        <x:v>1</x:v>
      </x:c>
      <x:c r="J721" s="1" t="n">
        <x:v>0</x:v>
      </x:c>
      <x:c r="K721" s="1" t="str">
        <x:v>中证官方优先</x:v>
      </x:c>
    </x:row>
    <x:row r="722" ht="25" customHeight="1">
      <x:c r="A722" s="1" t="str">
        <x:v>sh000905</x:v>
      </x:c>
      <x:c r="B722" s="1" t="str">
        <x:v>中证500</x:v>
      </x:c>
      <x:c r="C722" s="1" t="str">
        <x:v>2006-12</x:v>
      </x:c>
      <x:c r="D722" s="1" t="str">
        <x:v>2006-11-30</x:v>
      </x:c>
      <x:c r="E722" s="5" t="n">
        <x:v>1623.82</x:v>
      </x:c>
      <x:c r="F722" s="6" t="str">
        <x:v>2006-12-29</x:v>
      </x:c>
      <x:c r="G722" s="5" t="n">
        <x:v>1726.15</x:v>
      </x:c>
      <x:c r="H722" s="7" t="n">
        <x:f>G722/E722-1</x:f>
        <x:v>0.06301806850513003</x:v>
      </x:c>
      <x:c r="I722" s="1" t="n">
        <x:v>1</x:v>
      </x:c>
      <x:c r="J722" s="1" t="n">
        <x:v>0</x:v>
      </x:c>
      <x:c r="K722" s="1" t="str">
        <x:v>中证官方优先</x:v>
      </x:c>
    </x:row>
    <x:row r="723" ht="25" customHeight="1">
      <x:c r="A723" s="1" t="str">
        <x:v>sh000905</x:v>
      </x:c>
      <x:c r="B723" s="1" t="str">
        <x:v>中证500</x:v>
      </x:c>
      <x:c r="C723" s="1" t="str">
        <x:v>2007-01</x:v>
      </x:c>
      <x:c r="D723" s="1" t="str">
        <x:v>2006-12-29</x:v>
      </x:c>
      <x:c r="E723" s="5" t="n">
        <x:v>1726.15</x:v>
      </x:c>
      <x:c r="F723" s="6" t="str">
        <x:v>2007-01-31</x:v>
      </x:c>
      <x:c r="G723" s="5" t="n">
        <x:v>2142.89</x:v>
      </x:c>
      <x:c r="H723" s="7" t="n">
        <x:f>G723/E723-1</x:f>
        <x:v>0.24142745416099398</x:v>
      </x:c>
      <x:c r="I723" s="1" t="n">
        <x:v>1</x:v>
      </x:c>
      <x:c r="J723" s="1" t="n">
        <x:v>0</x:v>
      </x:c>
      <x:c r="K723" s="1" t="str">
        <x:v>中证官方优先</x:v>
      </x:c>
    </x:row>
    <x:row r="724" ht="25" customHeight="1">
      <x:c r="A724" s="1" t="str">
        <x:v>sh000905</x:v>
      </x:c>
      <x:c r="B724" s="1" t="str">
        <x:v>中证500</x:v>
      </x:c>
      <x:c r="C724" s="1" t="str">
        <x:v>2007-02</x:v>
      </x:c>
      <x:c r="D724" s="1" t="str">
        <x:v>2007-01-31</x:v>
      </x:c>
      <x:c r="E724" s="5" t="n">
        <x:v>2142.89</x:v>
      </x:c>
      <x:c r="F724" s="6" t="str">
        <x:v>2007-02-28</x:v>
      </x:c>
      <x:c r="G724" s="5" t="n">
        <x:v>2513.53</x:v>
      </x:c>
      <x:c r="H724" s="7" t="n">
        <x:f>G724/E724-1</x:f>
        <x:v>0.1729626812388878</x:v>
      </x:c>
      <x:c r="I724" s="1" t="n">
        <x:v>1</x:v>
      </x:c>
      <x:c r="J724" s="1" t="n">
        <x:v>1</x:v>
      </x:c>
      <x:c r="K724" s="1" t="str">
        <x:v>中证官方优先</x:v>
      </x:c>
    </x:row>
    <x:row r="725" ht="25" customHeight="1">
      <x:c r="A725" s="1" t="str">
        <x:v>sh000905</x:v>
      </x:c>
      <x:c r="B725" s="1" t="str">
        <x:v>中证500</x:v>
      </x:c>
      <x:c r="C725" s="1" t="str">
        <x:v>2007-03</x:v>
      </x:c>
      <x:c r="D725" s="1" t="str">
        <x:v>2007-02-28</x:v>
      </x:c>
      <x:c r="E725" s="5" t="n">
        <x:v>2513.53</x:v>
      </x:c>
      <x:c r="F725" s="6" t="str">
        <x:v>2007-03-30</x:v>
      </x:c>
      <x:c r="G725" s="5" t="n">
        <x:v>2926.06</x:v>
      </x:c>
      <x:c r="H725" s="7" t="n">
        <x:f>G725/E725-1</x:f>
        <x:v>0.16412376219897906</x:v>
      </x:c>
      <x:c r="I725" s="1" t="n">
        <x:v>1</x:v>
      </x:c>
      <x:c r="J725" s="1" t="n">
        <x:v>1</x:v>
      </x:c>
      <x:c r="K725" s="1" t="str">
        <x:v>中证官方优先</x:v>
      </x:c>
    </x:row>
    <x:row r="726" ht="25" customHeight="1">
      <x:c r="A726" s="1" t="str">
        <x:v>sh000905</x:v>
      </x:c>
      <x:c r="B726" s="1" t="str">
        <x:v>中证500</x:v>
      </x:c>
      <x:c r="C726" s="1" t="str">
        <x:v>2007-04</x:v>
      </x:c>
      <x:c r="D726" s="1" t="str">
        <x:v>2007-03-30</x:v>
      </x:c>
      <x:c r="E726" s="5" t="n">
        <x:v>2926.06</x:v>
      </x:c>
      <x:c r="F726" s="6" t="str">
        <x:v>2007-04-30</x:v>
      </x:c>
      <x:c r="G726" s="5" t="n">
        <x:v>3903.69</x:v>
      </x:c>
      <x:c r="H726" s="7" t="n">
        <x:f>G726/E726-1</x:f>
        <x:v>0.33411139894602293</x:v>
      </x:c>
      <x:c r="I726" s="1" t="n">
        <x:v>1</x:v>
      </x:c>
      <x:c r="J726" s="1" t="n">
        <x:v>1</x:v>
      </x:c>
      <x:c r="K726" s="1" t="str">
        <x:v>中证官方优先</x:v>
      </x:c>
    </x:row>
    <x:row r="727" ht="25" customHeight="1">
      <x:c r="A727" s="1" t="str">
        <x:v>sh000905</x:v>
      </x:c>
      <x:c r="B727" s="1" t="str">
        <x:v>中证500</x:v>
      </x:c>
      <x:c r="C727" s="1" t="str">
        <x:v>2007-05</x:v>
      </x:c>
      <x:c r="D727" s="1" t="str">
        <x:v>2007-04-30</x:v>
      </x:c>
      <x:c r="E727" s="5" t="n">
        <x:v>3903.69</x:v>
      </x:c>
      <x:c r="F727" s="6" t="str">
        <x:v>2007-05-31</x:v>
      </x:c>
      <x:c r="G727" s="5" t="n">
        <x:v>4267.78</x:v>
      </x:c>
      <x:c r="H727" s="7" t="n">
        <x:f>G727/E727-1</x:f>
        <x:v>0.09326816422410578</x:v>
      </x:c>
      <x:c r="I727" s="1" t="n">
        <x:v>1</x:v>
      </x:c>
      <x:c r="J727" s="1" t="n">
        <x:v>1</x:v>
      </x:c>
      <x:c r="K727" s="1" t="str">
        <x:v>中证官方优先</x:v>
      </x:c>
    </x:row>
    <x:row r="728" ht="25" customHeight="1">
      <x:c r="A728" s="1" t="str">
        <x:v>sh000905</x:v>
      </x:c>
      <x:c r="B728" s="1" t="str">
        <x:v>中证500</x:v>
      </x:c>
      <x:c r="C728" s="1" t="str">
        <x:v>2007-06</x:v>
      </x:c>
      <x:c r="D728" s="1" t="str">
        <x:v>2007-05-31</x:v>
      </x:c>
      <x:c r="E728" s="5" t="n">
        <x:v>4267.78</x:v>
      </x:c>
      <x:c r="F728" s="6" t="str">
        <x:v>2007-06-29</x:v>
      </x:c>
      <x:c r="G728" s="5" t="n">
        <x:v>3585.49</x:v>
      </x:c>
      <x:c r="H728" s="7" t="n">
        <x:f>G728/E728-1</x:f>
        <x:v>-0.159870002671178</x:v>
      </x:c>
      <x:c r="I728" s="1" t="n">
        <x:v>1</x:v>
      </x:c>
      <x:c r="J728" s="1" t="n">
        <x:v>1</x:v>
      </x:c>
      <x:c r="K728" s="1" t="str">
        <x:v>中证官方优先</x:v>
      </x:c>
    </x:row>
    <x:row r="729" ht="25" customHeight="1">
      <x:c r="A729" s="1" t="str">
        <x:v>sh000905</x:v>
      </x:c>
      <x:c r="B729" s="1" t="str">
        <x:v>中证500</x:v>
      </x:c>
      <x:c r="C729" s="1" t="str">
        <x:v>2007-07</x:v>
      </x:c>
      <x:c r="D729" s="1" t="str">
        <x:v>2007-06-29</x:v>
      </x:c>
      <x:c r="E729" s="5" t="n">
        <x:v>3585.49</x:v>
      </x:c>
      <x:c r="F729" s="6" t="str">
        <x:v>2007-07-31</x:v>
      </x:c>
      <x:c r="G729" s="5" t="n">
        <x:v>4403.58</x:v>
      </x:c>
      <x:c r="H729" s="7" t="n">
        <x:f>G729/E729-1</x:f>
        <x:v>0.22816686143316534</x:v>
      </x:c>
      <x:c r="I729" s="1" t="n">
        <x:v>1</x:v>
      </x:c>
      <x:c r="J729" s="1" t="n">
        <x:v>1</x:v>
      </x:c>
      <x:c r="K729" s="1" t="str">
        <x:v>中证官方优先</x:v>
      </x:c>
    </x:row>
    <x:row r="730" ht="25" customHeight="1">
      <x:c r="A730" s="1" t="str">
        <x:v>sh000905</x:v>
      </x:c>
      <x:c r="B730" s="1" t="str">
        <x:v>中证500</x:v>
      </x:c>
      <x:c r="C730" s="1" t="str">
        <x:v>2007-08</x:v>
      </x:c>
      <x:c r="D730" s="1" t="str">
        <x:v>2007-07-31</x:v>
      </x:c>
      <x:c r="E730" s="5" t="n">
        <x:v>4403.58</x:v>
      </x:c>
      <x:c r="F730" s="6" t="str">
        <x:v>2007-08-31</x:v>
      </x:c>
      <x:c r="G730" s="5" t="n">
        <x:v>4897.64</x:v>
      </x:c>
      <x:c r="H730" s="7" t="n">
        <x:f>G730/E730-1</x:f>
        <x:v>0.1121950776413736</x:v>
      </x:c>
      <x:c r="I730" s="1" t="n">
        <x:v>1</x:v>
      </x:c>
      <x:c r="J730" s="1" t="n">
        <x:v>1</x:v>
      </x:c>
      <x:c r="K730" s="1" t="str">
        <x:v>中证官方优先</x:v>
      </x:c>
    </x:row>
    <x:row r="731" ht="25" customHeight="1">
      <x:c r="A731" s="1" t="str">
        <x:v>sh000905</x:v>
      </x:c>
      <x:c r="B731" s="1" t="str">
        <x:v>中证500</x:v>
      </x:c>
      <x:c r="C731" s="1" t="str">
        <x:v>2007-09</x:v>
      </x:c>
      <x:c r="D731" s="1" t="str">
        <x:v>2007-08-31</x:v>
      </x:c>
      <x:c r="E731" s="5" t="n">
        <x:v>4897.64</x:v>
      </x:c>
      <x:c r="F731" s="6" t="str">
        <x:v>2007-09-28</x:v>
      </x:c>
      <x:c r="G731" s="5" t="n">
        <x:v>5083.65</x:v>
      </x:c>
      <x:c r="H731" s="7" t="n">
        <x:f>G731/E731-1</x:f>
        <x:v>0.0379795166651693</x:v>
      </x:c>
      <x:c r="I731" s="1" t="n">
        <x:v>1</x:v>
      </x:c>
      <x:c r="J731" s="1" t="n">
        <x:v>1</x:v>
      </x:c>
      <x:c r="K731" s="1" t="str">
        <x:v>中证官方优先</x:v>
      </x:c>
    </x:row>
    <x:row r="732" ht="25" customHeight="1">
      <x:c r="A732" s="1" t="str">
        <x:v>sh000905</x:v>
      </x:c>
      <x:c r="B732" s="1" t="str">
        <x:v>中证500</x:v>
      </x:c>
      <x:c r="C732" s="1" t="str">
        <x:v>2007-10</x:v>
      </x:c>
      <x:c r="D732" s="1" t="str">
        <x:v>2007-09-28</x:v>
      </x:c>
      <x:c r="E732" s="5" t="n">
        <x:v>5083.65</x:v>
      </x:c>
      <x:c r="F732" s="6" t="str">
        <x:v>2007-10-31</x:v>
      </x:c>
      <x:c r="G732" s="5" t="n">
        <x:v>4550.18</x:v>
      </x:c>
      <x:c r="H732" s="7" t="n">
        <x:f>G732/E732-1</x:f>
        <x:v>-0.10493838088774787</x:v>
      </x:c>
      <x:c r="I732" s="1" t="n">
        <x:v>1</x:v>
      </x:c>
      <x:c r="J732" s="1" t="n">
        <x:v>1</x:v>
      </x:c>
      <x:c r="K732" s="1" t="str">
        <x:v>中证官方优先</x:v>
      </x:c>
    </x:row>
    <x:row r="733" ht="25" customHeight="1">
      <x:c r="A733" s="1" t="str">
        <x:v>sh000905</x:v>
      </x:c>
      <x:c r="B733" s="1" t="str">
        <x:v>中证500</x:v>
      </x:c>
      <x:c r="C733" s="1" t="str">
        <x:v>2007-11</x:v>
      </x:c>
      <x:c r="D733" s="1" t="str">
        <x:v>2007-10-31</x:v>
      </x:c>
      <x:c r="E733" s="5" t="n">
        <x:v>4550.18</x:v>
      </x:c>
      <x:c r="F733" s="6" t="str">
        <x:v>2007-11-30</x:v>
      </x:c>
      <x:c r="G733" s="5" t="n">
        <x:v>4122.93</x:v>
      </x:c>
      <x:c r="H733" s="7" t="n">
        <x:f>G733/E733-1</x:f>
        <x:v>-0.09389738427930328</x:v>
      </x:c>
      <x:c r="I733" s="1" t="n">
        <x:v>1</x:v>
      </x:c>
      <x:c r="J733" s="1" t="n">
        <x:v>1</x:v>
      </x:c>
      <x:c r="K733" s="1" t="str">
        <x:v>中证官方优先</x:v>
      </x:c>
    </x:row>
    <x:row r="734" ht="25" customHeight="1">
      <x:c r="A734" s="1" t="str">
        <x:v>sh000905</x:v>
      </x:c>
      <x:c r="B734" s="1" t="str">
        <x:v>中证500</x:v>
      </x:c>
      <x:c r="C734" s="1" t="str">
        <x:v>2007-12</x:v>
      </x:c>
      <x:c r="D734" s="1" t="str">
        <x:v>2007-11-30</x:v>
      </x:c>
      <x:c r="E734" s="5" t="n">
        <x:v>4122.93</x:v>
      </x:c>
      <x:c r="F734" s="6" t="str">
        <x:v>2007-12-28</x:v>
      </x:c>
      <x:c r="G734" s="5" t="n">
        <x:v>4947.6</x:v>
      </x:c>
      <x:c r="H734" s="7" t="n">
        <x:f>G734/E734-1</x:f>
        <x:v>0.20002037386033722</x:v>
      </x:c>
      <x:c r="I734" s="1" t="n">
        <x:v>1</x:v>
      </x:c>
      <x:c r="J734" s="1" t="n">
        <x:v>1</x:v>
      </x:c>
      <x:c r="K734" s="1" t="str">
        <x:v>中证官方优先</x:v>
      </x:c>
    </x:row>
    <x:row r="735" ht="25" customHeight="1">
      <x:c r="A735" s="1" t="str">
        <x:v>sh000905</x:v>
      </x:c>
      <x:c r="B735" s="1" t="str">
        <x:v>中证500</x:v>
      </x:c>
      <x:c r="C735" s="1" t="str">
        <x:v>2008-01</x:v>
      </x:c>
      <x:c r="D735" s="1" t="str">
        <x:v>2007-12-28</x:v>
      </x:c>
      <x:c r="E735" s="5" t="n">
        <x:v>4947.6</x:v>
      </x:c>
      <x:c r="F735" s="6" t="str">
        <x:v>2008-01-31</x:v>
      </x:c>
      <x:c r="G735" s="5" t="n">
        <x:v>4663.42</x:v>
      </x:c>
      <x:c r="H735" s="7" t="n">
        <x:f>G735/E735-1</x:f>
        <x:v>-0.05743794971299221</x:v>
      </x:c>
      <x:c r="I735" s="1" t="n">
        <x:v>1</x:v>
      </x:c>
      <x:c r="J735" s="1" t="n">
        <x:v>1</x:v>
      </x:c>
      <x:c r="K735" s="1" t="str">
        <x:v>中证官方优先</x:v>
      </x:c>
    </x:row>
    <x:row r="736" ht="25" customHeight="1">
      <x:c r="A736" s="1" t="str">
        <x:v>sh000905</x:v>
      </x:c>
      <x:c r="B736" s="1" t="str">
        <x:v>中证500</x:v>
      </x:c>
      <x:c r="C736" s="1" t="str">
        <x:v>2008-02</x:v>
      </x:c>
      <x:c r="D736" s="1" t="str">
        <x:v>2008-01-31</x:v>
      </x:c>
      <x:c r="E736" s="5" t="n">
        <x:v>4663.42</x:v>
      </x:c>
      <x:c r="F736" s="6" t="str">
        <x:v>2008-02-29</x:v>
      </x:c>
      <x:c r="G736" s="5" t="n">
        <x:v>5057.62</x:v>
      </x:c>
      <x:c r="H736" s="7" t="n">
        <x:f>G736/E736-1</x:f>
        <x:v>0.08453023746520794</x:v>
      </x:c>
      <x:c r="I736" s="1" t="n">
        <x:v>1</x:v>
      </x:c>
      <x:c r="J736" s="1" t="n">
        <x:v>1</x:v>
      </x:c>
      <x:c r="K736" s="1" t="str">
        <x:v>中证官方优先</x:v>
      </x:c>
    </x:row>
    <x:row r="737" ht="25" customHeight="1">
      <x:c r="A737" s="1" t="str">
        <x:v>sh000905</x:v>
      </x:c>
      <x:c r="B737" s="1" t="str">
        <x:v>中证500</x:v>
      </x:c>
      <x:c r="C737" s="1" t="str">
        <x:v>2008-03</x:v>
      </x:c>
      <x:c r="D737" s="1" t="str">
        <x:v>2008-02-29</x:v>
      </x:c>
      <x:c r="E737" s="5" t="n">
        <x:v>5057.62</x:v>
      </x:c>
      <x:c r="F737" s="6" t="str">
        <x:v>2008-03-31</x:v>
      </x:c>
      <x:c r="G737" s="5" t="n">
        <x:v>4044.1</x:v>
      </x:c>
      <x:c r="H737" s="7" t="n">
        <x:f>G737/E737-1</x:f>
        <x:v>-0.20039465203000617</x:v>
      </x:c>
      <x:c r="I737" s="1" t="n">
        <x:v>1</x:v>
      </x:c>
      <x:c r="J737" s="1" t="n">
        <x:v>1</x:v>
      </x:c>
      <x:c r="K737" s="1" t="str">
        <x:v>中证官方优先</x:v>
      </x:c>
    </x:row>
    <x:row r="738" ht="25" customHeight="1">
      <x:c r="A738" s="1" t="str">
        <x:v>sh000905</x:v>
      </x:c>
      <x:c r="B738" s="1" t="str">
        <x:v>中证500</x:v>
      </x:c>
      <x:c r="C738" s="1" t="str">
        <x:v>2008-04</x:v>
      </x:c>
      <x:c r="D738" s="1" t="str">
        <x:v>2008-03-31</x:v>
      </x:c>
      <x:c r="E738" s="5" t="n">
        <x:v>4044.1</x:v>
      </x:c>
      <x:c r="F738" s="6" t="str">
        <x:v>2008-04-30</x:v>
      </x:c>
      <x:c r="G738" s="5" t="n">
        <x:v>3903.18</x:v>
      </x:c>
      <x:c r="H738" s="7" t="n">
        <x:f>G738/E738-1</x:f>
        <x:v>-0.03484582478178089</x:v>
      </x:c>
      <x:c r="I738" s="1" t="n">
        <x:v>1</x:v>
      </x:c>
      <x:c r="J738" s="1" t="n">
        <x:v>1</x:v>
      </x:c>
      <x:c r="K738" s="1" t="str">
        <x:v>中证官方优先</x:v>
      </x:c>
    </x:row>
    <x:row r="739" ht="25" customHeight="1">
      <x:c r="A739" s="1" t="str">
        <x:v>sh000905</x:v>
      </x:c>
      <x:c r="B739" s="1" t="str">
        <x:v>中证500</x:v>
      </x:c>
      <x:c r="C739" s="1" t="str">
        <x:v>2008-05</x:v>
      </x:c>
      <x:c r="D739" s="1" t="str">
        <x:v>2008-04-30</x:v>
      </x:c>
      <x:c r="E739" s="5" t="n">
        <x:v>3903.18</x:v>
      </x:c>
      <x:c r="F739" s="6" t="str">
        <x:v>2008-05-30</x:v>
      </x:c>
      <x:c r="G739" s="5" t="n">
        <x:v>3755.63</x:v>
      </x:c>
      <x:c r="H739" s="7" t="n">
        <x:f>G739/E739-1</x:f>
        <x:v>-0.037802509748461444</x:v>
      </x:c>
      <x:c r="I739" s="1" t="n">
        <x:v>1</x:v>
      </x:c>
      <x:c r="J739" s="1" t="n">
        <x:v>1</x:v>
      </x:c>
      <x:c r="K739" s="1" t="str">
        <x:v>中证官方优先</x:v>
      </x:c>
    </x:row>
    <x:row r="740" ht="25" customHeight="1">
      <x:c r="A740" s="1" t="str">
        <x:v>sh000905</x:v>
      </x:c>
      <x:c r="B740" s="1" t="str">
        <x:v>中证500</x:v>
      </x:c>
      <x:c r="C740" s="1" t="str">
        <x:v>2008-06</x:v>
      </x:c>
      <x:c r="D740" s="1" t="str">
        <x:v>2008-05-30</x:v>
      </x:c>
      <x:c r="E740" s="5" t="n">
        <x:v>3755.63</x:v>
      </x:c>
      <x:c r="F740" s="6" t="str">
        <x:v>2008-06-30</x:v>
      </x:c>
      <x:c r="G740" s="5" t="n">
        <x:v>2813.72</x:v>
      </x:c>
      <x:c r="H740" s="7" t="n">
        <x:f>G740/E740-1</x:f>
        <x:v>-0.25079946640110984</x:v>
      </x:c>
      <x:c r="I740" s="1" t="n">
        <x:v>1</x:v>
      </x:c>
      <x:c r="J740" s="1" t="n">
        <x:v>1</x:v>
      </x:c>
      <x:c r="K740" s="1" t="str">
        <x:v>中证官方优先</x:v>
      </x:c>
    </x:row>
    <x:row r="741" ht="25" customHeight="1">
      <x:c r="A741" s="1" t="str">
        <x:v>sh000905</x:v>
      </x:c>
      <x:c r="B741" s="1" t="str">
        <x:v>中证500</x:v>
      </x:c>
      <x:c r="C741" s="1" t="str">
        <x:v>2008-07</x:v>
      </x:c>
      <x:c r="D741" s="1" t="str">
        <x:v>2008-06-30</x:v>
      </x:c>
      <x:c r="E741" s="5" t="n">
        <x:v>2813.72</x:v>
      </x:c>
      <x:c r="F741" s="6" t="str">
        <x:v>2008-07-31</x:v>
      </x:c>
      <x:c r="G741" s="5" t="n">
        <x:v>3017.22</x:v>
      </x:c>
      <x:c r="H741" s="7" t="n">
        <x:f>G741/E741-1</x:f>
        <x:v>0.07232418293220366</x:v>
      </x:c>
      <x:c r="I741" s="1" t="n">
        <x:v>1</x:v>
      </x:c>
      <x:c r="J741" s="1" t="n">
        <x:v>1</x:v>
      </x:c>
      <x:c r="K741" s="1" t="str">
        <x:v>中证官方优先</x:v>
      </x:c>
    </x:row>
    <x:row r="742" ht="25" customHeight="1">
      <x:c r="A742" s="1" t="str">
        <x:v>sh000905</x:v>
      </x:c>
      <x:c r="B742" s="1" t="str">
        <x:v>中证500</x:v>
      </x:c>
      <x:c r="C742" s="1" t="str">
        <x:v>2008-08</x:v>
      </x:c>
      <x:c r="D742" s="1" t="str">
        <x:v>2008-07-31</x:v>
      </x:c>
      <x:c r="E742" s="5" t="n">
        <x:v>3017.22</x:v>
      </x:c>
      <x:c r="F742" s="6" t="str">
        <x:v>2008-08-29</x:v>
      </x:c>
      <x:c r="G742" s="5" t="n">
        <x:v>2307.16</x:v>
      </x:c>
      <x:c r="H742" s="7" t="n">
        <x:f>G742/E742-1</x:f>
        <x:v>-0.23533583895108745</x:v>
      </x:c>
      <x:c r="I742" s="1" t="n">
        <x:v>1</x:v>
      </x:c>
      <x:c r="J742" s="1" t="n">
        <x:v>1</x:v>
      </x:c>
      <x:c r="K742" s="1" t="str">
        <x:v>中证官方优先</x:v>
      </x:c>
    </x:row>
    <x:row r="743" ht="25" customHeight="1">
      <x:c r="A743" s="1" t="str">
        <x:v>sh000905</x:v>
      </x:c>
      <x:c r="B743" s="1" t="str">
        <x:v>中证500</x:v>
      </x:c>
      <x:c r="C743" s="1" t="str">
        <x:v>2008-09</x:v>
      </x:c>
      <x:c r="D743" s="1" t="str">
        <x:v>2008-08-29</x:v>
      </x:c>
      <x:c r="E743" s="5" t="n">
        <x:v>2307.16</x:v>
      </x:c>
      <x:c r="F743" s="6" t="str">
        <x:v>2008-09-26</x:v>
      </x:c>
      <x:c r="G743" s="5" t="n">
        <x:v>2136</x:v>
      </x:c>
      <x:c r="H743" s="7" t="n">
        <x:f>G743/E743-1</x:f>
        <x:v>-0.07418644567346866</x:v>
      </x:c>
      <x:c r="I743" s="1" t="n">
        <x:v>1</x:v>
      </x:c>
      <x:c r="J743" s="1" t="n">
        <x:v>1</x:v>
      </x:c>
      <x:c r="K743" s="1" t="str">
        <x:v>中证官方优先</x:v>
      </x:c>
    </x:row>
    <x:row r="744" ht="25" customHeight="1">
      <x:c r="A744" s="1" t="str">
        <x:v>sh000905</x:v>
      </x:c>
      <x:c r="B744" s="1" t="str">
        <x:v>中证500</x:v>
      </x:c>
      <x:c r="C744" s="1" t="str">
        <x:v>2008-10</x:v>
      </x:c>
      <x:c r="D744" s="1" t="str">
        <x:v>2008-09-26</x:v>
      </x:c>
      <x:c r="E744" s="5" t="n">
        <x:v>2136</x:v>
      </x:c>
      <x:c r="F744" s="6" t="str">
        <x:v>2008-10-31</x:v>
      </x:c>
      <x:c r="G744" s="5" t="n">
        <x:v>1562.02</x:v>
      </x:c>
      <x:c r="H744" s="7" t="n">
        <x:f>G744/E744-1</x:f>
        <x:v>-0.2687172284644195</x:v>
      </x:c>
      <x:c r="I744" s="1" t="n">
        <x:v>1</x:v>
      </x:c>
      <x:c r="J744" s="1" t="n">
        <x:v>1</x:v>
      </x:c>
      <x:c r="K744" s="1" t="str">
        <x:v>中证官方优先</x:v>
      </x:c>
    </x:row>
    <x:row r="745" ht="25" customHeight="1">
      <x:c r="A745" s="1" t="str">
        <x:v>sh000905</x:v>
      </x:c>
      <x:c r="B745" s="1" t="str">
        <x:v>中证500</x:v>
      </x:c>
      <x:c r="C745" s="1" t="str">
        <x:v>2008-11</x:v>
      </x:c>
      <x:c r="D745" s="1" t="str">
        <x:v>2008-10-31</x:v>
      </x:c>
      <x:c r="E745" s="5" t="n">
        <x:v>1562.02</x:v>
      </x:c>
      <x:c r="F745" s="6" t="str">
        <x:v>2008-11-28</x:v>
      </x:c>
      <x:c r="G745" s="5" t="n">
        <x:v>1841.45</x:v>
      </x:c>
      <x:c r="H745" s="7" t="n">
        <x:f>G745/E745-1</x:f>
        <x:v>0.17889015505563322</x:v>
      </x:c>
      <x:c r="I745" s="1" t="n">
        <x:v>1</x:v>
      </x:c>
      <x:c r="J745" s="1" t="n">
        <x:v>1</x:v>
      </x:c>
      <x:c r="K745" s="1" t="str">
        <x:v>中证官方优先</x:v>
      </x:c>
    </x:row>
    <x:row r="746" ht="25" customHeight="1">
      <x:c r="A746" s="1" t="str">
        <x:v>sh000905</x:v>
      </x:c>
      <x:c r="B746" s="1" t="str">
        <x:v>中证500</x:v>
      </x:c>
      <x:c r="C746" s="1" t="str">
        <x:v>2008-12</x:v>
      </x:c>
      <x:c r="D746" s="1" t="str">
        <x:v>2008-11-28</x:v>
      </x:c>
      <x:c r="E746" s="5" t="n">
        <x:v>1841.45</x:v>
      </x:c>
      <x:c r="F746" s="6" t="str">
        <x:v>2008-12-31</x:v>
      </x:c>
      <x:c r="G746" s="5" t="n">
        <x:v>1939.43</x:v>
      </x:c>
      <x:c r="H746" s="7" t="n">
        <x:f>G746/E746-1</x:f>
        <x:v>0.053208069727660234</x:v>
      </x:c>
      <x:c r="I746" s="1" t="n">
        <x:v>1</x:v>
      </x:c>
      <x:c r="J746" s="1" t="n">
        <x:v>1</x:v>
      </x:c>
      <x:c r="K746" s="1" t="str">
        <x:v>中证官方优先</x:v>
      </x:c>
    </x:row>
    <x:row r="747" ht="25" customHeight="1">
      <x:c r="A747" s="1" t="str">
        <x:v>sh000905</x:v>
      </x:c>
      <x:c r="B747" s="1" t="str">
        <x:v>中证500</x:v>
      </x:c>
      <x:c r="C747" s="1" t="str">
        <x:v>2009-01</x:v>
      </x:c>
      <x:c r="D747" s="1" t="str">
        <x:v>2008-12-31</x:v>
      </x:c>
      <x:c r="E747" s="5" t="n">
        <x:v>1939.43</x:v>
      </x:c>
      <x:c r="F747" s="6" t="str">
        <x:v>2009-01-23</x:v>
      </x:c>
      <x:c r="G747" s="5" t="n">
        <x:v>2238.08</x:v>
      </x:c>
      <x:c r="H747" s="7" t="n">
        <x:f>G747/E747-1</x:f>
        <x:v>0.1539885430255281</x:v>
      </x:c>
      <x:c r="I747" s="1" t="n">
        <x:v>1</x:v>
      </x:c>
      <x:c r="J747" s="1" t="n">
        <x:v>1</x:v>
      </x:c>
      <x:c r="K747" s="1" t="str">
        <x:v>中证官方优先</x:v>
      </x:c>
    </x:row>
    <x:row r="748" ht="25" customHeight="1">
      <x:c r="A748" s="1" t="str">
        <x:v>sh000905</x:v>
      </x:c>
      <x:c r="B748" s="1" t="str">
        <x:v>中证500</x:v>
      </x:c>
      <x:c r="C748" s="1" t="str">
        <x:v>2009-02</x:v>
      </x:c>
      <x:c r="D748" s="1" t="str">
        <x:v>2009-01-23</x:v>
      </x:c>
      <x:c r="E748" s="5" t="n">
        <x:v>2238.08</x:v>
      </x:c>
      <x:c r="F748" s="6" t="str">
        <x:v>2009-02-27</x:v>
      </x:c>
      <x:c r="G748" s="5" t="n">
        <x:v>2416.95</x:v>
      </x:c>
      <x:c r="H748" s="7" t="n">
        <x:f>G748/E748-1</x:f>
        <x:v>0.07992118244209312</x:v>
      </x:c>
      <x:c r="I748" s="1" t="n">
        <x:v>1</x:v>
      </x:c>
      <x:c r="J748" s="1" t="n">
        <x:v>1</x:v>
      </x:c>
      <x:c r="K748" s="1" t="str">
        <x:v>中证官方优先</x:v>
      </x:c>
    </x:row>
    <x:row r="749" ht="25" customHeight="1">
      <x:c r="A749" s="1" t="str">
        <x:v>sh000905</x:v>
      </x:c>
      <x:c r="B749" s="1" t="str">
        <x:v>中证500</x:v>
      </x:c>
      <x:c r="C749" s="1" t="str">
        <x:v>2009-03</x:v>
      </x:c>
      <x:c r="D749" s="1" t="str">
        <x:v>2009-02-27</x:v>
      </x:c>
      <x:c r="E749" s="5" t="n">
        <x:v>2416.95</x:v>
      </x:c>
      <x:c r="F749" s="6" t="str">
        <x:v>2009-03-31</x:v>
      </x:c>
      <x:c r="G749" s="5" t="n">
        <x:v>2914.13</x:v>
      </x:c>
      <x:c r="H749" s="7" t="n">
        <x:f>G749/E749-1</x:f>
        <x:v>0.20570553797141033</x:v>
      </x:c>
      <x:c r="I749" s="1" t="n">
        <x:v>1</x:v>
      </x:c>
      <x:c r="J749" s="1" t="n">
        <x:v>1</x:v>
      </x:c>
      <x:c r="K749" s="1" t="str">
        <x:v>中证官方优先</x:v>
      </x:c>
    </x:row>
    <x:row r="750" ht="25" customHeight="1">
      <x:c r="A750" s="1" t="str">
        <x:v>sh000905</x:v>
      </x:c>
      <x:c r="B750" s="1" t="str">
        <x:v>中证500</x:v>
      </x:c>
      <x:c r="C750" s="1" t="str">
        <x:v>2009-04</x:v>
      </x:c>
      <x:c r="D750" s="1" t="str">
        <x:v>2009-03-31</x:v>
      </x:c>
      <x:c r="E750" s="5" t="n">
        <x:v>2914.13</x:v>
      </x:c>
      <x:c r="F750" s="6" t="str">
        <x:v>2009-04-30</x:v>
      </x:c>
      <x:c r="G750" s="5" t="n">
        <x:v>3086.22</x:v>
      </x:c>
      <x:c r="H750" s="7" t="n">
        <x:f>G750/E750-1</x:f>
        <x:v>0.05905364551341208</x:v>
      </x:c>
      <x:c r="I750" s="1" t="n">
        <x:v>1</x:v>
      </x:c>
      <x:c r="J750" s="1" t="n">
        <x:v>1</x:v>
      </x:c>
      <x:c r="K750" s="1" t="str">
        <x:v>中证官方优先</x:v>
      </x:c>
    </x:row>
    <x:row r="751" ht="25" customHeight="1">
      <x:c r="A751" s="1" t="str">
        <x:v>sh000905</x:v>
      </x:c>
      <x:c r="B751" s="1" t="str">
        <x:v>中证500</x:v>
      </x:c>
      <x:c r="C751" s="1" t="str">
        <x:v>2009-05</x:v>
      </x:c>
      <x:c r="D751" s="1" t="str">
        <x:v>2009-04-30</x:v>
      </x:c>
      <x:c r="E751" s="5" t="n">
        <x:v>3086.22</x:v>
      </x:c>
      <x:c r="F751" s="6" t="str">
        <x:v>2009-05-27</x:v>
      </x:c>
      <x:c r="G751" s="5" t="n">
        <x:v>3276.75</x:v>
      </x:c>
      <x:c r="H751" s="7" t="n">
        <x:f>G751/E751-1</x:f>
        <x:v>0.061735715535509605</x:v>
      </x:c>
      <x:c r="I751" s="1" t="n">
        <x:v>1</x:v>
      </x:c>
      <x:c r="J751" s="1" t="n">
        <x:v>1</x:v>
      </x:c>
      <x:c r="K751" s="1" t="str">
        <x:v>中证官方优先</x:v>
      </x:c>
    </x:row>
    <x:row r="752" ht="25" customHeight="1">
      <x:c r="A752" s="1" t="str">
        <x:v>sh000905</x:v>
      </x:c>
      <x:c r="B752" s="1" t="str">
        <x:v>中证500</x:v>
      </x:c>
      <x:c r="C752" s="1" t="str">
        <x:v>2009-06</x:v>
      </x:c>
      <x:c r="D752" s="1" t="str">
        <x:v>2009-05-27</x:v>
      </x:c>
      <x:c r="E752" s="5" t="n">
        <x:v>3276.75</x:v>
      </x:c>
      <x:c r="F752" s="6" t="str">
        <x:v>2009-06-30</x:v>
      </x:c>
      <x:c r="G752" s="5" t="n">
        <x:v>3452.26</x:v>
      </x:c>
      <x:c r="H752" s="7" t="n">
        <x:f>G752/E752-1</x:f>
        <x:v>0.0535622186617839</x:v>
      </x:c>
      <x:c r="I752" s="1" t="n">
        <x:v>1</x:v>
      </x:c>
      <x:c r="J752" s="1" t="n">
        <x:v>1</x:v>
      </x:c>
      <x:c r="K752" s="1" t="str">
        <x:v>中证官方优先</x:v>
      </x:c>
    </x:row>
    <x:row r="753" ht="25" customHeight="1">
      <x:c r="A753" s="1" t="str">
        <x:v>sh000905</x:v>
      </x:c>
      <x:c r="B753" s="1" t="str">
        <x:v>中证500</x:v>
      </x:c>
      <x:c r="C753" s="1" t="str">
        <x:v>2009-07</x:v>
      </x:c>
      <x:c r="D753" s="1" t="str">
        <x:v>2009-06-30</x:v>
      </x:c>
      <x:c r="E753" s="5" t="n">
        <x:v>3452.26</x:v>
      </x:c>
      <x:c r="F753" s="6" t="str">
        <x:v>2009-07-31</x:v>
      </x:c>
      <x:c r="G753" s="5" t="n">
        <x:v>3928.58</x:v>
      </x:c>
      <x:c r="H753" s="7" t="n">
        <x:f>G753/E753-1</x:f>
        <x:v>0.13797338555033511</x:v>
      </x:c>
      <x:c r="I753" s="1" t="n">
        <x:v>1</x:v>
      </x:c>
      <x:c r="J753" s="1" t="n">
        <x:v>1</x:v>
      </x:c>
      <x:c r="K753" s="1" t="str">
        <x:v>中证官方优先</x:v>
      </x:c>
    </x:row>
    <x:row r="754" ht="25" customHeight="1">
      <x:c r="A754" s="1" t="str">
        <x:v>sh000905</x:v>
      </x:c>
      <x:c r="B754" s="1" t="str">
        <x:v>中证500</x:v>
      </x:c>
      <x:c r="C754" s="1" t="str">
        <x:v>2009-08</x:v>
      </x:c>
      <x:c r="D754" s="1" t="str">
        <x:v>2009-07-31</x:v>
      </x:c>
      <x:c r="E754" s="5" t="n">
        <x:v>3928.58</x:v>
      </x:c>
      <x:c r="F754" s="6" t="str">
        <x:v>2009-08-31</x:v>
      </x:c>
      <x:c r="G754" s="5" t="n">
        <x:v>3278</x:v>
      </x:c>
      <x:c r="H754" s="7" t="n">
        <x:f>G754/E754-1</x:f>
        <x:v>-0.16560182050511885</x:v>
      </x:c>
      <x:c r="I754" s="1" t="n">
        <x:v>1</x:v>
      </x:c>
      <x:c r="J754" s="1" t="n">
        <x:v>1</x:v>
      </x:c>
      <x:c r="K754" s="1" t="str">
        <x:v>中证官方优先</x:v>
      </x:c>
    </x:row>
    <x:row r="755" ht="25" customHeight="1">
      <x:c r="A755" s="1" t="str">
        <x:v>sh000905</x:v>
      </x:c>
      <x:c r="B755" s="1" t="str">
        <x:v>中证500</x:v>
      </x:c>
      <x:c r="C755" s="1" t="str">
        <x:v>2009-09</x:v>
      </x:c>
      <x:c r="D755" s="1" t="str">
        <x:v>2009-08-31</x:v>
      </x:c>
      <x:c r="E755" s="5" t="n">
        <x:v>3278</x:v>
      </x:c>
      <x:c r="F755" s="6" t="str">
        <x:v>2009-09-30</x:v>
      </x:c>
      <x:c r="G755" s="5" t="n">
        <x:v>3400.62</x:v>
      </x:c>
      <x:c r="H755" s="7" t="n">
        <x:f>G755/E755-1</x:f>
        <x:v>0.03740695546064665</x:v>
      </x:c>
      <x:c r="I755" s="1" t="n">
        <x:v>1</x:v>
      </x:c>
      <x:c r="J755" s="1" t="n">
        <x:v>1</x:v>
      </x:c>
      <x:c r="K755" s="1" t="str">
        <x:v>中证官方优先</x:v>
      </x:c>
    </x:row>
    <x:row r="756" ht="25" customHeight="1">
      <x:c r="A756" s="1" t="str">
        <x:v>sh000905</x:v>
      </x:c>
      <x:c r="B756" s="1" t="str">
        <x:v>中证500</x:v>
      </x:c>
      <x:c r="C756" s="1" t="str">
        <x:v>2009-10</x:v>
      </x:c>
      <x:c r="D756" s="1" t="str">
        <x:v>2009-09-30</x:v>
      </x:c>
      <x:c r="E756" s="5" t="n">
        <x:v>3400.62</x:v>
      </x:c>
      <x:c r="F756" s="6" t="str">
        <x:v>2009-10-30</x:v>
      </x:c>
      <x:c r="G756" s="5" t="n">
        <x:v>3827.68</x:v>
      </x:c>
      <x:c r="H756" s="7" t="n">
        <x:f>G756/E756-1</x:f>
        <x:v>0.12558298192682504</x:v>
      </x:c>
      <x:c r="I756" s="1" t="n">
        <x:v>1</x:v>
      </x:c>
      <x:c r="J756" s="1" t="n">
        <x:v>1</x:v>
      </x:c>
      <x:c r="K756" s="1" t="str">
        <x:v>中证官方优先</x:v>
      </x:c>
    </x:row>
    <x:row r="757" ht="25" customHeight="1">
      <x:c r="A757" s="1" t="str">
        <x:v>sh000905</x:v>
      </x:c>
      <x:c r="B757" s="1" t="str">
        <x:v>中证500</x:v>
      </x:c>
      <x:c r="C757" s="1" t="str">
        <x:v>2009-11</x:v>
      </x:c>
      <x:c r="D757" s="1" t="str">
        <x:v>2009-10-30</x:v>
      </x:c>
      <x:c r="E757" s="5" t="n">
        <x:v>3827.68</x:v>
      </x:c>
      <x:c r="F757" s="6" t="str">
        <x:v>2009-11-30</x:v>
      </x:c>
      <x:c r="G757" s="5" t="n">
        <x:v>4405.33</x:v>
      </x:c>
      <x:c r="H757" s="7" t="n">
        <x:f>G757/E757-1</x:f>
        <x:v>0.15091386949797259</x:v>
      </x:c>
      <x:c r="I757" s="1" t="n">
        <x:v>1</x:v>
      </x:c>
      <x:c r="J757" s="1" t="n">
        <x:v>1</x:v>
      </x:c>
      <x:c r="K757" s="1" t="str">
        <x:v>中证官方优先</x:v>
      </x:c>
    </x:row>
    <x:row r="758" ht="25" customHeight="1">
      <x:c r="A758" s="1" t="str">
        <x:v>sh000905</x:v>
      </x:c>
      <x:c r="B758" s="1" t="str">
        <x:v>中证500</x:v>
      </x:c>
      <x:c r="C758" s="1" t="str">
        <x:v>2009-12</x:v>
      </x:c>
      <x:c r="D758" s="1" t="str">
        <x:v>2009-11-30</x:v>
      </x:c>
      <x:c r="E758" s="5" t="n">
        <x:v>4405.33</x:v>
      </x:c>
      <x:c r="F758" s="6" t="str">
        <x:v>2009-12-31</x:v>
      </x:c>
      <x:c r="G758" s="5" t="n">
        <x:v>4485.26</x:v>
      </x:c>
      <x:c r="H758" s="7" t="n">
        <x:f>G758/E758-1</x:f>
        <x:v>0.018143930193651903</x:v>
      </x:c>
      <x:c r="I758" s="1" t="n">
        <x:v>1</x:v>
      </x:c>
      <x:c r="J758" s="1" t="n">
        <x:v>1</x:v>
      </x:c>
      <x:c r="K758" s="1" t="str">
        <x:v>中证官方优先</x:v>
      </x:c>
    </x:row>
    <x:row r="759" ht="25" customHeight="1">
      <x:c r="A759" s="1" t="str">
        <x:v>sh000905</x:v>
      </x:c>
      <x:c r="B759" s="1" t="str">
        <x:v>中证500</x:v>
      </x:c>
      <x:c r="C759" s="1" t="str">
        <x:v>2010-01</x:v>
      </x:c>
      <x:c r="D759" s="1" t="str">
        <x:v>2009-12-31</x:v>
      </x:c>
      <x:c r="E759" s="5" t="n">
        <x:v>4485.26</x:v>
      </x:c>
      <x:c r="F759" s="6" t="str">
        <x:v>2010-01-29</x:v>
      </x:c>
      <x:c r="G759" s="5" t="n">
        <x:v>4374.65</x:v>
      </x:c>
      <x:c r="H759" s="7" t="n">
        <x:f>G759/E759-1</x:f>
        <x:v>-0.024660777747555485</x:v>
      </x:c>
      <x:c r="I759" s="1" t="n">
        <x:v>1</x:v>
      </x:c>
      <x:c r="J759" s="1" t="n">
        <x:v>1</x:v>
      </x:c>
      <x:c r="K759" s="1" t="str">
        <x:v>中证官方优先</x:v>
      </x:c>
    </x:row>
    <x:row r="760" ht="25" customHeight="1">
      <x:c r="A760" s="1" t="str">
        <x:v>sh000905</x:v>
      </x:c>
      <x:c r="B760" s="1" t="str">
        <x:v>中证500</x:v>
      </x:c>
      <x:c r="C760" s="1" t="str">
        <x:v>2010-02</x:v>
      </x:c>
      <x:c r="D760" s="1" t="str">
        <x:v>2010-01-29</x:v>
      </x:c>
      <x:c r="E760" s="5" t="n">
        <x:v>4374.65</x:v>
      </x:c>
      <x:c r="F760" s="6" t="str">
        <x:v>2010-02-26</x:v>
      </x:c>
      <x:c r="G760" s="5" t="n">
        <x:v>4634.67</x:v>
      </x:c>
      <x:c r="H760" s="7" t="n">
        <x:f>G760/E760-1</x:f>
        <x:v>0.05943789788897402</x:v>
      </x:c>
      <x:c r="I760" s="1" t="n">
        <x:v>1</x:v>
      </x:c>
      <x:c r="J760" s="1" t="n">
        <x:v>1</x:v>
      </x:c>
      <x:c r="K760" s="1" t="str">
        <x:v>中证官方优先</x:v>
      </x:c>
    </x:row>
    <x:row r="761" ht="25" customHeight="1">
      <x:c r="A761" s="1" t="str">
        <x:v>sh000905</x:v>
      </x:c>
      <x:c r="B761" s="1" t="str">
        <x:v>中证500</x:v>
      </x:c>
      <x:c r="C761" s="1" t="str">
        <x:v>2010-03</x:v>
      </x:c>
      <x:c r="D761" s="1" t="str">
        <x:v>2010-02-26</x:v>
      </x:c>
      <x:c r="E761" s="5" t="n">
        <x:v>4634.67</x:v>
      </x:c>
      <x:c r="F761" s="6" t="str">
        <x:v>2010-03-31</x:v>
      </x:c>
      <x:c r="G761" s="5" t="n">
        <x:v>4756.16</x:v>
      </x:c>
      <x:c r="H761" s="7" t="n">
        <x:f>G761/E761-1</x:f>
        <x:v>0.026213301054875515</x:v>
      </x:c>
      <x:c r="I761" s="1" t="n">
        <x:v>1</x:v>
      </x:c>
      <x:c r="J761" s="1" t="n">
        <x:v>1</x:v>
      </x:c>
      <x:c r="K761" s="1" t="str">
        <x:v>中证官方优先</x:v>
      </x:c>
    </x:row>
    <x:row r="762" ht="25" customHeight="1">
      <x:c r="A762" s="1" t="str">
        <x:v>sh000905</x:v>
      </x:c>
      <x:c r="B762" s="1" t="str">
        <x:v>中证500</x:v>
      </x:c>
      <x:c r="C762" s="1" t="str">
        <x:v>2010-04</x:v>
      </x:c>
      <x:c r="D762" s="1" t="str">
        <x:v>2010-03-31</x:v>
      </x:c>
      <x:c r="E762" s="5" t="n">
        <x:v>4756.16</x:v>
      </x:c>
      <x:c r="F762" s="6" t="str">
        <x:v>2010-04-30</x:v>
      </x:c>
      <x:c r="G762" s="5" t="n">
        <x:v>4438.68</x:v>
      </x:c>
      <x:c r="H762" s="7" t="n">
        <x:f>G762/E762-1</x:f>
        <x:v>-0.06675132880306789</x:v>
      </x:c>
      <x:c r="I762" s="1" t="n">
        <x:v>1</x:v>
      </x:c>
      <x:c r="J762" s="1" t="n">
        <x:v>1</x:v>
      </x:c>
      <x:c r="K762" s="1" t="str">
        <x:v>中证官方优先</x:v>
      </x:c>
    </x:row>
    <x:row r="763" ht="25" customHeight="1">
      <x:c r="A763" s="1" t="str">
        <x:v>sh000905</x:v>
      </x:c>
      <x:c r="B763" s="1" t="str">
        <x:v>中证500</x:v>
      </x:c>
      <x:c r="C763" s="1" t="str">
        <x:v>2010-05</x:v>
      </x:c>
      <x:c r="D763" s="1" t="str">
        <x:v>2010-04-30</x:v>
      </x:c>
      <x:c r="E763" s="5" t="n">
        <x:v>4438.68</x:v>
      </x:c>
      <x:c r="F763" s="6" t="str">
        <x:v>2010-05-31</x:v>
      </x:c>
      <x:c r="G763" s="5" t="n">
        <x:v>4104.36</x:v>
      </x:c>
      <x:c r="H763" s="7" t="n">
        <x:f>G763/E763-1</x:f>
        <x:v>-0.07531968963745994</x:v>
      </x:c>
      <x:c r="I763" s="1" t="n">
        <x:v>1</x:v>
      </x:c>
      <x:c r="J763" s="1" t="n">
        <x:v>1</x:v>
      </x:c>
      <x:c r="K763" s="1" t="str">
        <x:v>中证官方优先</x:v>
      </x:c>
    </x:row>
    <x:row r="764" ht="25" customHeight="1">
      <x:c r="A764" s="1" t="str">
        <x:v>sh000905</x:v>
      </x:c>
      <x:c r="B764" s="1" t="str">
        <x:v>中证500</x:v>
      </x:c>
      <x:c r="C764" s="1" t="str">
        <x:v>2010-06</x:v>
      </x:c>
      <x:c r="D764" s="1" t="str">
        <x:v>2010-05-31</x:v>
      </x:c>
      <x:c r="E764" s="5" t="n">
        <x:v>4104.36</x:v>
      </x:c>
      <x:c r="F764" s="6" t="str">
        <x:v>2010-06-30</x:v>
      </x:c>
      <x:c r="G764" s="5" t="n">
        <x:v>3664.46</x:v>
      </x:c>
      <x:c r="H764" s="7" t="n">
        <x:f>G764/E764-1</x:f>
        <x:v>-0.10717870752078273</x:v>
      </x:c>
      <x:c r="I764" s="1" t="n">
        <x:v>1</x:v>
      </x:c>
      <x:c r="J764" s="1" t="n">
        <x:v>1</x:v>
      </x:c>
      <x:c r="K764" s="1" t="str">
        <x:v>中证官方优先</x:v>
      </x:c>
    </x:row>
    <x:row r="765" ht="25" customHeight="1">
      <x:c r="A765" s="1" t="str">
        <x:v>sh000905</x:v>
      </x:c>
      <x:c r="B765" s="1" t="str">
        <x:v>中证500</x:v>
      </x:c>
      <x:c r="C765" s="1" t="str">
        <x:v>2010-07</x:v>
      </x:c>
      <x:c r="D765" s="1" t="str">
        <x:v>2010-06-30</x:v>
      </x:c>
      <x:c r="E765" s="5" t="n">
        <x:v>3664.46</x:v>
      </x:c>
      <x:c r="F765" s="6" t="str">
        <x:v>2010-07-30</x:v>
      </x:c>
      <x:c r="G765" s="5" t="n">
        <x:v>4191.13</x:v>
      </x:c>
      <x:c r="H765" s="7" t="n">
        <x:f>G765/E765-1</x:f>
        <x:v>0.14372376830419764</x:v>
      </x:c>
      <x:c r="I765" s="1" t="n">
        <x:v>1</x:v>
      </x:c>
      <x:c r="J765" s="1" t="n">
        <x:v>1</x:v>
      </x:c>
      <x:c r="K765" s="1" t="str">
        <x:v>中证官方优先</x:v>
      </x:c>
    </x:row>
    <x:row r="766" ht="25" customHeight="1">
      <x:c r="A766" s="1" t="str">
        <x:v>sh000905</x:v>
      </x:c>
      <x:c r="B766" s="1" t="str">
        <x:v>中证500</x:v>
      </x:c>
      <x:c r="C766" s="1" t="str">
        <x:v>2010-08</x:v>
      </x:c>
      <x:c r="D766" s="1" t="str">
        <x:v>2010-07-30</x:v>
      </x:c>
      <x:c r="E766" s="5" t="n">
        <x:v>4191.13</x:v>
      </x:c>
      <x:c r="F766" s="6" t="str">
        <x:v>2010-08-31</x:v>
      </x:c>
      <x:c r="G766" s="5" t="n">
        <x:v>4589.29</x:v>
      </x:c>
      <x:c r="H766" s="7" t="n">
        <x:f>G766/E766-1</x:f>
        <x:v>0.09500063228771238</x:v>
      </x:c>
      <x:c r="I766" s="1" t="n">
        <x:v>1</x:v>
      </x:c>
      <x:c r="J766" s="1" t="n">
        <x:v>1</x:v>
      </x:c>
      <x:c r="K766" s="1" t="str">
        <x:v>中证官方优先</x:v>
      </x:c>
    </x:row>
    <x:row r="767" ht="25" customHeight="1">
      <x:c r="A767" s="1" t="str">
        <x:v>sh000905</x:v>
      </x:c>
      <x:c r="B767" s="1" t="str">
        <x:v>中证500</x:v>
      </x:c>
      <x:c r="C767" s="1" t="str">
        <x:v>2010-09</x:v>
      </x:c>
      <x:c r="D767" s="1" t="str">
        <x:v>2010-08-31</x:v>
      </x:c>
      <x:c r="E767" s="5" t="n">
        <x:v>4589.29</x:v>
      </x:c>
      <x:c r="F767" s="6" t="str">
        <x:v>2010-09-30</x:v>
      </x:c>
      <x:c r="G767" s="5" t="n">
        <x:v>4660.61</x:v>
      </x:c>
      <x:c r="H767" s="7" t="n">
        <x:f>G767/E767-1</x:f>
        <x:v>0.015540530234524175</x:v>
      </x:c>
      <x:c r="I767" s="1" t="n">
        <x:v>1</x:v>
      </x:c>
      <x:c r="J767" s="1" t="n">
        <x:v>1</x:v>
      </x:c>
      <x:c r="K767" s="1" t="str">
        <x:v>中证官方优先</x:v>
      </x:c>
    </x:row>
    <x:row r="768" ht="25" customHeight="1">
      <x:c r="A768" s="1" t="str">
        <x:v>sh000905</x:v>
      </x:c>
      <x:c r="B768" s="1" t="str">
        <x:v>中证500</x:v>
      </x:c>
      <x:c r="C768" s="1" t="str">
        <x:v>2010-10</x:v>
      </x:c>
      <x:c r="D768" s="1" t="str">
        <x:v>2010-09-30</x:v>
      </x:c>
      <x:c r="E768" s="5" t="n">
        <x:v>4660.61</x:v>
      </x:c>
      <x:c r="F768" s="6" t="str">
        <x:v>2010-10-29</x:v>
      </x:c>
      <x:c r="G768" s="5" t="n">
        <x:v>5055.49</x:v>
      </x:c>
      <x:c r="H768" s="7" t="n">
        <x:f>G768/E768-1</x:f>
        <x:v>0.08472710653755633</x:v>
      </x:c>
      <x:c r="I768" s="1" t="n">
        <x:v>1</x:v>
      </x:c>
      <x:c r="J768" s="1" t="n">
        <x:v>1</x:v>
      </x:c>
      <x:c r="K768" s="1" t="str">
        <x:v>中证官方优先</x:v>
      </x:c>
    </x:row>
    <x:row r="769" ht="25" customHeight="1">
      <x:c r="A769" s="1" t="str">
        <x:v>sh000905</x:v>
      </x:c>
      <x:c r="B769" s="1" t="str">
        <x:v>中证500</x:v>
      </x:c>
      <x:c r="C769" s="1" t="str">
        <x:v>2010-11</x:v>
      </x:c>
      <x:c r="D769" s="1" t="str">
        <x:v>2010-10-29</x:v>
      </x:c>
      <x:c r="E769" s="5" t="n">
        <x:v>5055.49</x:v>
      </x:c>
      <x:c r="F769" s="6" t="str">
        <x:v>2010-11-30</x:v>
      </x:c>
      <x:c r="G769" s="5" t="n">
        <x:v>5110.88</x:v>
      </x:c>
      <x:c r="H769" s="7" t="n">
        <x:f>G769/E769-1</x:f>
        <x:v>0.01095640580833912</x:v>
      </x:c>
      <x:c r="I769" s="1" t="n">
        <x:v>1</x:v>
      </x:c>
      <x:c r="J769" s="1" t="n">
        <x:v>1</x:v>
      </x:c>
      <x:c r="K769" s="1" t="str">
        <x:v>中证官方优先</x:v>
      </x:c>
    </x:row>
    <x:row r="770" ht="25" customHeight="1">
      <x:c r="A770" s="1" t="str">
        <x:v>sh000905</x:v>
      </x:c>
      <x:c r="B770" s="1" t="str">
        <x:v>中证500</x:v>
      </x:c>
      <x:c r="C770" s="1" t="str">
        <x:v>2010-12</x:v>
      </x:c>
      <x:c r="D770" s="1" t="str">
        <x:v>2010-11-30</x:v>
      </x:c>
      <x:c r="E770" s="5" t="n">
        <x:v>5110.88</x:v>
      </x:c>
      <x:c r="F770" s="6" t="str">
        <x:v>2010-12-31</x:v>
      </x:c>
      <x:c r="G770" s="5" t="n">
        <x:v>4936.72</x:v>
      </x:c>
      <x:c r="H770" s="7" t="n">
        <x:f>G770/E770-1</x:f>
        <x:v>-0.034076323451147306</x:v>
      </x:c>
      <x:c r="I770" s="1" t="n">
        <x:v>1</x:v>
      </x:c>
      <x:c r="J770" s="1" t="n">
        <x:v>1</x:v>
      </x:c>
      <x:c r="K770" s="1" t="str">
        <x:v>中证官方优先</x:v>
      </x:c>
    </x:row>
    <x:row r="771" ht="25" customHeight="1">
      <x:c r="A771" s="1" t="str">
        <x:v>sh000905</x:v>
      </x:c>
      <x:c r="B771" s="1" t="str">
        <x:v>中证500</x:v>
      </x:c>
      <x:c r="C771" s="1" t="str">
        <x:v>2011-01</x:v>
      </x:c>
      <x:c r="D771" s="1" t="str">
        <x:v>2010-12-31</x:v>
      </x:c>
      <x:c r="E771" s="5" t="n">
        <x:v>4936.72</x:v>
      </x:c>
      <x:c r="F771" s="6" t="str">
        <x:v>2011-01-31</x:v>
      </x:c>
      <x:c r="G771" s="5" t="n">
        <x:v>4610.86</x:v>
      </x:c>
      <x:c r="H771" s="7" t="n">
        <x:f>G771/E771-1</x:f>
        <x:v>-0.06600738952178786</x:v>
      </x:c>
      <x:c r="I771" s="1" t="n">
        <x:v>1</x:v>
      </x:c>
      <x:c r="J771" s="1" t="n">
        <x:v>1</x:v>
      </x:c>
      <x:c r="K771" s="1" t="str">
        <x:v>中证官方优先</x:v>
      </x:c>
    </x:row>
    <x:row r="772" ht="25" customHeight="1">
      <x:c r="A772" s="1" t="str">
        <x:v>sh000905</x:v>
      </x:c>
      <x:c r="B772" s="1" t="str">
        <x:v>中证500</x:v>
      </x:c>
      <x:c r="C772" s="1" t="str">
        <x:v>2011-02</x:v>
      </x:c>
      <x:c r="D772" s="1" t="str">
        <x:v>2011-01-31</x:v>
      </x:c>
      <x:c r="E772" s="5" t="n">
        <x:v>4610.86</x:v>
      </x:c>
      <x:c r="F772" s="6" t="str">
        <x:v>2011-02-28</x:v>
      </x:c>
      <x:c r="G772" s="5" t="n">
        <x:v>5095.21</x:v>
      </x:c>
      <x:c r="H772" s="7" t="n">
        <x:f>G772/E772-1</x:f>
        <x:v>0.10504547958515342</x:v>
      </x:c>
      <x:c r="I772" s="1" t="n">
        <x:v>1</x:v>
      </x:c>
      <x:c r="J772" s="1" t="n">
        <x:v>1</x:v>
      </x:c>
      <x:c r="K772" s="1" t="str">
        <x:v>中证官方优先</x:v>
      </x:c>
    </x:row>
    <x:row r="773" ht="25" customHeight="1">
      <x:c r="A773" s="1" t="str">
        <x:v>sh000905</x:v>
      </x:c>
      <x:c r="B773" s="1" t="str">
        <x:v>中证500</x:v>
      </x:c>
      <x:c r="C773" s="1" t="str">
        <x:v>2011-03</x:v>
      </x:c>
      <x:c r="D773" s="1" t="str">
        <x:v>2011-02-28</x:v>
      </x:c>
      <x:c r="E773" s="5" t="n">
        <x:v>5095.21</x:v>
      </x:c>
      <x:c r="F773" s="6" t="str">
        <x:v>2011-03-31</x:v>
      </x:c>
      <x:c r="G773" s="5" t="n">
        <x:v>5000.4</x:v>
      </x:c>
      <x:c r="H773" s="7" t="n">
        <x:f>G773/E773-1</x:f>
        <x:v>-0.01860767269651309</x:v>
      </x:c>
      <x:c r="I773" s="1" t="n">
        <x:v>1</x:v>
      </x:c>
      <x:c r="J773" s="1" t="n">
        <x:v>1</x:v>
      </x:c>
      <x:c r="K773" s="1" t="str">
        <x:v>中证官方优先</x:v>
      </x:c>
    </x:row>
    <x:row r="774" ht="25" customHeight="1">
      <x:c r="A774" s="1" t="str">
        <x:v>sh000905</x:v>
      </x:c>
      <x:c r="B774" s="1" t="str">
        <x:v>中证500</x:v>
      </x:c>
      <x:c r="C774" s="1" t="str">
        <x:v>2011-04</x:v>
      </x:c>
      <x:c r="D774" s="1" t="str">
        <x:v>2011-03-31</x:v>
      </x:c>
      <x:c r="E774" s="5" t="n">
        <x:v>5000.4</x:v>
      </x:c>
      <x:c r="F774" s="6" t="str">
        <x:v>2011-04-29</x:v>
      </x:c>
      <x:c r="G774" s="5" t="n">
        <x:v>4836.87</x:v>
      </x:c>
      <x:c r="H774" s="7" t="n">
        <x:f>G774/E774-1</x:f>
        <x:v>-0.032703383729301594</x:v>
      </x:c>
      <x:c r="I774" s="1" t="n">
        <x:v>1</x:v>
      </x:c>
      <x:c r="J774" s="1" t="n">
        <x:v>1</x:v>
      </x:c>
      <x:c r="K774" s="1" t="str">
        <x:v>中证官方优先</x:v>
      </x:c>
    </x:row>
    <x:row r="775" ht="25" customHeight="1">
      <x:c r="A775" s="1" t="str">
        <x:v>sh000905</x:v>
      </x:c>
      <x:c r="B775" s="1" t="str">
        <x:v>中证500</x:v>
      </x:c>
      <x:c r="C775" s="1" t="str">
        <x:v>2011-05</x:v>
      </x:c>
      <x:c r="D775" s="1" t="str">
        <x:v>2011-04-29</x:v>
      </x:c>
      <x:c r="E775" s="5" t="n">
        <x:v>4836.87</x:v>
      </x:c>
      <x:c r="F775" s="6" t="str">
        <x:v>2011-05-31</x:v>
      </x:c>
      <x:c r="G775" s="5" t="n">
        <x:v>4444.28</x:v>
      </x:c>
      <x:c r="H775" s="7" t="n">
        <x:f>G775/E775-1</x:f>
        <x:v>-0.0811661260277825</x:v>
      </x:c>
      <x:c r="I775" s="1" t="n">
        <x:v>1</x:v>
      </x:c>
      <x:c r="J775" s="1" t="n">
        <x:v>1</x:v>
      </x:c>
      <x:c r="K775" s="1" t="str">
        <x:v>中证官方优先</x:v>
      </x:c>
    </x:row>
    <x:row r="776" ht="25" customHeight="1">
      <x:c r="A776" s="1" t="str">
        <x:v>sh000905</x:v>
      </x:c>
      <x:c r="B776" s="1" t="str">
        <x:v>中证500</x:v>
      </x:c>
      <x:c r="C776" s="1" t="str">
        <x:v>2011-06</x:v>
      </x:c>
      <x:c r="D776" s="1" t="str">
        <x:v>2011-05-31</x:v>
      </x:c>
      <x:c r="E776" s="5" t="n">
        <x:v>4444.28</x:v>
      </x:c>
      <x:c r="F776" s="6" t="str">
        <x:v>2011-06-30</x:v>
      </x:c>
      <x:c r="G776" s="5" t="n">
        <x:v>4579.33</x:v>
      </x:c>
      <x:c r="H776" s="7" t="n">
        <x:f>G776/E776-1</x:f>
        <x:v>0.030387374332850436</x:v>
      </x:c>
      <x:c r="I776" s="1" t="n">
        <x:v>1</x:v>
      </x:c>
      <x:c r="J776" s="1" t="n">
        <x:v>1</x:v>
      </x:c>
      <x:c r="K776" s="1" t="str">
        <x:v>中证官方优先</x:v>
      </x:c>
    </x:row>
    <x:row r="777" ht="25" customHeight="1">
      <x:c r="A777" s="1" t="str">
        <x:v>sh000905</x:v>
      </x:c>
      <x:c r="B777" s="1" t="str">
        <x:v>中证500</x:v>
      </x:c>
      <x:c r="C777" s="1" t="str">
        <x:v>2011-07</x:v>
      </x:c>
      <x:c r="D777" s="1" t="str">
        <x:v>2011-06-30</x:v>
      </x:c>
      <x:c r="E777" s="5" t="n">
        <x:v>4579.33</x:v>
      </x:c>
      <x:c r="F777" s="6" t="str">
        <x:v>2011-07-29</x:v>
      </x:c>
      <x:c r="G777" s="5" t="n">
        <x:v>4628.32</x:v>
      </x:c>
      <x:c r="H777" s="7" t="n">
        <x:f>G777/E777-1</x:f>
        <x:v>0.010698071551951793</x:v>
      </x:c>
      <x:c r="I777" s="1" t="n">
        <x:v>1</x:v>
      </x:c>
      <x:c r="J777" s="1" t="n">
        <x:v>1</x:v>
      </x:c>
      <x:c r="K777" s="1" t="str">
        <x:v>中证官方优先</x:v>
      </x:c>
    </x:row>
    <x:row r="778" ht="25" customHeight="1">
      <x:c r="A778" s="1" t="str">
        <x:v>sh000905</x:v>
      </x:c>
      <x:c r="B778" s="1" t="str">
        <x:v>中证500</x:v>
      </x:c>
      <x:c r="C778" s="1" t="str">
        <x:v>2011-08</x:v>
      </x:c>
      <x:c r="D778" s="1" t="str">
        <x:v>2011-07-29</x:v>
      </x:c>
      <x:c r="E778" s="5" t="n">
        <x:v>4628.32</x:v>
      </x:c>
      <x:c r="F778" s="6" t="str">
        <x:v>2011-08-31</x:v>
      </x:c>
      <x:c r="G778" s="5" t="n">
        <x:v>4430.54</x:v>
      </x:c>
      <x:c r="H778" s="7" t="n">
        <x:f>G778/E778-1</x:f>
        <x:v>-0.042732568188889264</x:v>
      </x:c>
      <x:c r="I778" s="1" t="n">
        <x:v>1</x:v>
      </x:c>
      <x:c r="J778" s="1" t="n">
        <x:v>1</x:v>
      </x:c>
      <x:c r="K778" s="1" t="str">
        <x:v>中证官方优先</x:v>
      </x:c>
    </x:row>
    <x:row r="779" ht="25" customHeight="1">
      <x:c r="A779" s="1" t="str">
        <x:v>sh000905</x:v>
      </x:c>
      <x:c r="B779" s="1" t="str">
        <x:v>中证500</x:v>
      </x:c>
      <x:c r="C779" s="1" t="str">
        <x:v>2011-09</x:v>
      </x:c>
      <x:c r="D779" s="1" t="str">
        <x:v>2011-08-31</x:v>
      </x:c>
      <x:c r="E779" s="5" t="n">
        <x:v>4430.54</x:v>
      </x:c>
      <x:c r="F779" s="6" t="str">
        <x:v>2011-09-30</x:v>
      </x:c>
      <x:c r="G779" s="5" t="n">
        <x:v>3856.83</x:v>
      </x:c>
      <x:c r="H779" s="7" t="n">
        <x:f>G779/E779-1</x:f>
        <x:v>-0.1294898590239565</x:v>
      </x:c>
      <x:c r="I779" s="1" t="n">
        <x:v>1</x:v>
      </x:c>
      <x:c r="J779" s="1" t="n">
        <x:v>1</x:v>
      </x:c>
      <x:c r="K779" s="1" t="str">
        <x:v>中证官方优先</x:v>
      </x:c>
    </x:row>
    <x:row r="780" ht="25" customHeight="1">
      <x:c r="A780" s="1" t="str">
        <x:v>sh000905</x:v>
      </x:c>
      <x:c r="B780" s="1" t="str">
        <x:v>中证500</x:v>
      </x:c>
      <x:c r="C780" s="1" t="str">
        <x:v>2011-10</x:v>
      </x:c>
      <x:c r="D780" s="1" t="str">
        <x:v>2011-09-30</x:v>
      </x:c>
      <x:c r="E780" s="5" t="n">
        <x:v>3856.83</x:v>
      </x:c>
      <x:c r="F780" s="6" t="str">
        <x:v>2011-10-31</x:v>
      </x:c>
      <x:c r="G780" s="5" t="n">
        <x:v>3999.36</x:v>
      </x:c>
      <x:c r="H780" s="7" t="n">
        <x:f>G780/E780-1</x:f>
        <x:v>0.03695521970115356</x:v>
      </x:c>
      <x:c r="I780" s="1" t="n">
        <x:v>1</x:v>
      </x:c>
      <x:c r="J780" s="1" t="n">
        <x:v>1</x:v>
      </x:c>
      <x:c r="K780" s="1" t="str">
        <x:v>中证官方优先</x:v>
      </x:c>
    </x:row>
    <x:row r="781" ht="25" customHeight="1">
      <x:c r="A781" s="1" t="str">
        <x:v>sh000905</x:v>
      </x:c>
      <x:c r="B781" s="1" t="str">
        <x:v>中证500</x:v>
      </x:c>
      <x:c r="C781" s="1" t="str">
        <x:v>2011-11</x:v>
      </x:c>
      <x:c r="D781" s="1" t="str">
        <x:v>2011-10-31</x:v>
      </x:c>
      <x:c r="E781" s="5" t="n">
        <x:v>3999.36</x:v>
      </x:c>
      <x:c r="F781" s="6" t="str">
        <x:v>2011-11-30</x:v>
      </x:c>
      <x:c r="G781" s="5" t="n">
        <x:v>3819.94</x:v>
      </x:c>
      <x:c r="H781" s="7" t="n">
        <x:f>G781/E781-1</x:f>
        <x:v>-0.044862177948471804</x:v>
      </x:c>
      <x:c r="I781" s="1" t="n">
        <x:v>1</x:v>
      </x:c>
      <x:c r="J781" s="1" t="n">
        <x:v>1</x:v>
      </x:c>
      <x:c r="K781" s="1" t="str">
        <x:v>中证官方优先</x:v>
      </x:c>
    </x:row>
    <x:row r="782" ht="25" customHeight="1">
      <x:c r="A782" s="1" t="str">
        <x:v>sh000905</x:v>
      </x:c>
      <x:c r="B782" s="1" t="str">
        <x:v>中证500</x:v>
      </x:c>
      <x:c r="C782" s="1" t="str">
        <x:v>2011-12</x:v>
      </x:c>
      <x:c r="D782" s="1" t="str">
        <x:v>2011-11-30</x:v>
      </x:c>
      <x:c r="E782" s="5" t="n">
        <x:v>3819.94</x:v>
      </x:c>
      <x:c r="F782" s="6" t="str">
        <x:v>2011-12-30</x:v>
      </x:c>
      <x:c r="G782" s="5" t="n">
        <x:v>3266.78</x:v>
      </x:c>
      <x:c r="H782" s="7" t="n">
        <x:f>G782/E782-1</x:f>
        <x:v>-0.1448085572024691</x:v>
      </x:c>
      <x:c r="I782" s="1" t="n">
        <x:v>1</x:v>
      </x:c>
      <x:c r="J782" s="1" t="n">
        <x:v>1</x:v>
      </x:c>
      <x:c r="K782" s="1" t="str">
        <x:v>中证官方优先</x:v>
      </x:c>
    </x:row>
    <x:row r="783" ht="25" customHeight="1">
      <x:c r="A783" s="1" t="str">
        <x:v>sh000905</x:v>
      </x:c>
      <x:c r="B783" s="1" t="str">
        <x:v>中证500</x:v>
      </x:c>
      <x:c r="C783" s="1" t="str">
        <x:v>2012-01</x:v>
      </x:c>
      <x:c r="D783" s="1" t="str">
        <x:v>2011-12-30</x:v>
      </x:c>
      <x:c r="E783" s="5" t="n">
        <x:v>3266.78</x:v>
      </x:c>
      <x:c r="F783" s="6" t="str">
        <x:v>2012-01-31</x:v>
      </x:c>
      <x:c r="G783" s="5" t="n">
        <x:v>3294.49</x:v>
      </x:c>
      <x:c r="H783" s="7" t="n">
        <x:f>G783/E783-1</x:f>
        <x:v>0.008482358775307564</x:v>
      </x:c>
      <x:c r="I783" s="1" t="n">
        <x:v>1</x:v>
      </x:c>
      <x:c r="J783" s="1" t="n">
        <x:v>1</x:v>
      </x:c>
      <x:c r="K783" s="1" t="str">
        <x:v>中证官方优先</x:v>
      </x:c>
    </x:row>
    <x:row r="784" ht="25" customHeight="1">
      <x:c r="A784" s="1" t="str">
        <x:v>sh000905</x:v>
      </x:c>
      <x:c r="B784" s="1" t="str">
        <x:v>中证500</x:v>
      </x:c>
      <x:c r="C784" s="1" t="str">
        <x:v>2012-02</x:v>
      </x:c>
      <x:c r="D784" s="1" t="str">
        <x:v>2012-01-31</x:v>
      </x:c>
      <x:c r="E784" s="5" t="n">
        <x:v>3294.49</x:v>
      </x:c>
      <x:c r="F784" s="6" t="str">
        <x:v>2012-02-29</x:v>
      </x:c>
      <x:c r="G784" s="5" t="n">
        <x:v>3696.14</x:v>
      </x:c>
      <x:c r="H784" s="7" t="n">
        <x:f>G784/E784-1</x:f>
        <x:v>0.12191568345935178</x:v>
      </x:c>
      <x:c r="I784" s="1" t="n">
        <x:v>1</x:v>
      </x:c>
      <x:c r="J784" s="1" t="n">
        <x:v>1</x:v>
      </x:c>
      <x:c r="K784" s="1" t="str">
        <x:v>中证官方优先</x:v>
      </x:c>
    </x:row>
    <x:row r="785" ht="25" customHeight="1">
      <x:c r="A785" s="1" t="str">
        <x:v>sh000905</x:v>
      </x:c>
      <x:c r="B785" s="1" t="str">
        <x:v>中证500</x:v>
      </x:c>
      <x:c r="C785" s="1" t="str">
        <x:v>2012-03</x:v>
      </x:c>
      <x:c r="D785" s="1" t="str">
        <x:v>2012-02-29</x:v>
      </x:c>
      <x:c r="E785" s="5" t="n">
        <x:v>3696.14</x:v>
      </x:c>
      <x:c r="F785" s="6" t="str">
        <x:v>2012-03-30</x:v>
      </x:c>
      <x:c r="G785" s="5" t="n">
        <x:v>3416.86</x:v>
      </x:c>
      <x:c r="H785" s="7" t="n">
        <x:f>G785/E785-1</x:f>
        <x:v>-0.07555990844502636</x:v>
      </x:c>
      <x:c r="I785" s="1" t="n">
        <x:v>1</x:v>
      </x:c>
      <x:c r="J785" s="1" t="n">
        <x:v>1</x:v>
      </x:c>
      <x:c r="K785" s="1" t="str">
        <x:v>中证官方优先</x:v>
      </x:c>
    </x:row>
    <x:row r="786" ht="25" customHeight="1">
      <x:c r="A786" s="1" t="str">
        <x:v>sh000905</x:v>
      </x:c>
      <x:c r="B786" s="1" t="str">
        <x:v>中证500</x:v>
      </x:c>
      <x:c r="C786" s="1" t="str">
        <x:v>2012-04</x:v>
      </x:c>
      <x:c r="D786" s="1" t="str">
        <x:v>2012-03-30</x:v>
      </x:c>
      <x:c r="E786" s="5" t="n">
        <x:v>3416.86</x:v>
      </x:c>
      <x:c r="F786" s="6" t="str">
        <x:v>2012-04-27</x:v>
      </x:c>
      <x:c r="G786" s="5" t="n">
        <x:v>3664.64</x:v>
      </x:c>
      <x:c r="H786" s="7" t="n">
        <x:f>G786/E786-1</x:f>
        <x:v>0.07251687221601122</x:v>
      </x:c>
      <x:c r="I786" s="1" t="n">
        <x:v>1</x:v>
      </x:c>
      <x:c r="J786" s="1" t="n">
        <x:v>1</x:v>
      </x:c>
      <x:c r="K786" s="1" t="str">
        <x:v>中证官方优先</x:v>
      </x:c>
    </x:row>
    <x:row r="787" ht="25" customHeight="1">
      <x:c r="A787" s="1" t="str">
        <x:v>sh000905</x:v>
      </x:c>
      <x:c r="B787" s="1" t="str">
        <x:v>中证500</x:v>
      </x:c>
      <x:c r="C787" s="1" t="str">
        <x:v>2012-05</x:v>
      </x:c>
      <x:c r="D787" s="1" t="str">
        <x:v>2012-04-27</x:v>
      </x:c>
      <x:c r="E787" s="5" t="n">
        <x:v>3664.64</x:v>
      </x:c>
      <x:c r="F787" s="6" t="str">
        <x:v>2012-05-31</x:v>
      </x:c>
      <x:c r="G787" s="5" t="n">
        <x:v>3753.59</x:v>
      </x:c>
      <x:c r="H787" s="7" t="n">
        <x:f>G787/E787-1</x:f>
        <x:v>0.02427250698567951</x:v>
      </x:c>
      <x:c r="I787" s="1" t="n">
        <x:v>1</x:v>
      </x:c>
      <x:c r="J787" s="1" t="n">
        <x:v>1</x:v>
      </x:c>
      <x:c r="K787" s="1" t="str">
        <x:v>中证官方优先</x:v>
      </x:c>
    </x:row>
    <x:row r="788" ht="25" customHeight="1">
      <x:c r="A788" s="1" t="str">
        <x:v>sh000905</x:v>
      </x:c>
      <x:c r="B788" s="1" t="str">
        <x:v>中证500</x:v>
      </x:c>
      <x:c r="C788" s="1" t="str">
        <x:v>2012-06</x:v>
      </x:c>
      <x:c r="D788" s="1" t="str">
        <x:v>2012-05-31</x:v>
      </x:c>
      <x:c r="E788" s="5" t="n">
        <x:v>3753.59</x:v>
      </x:c>
      <x:c r="F788" s="6" t="str">
        <x:v>2012-06-29</x:v>
      </x:c>
      <x:c r="G788" s="5" t="n">
        <x:v>3470.97</x:v>
      </x:c>
      <x:c r="H788" s="7" t="n">
        <x:f>G788/E788-1</x:f>
        <x:v>-0.07529325259285125</x:v>
      </x:c>
      <x:c r="I788" s="1" t="n">
        <x:v>1</x:v>
      </x:c>
      <x:c r="J788" s="1" t="n">
        <x:v>1</x:v>
      </x:c>
      <x:c r="K788" s="1" t="str">
        <x:v>中证官方优先</x:v>
      </x:c>
    </x:row>
    <x:row r="789" ht="25" customHeight="1">
      <x:c r="A789" s="1" t="str">
        <x:v>sh000905</x:v>
      </x:c>
      <x:c r="B789" s="1" t="str">
        <x:v>中证500</x:v>
      </x:c>
      <x:c r="C789" s="1" t="str">
        <x:v>2012-07</x:v>
      </x:c>
      <x:c r="D789" s="1" t="str">
        <x:v>2012-06-29</x:v>
      </x:c>
      <x:c r="E789" s="5" t="n">
        <x:v>3470.97</x:v>
      </x:c>
      <x:c r="F789" s="6" t="str">
        <x:v>2012-07-31</x:v>
      </x:c>
      <x:c r="G789" s="5" t="n">
        <x:v>3159.19</x:v>
      </x:c>
      <x:c r="H789" s="7" t="n">
        <x:f>G789/E789-1</x:f>
        <x:v>-0.08982503450044221</x:v>
      </x:c>
      <x:c r="I789" s="1" t="n">
        <x:v>1</x:v>
      </x:c>
      <x:c r="J789" s="1" t="n">
        <x:v>1</x:v>
      </x:c>
      <x:c r="K789" s="1" t="str">
        <x:v>中证官方优先</x:v>
      </x:c>
    </x:row>
    <x:row r="790" ht="25" customHeight="1">
      <x:c r="A790" s="1" t="str">
        <x:v>sh000905</x:v>
      </x:c>
      <x:c r="B790" s="1" t="str">
        <x:v>中证500</x:v>
      </x:c>
      <x:c r="C790" s="1" t="str">
        <x:v>2012-08</x:v>
      </x:c>
      <x:c r="D790" s="1" t="str">
        <x:v>2012-07-31</x:v>
      </x:c>
      <x:c r="E790" s="5" t="n">
        <x:v>3159.19</x:v>
      </x:c>
      <x:c r="F790" s="6" t="str">
        <x:v>2012-08-31</x:v>
      </x:c>
      <x:c r="G790" s="5" t="n">
        <x:v>3139.5</x:v>
      </x:c>
      <x:c r="H790" s="7" t="n">
        <x:f>G790/E790-1</x:f>
        <x:v>-0.006232610257692617</x:v>
      </x:c>
      <x:c r="I790" s="1" t="n">
        <x:v>1</x:v>
      </x:c>
      <x:c r="J790" s="1" t="n">
        <x:v>1</x:v>
      </x:c>
      <x:c r="K790" s="1" t="str">
        <x:v>中证官方优先</x:v>
      </x:c>
    </x:row>
    <x:row r="791" ht="25" customHeight="1">
      <x:c r="A791" s="1" t="str">
        <x:v>sh000905</x:v>
      </x:c>
      <x:c r="B791" s="1" t="str">
        <x:v>中证500</x:v>
      </x:c>
      <x:c r="C791" s="1" t="str">
        <x:v>2012-09</x:v>
      </x:c>
      <x:c r="D791" s="1" t="str">
        <x:v>2012-08-31</x:v>
      </x:c>
      <x:c r="E791" s="5" t="n">
        <x:v>3139.5</x:v>
      </x:c>
      <x:c r="F791" s="6" t="str">
        <x:v>2012-09-28</x:v>
      </x:c>
      <x:c r="G791" s="5" t="n">
        <x:v>3199.75</x:v>
      </x:c>
      <x:c r="H791" s="7" t="n">
        <x:f>G791/E791-1</x:f>
        <x:v>0.01919095397356263</x:v>
      </x:c>
      <x:c r="I791" s="1" t="n">
        <x:v>1</x:v>
      </x:c>
      <x:c r="J791" s="1" t="n">
        <x:v>1</x:v>
      </x:c>
      <x:c r="K791" s="1" t="str">
        <x:v>中证官方优先</x:v>
      </x:c>
    </x:row>
    <x:row r="792" ht="25" customHeight="1">
      <x:c r="A792" s="1" t="str">
        <x:v>sh000905</x:v>
      </x:c>
      <x:c r="B792" s="1" t="str">
        <x:v>中证500</x:v>
      </x:c>
      <x:c r="C792" s="1" t="str">
        <x:v>2012-10</x:v>
      </x:c>
      <x:c r="D792" s="1" t="str">
        <x:v>2012-09-28</x:v>
      </x:c>
      <x:c r="E792" s="5" t="n">
        <x:v>3199.75</x:v>
      </x:c>
      <x:c r="F792" s="6" t="str">
        <x:v>2012-10-31</x:v>
      </x:c>
      <x:c r="G792" s="5" t="n">
        <x:v>3168.1</x:v>
      </x:c>
      <x:c r="H792" s="7" t="n">
        <x:f>G792/E792-1</x:f>
        <x:v>-0.00989139776545045</x:v>
      </x:c>
      <x:c r="I792" s="1" t="n">
        <x:v>1</x:v>
      </x:c>
      <x:c r="J792" s="1" t="n">
        <x:v>1</x:v>
      </x:c>
      <x:c r="K792" s="1" t="str">
        <x:v>中证官方优先</x:v>
      </x:c>
    </x:row>
    <x:row r="793" ht="25" customHeight="1">
      <x:c r="A793" s="1" t="str">
        <x:v>sh000905</x:v>
      </x:c>
      <x:c r="B793" s="1" t="str">
        <x:v>中证500</x:v>
      </x:c>
      <x:c r="C793" s="1" t="str">
        <x:v>2012-11</x:v>
      </x:c>
      <x:c r="D793" s="1" t="str">
        <x:v>2012-10-31</x:v>
      </x:c>
      <x:c r="E793" s="5" t="n">
        <x:v>3168.1</x:v>
      </x:c>
      <x:c r="F793" s="6" t="str">
        <x:v>2012-11-30</x:v>
      </x:c>
      <x:c r="G793" s="5" t="n">
        <x:v>2816.62</x:v>
      </x:c>
      <x:c r="H793" s="7" t="n">
        <x:f>G793/E793-1</x:f>
        <x:v>-0.11094346769357033</x:v>
      </x:c>
      <x:c r="I793" s="1" t="n">
        <x:v>1</x:v>
      </x:c>
      <x:c r="J793" s="1" t="n">
        <x:v>1</x:v>
      </x:c>
      <x:c r="K793" s="1" t="str">
        <x:v>中证官方优先</x:v>
      </x:c>
    </x:row>
    <x:row r="794" ht="25" customHeight="1">
      <x:c r="A794" s="1" t="str">
        <x:v>sh000905</x:v>
      </x:c>
      <x:c r="B794" s="1" t="str">
        <x:v>中证500</x:v>
      </x:c>
      <x:c r="C794" s="1" t="str">
        <x:v>2012-12</x:v>
      </x:c>
      <x:c r="D794" s="1" t="str">
        <x:v>2012-11-30</x:v>
      </x:c>
      <x:c r="E794" s="5" t="n">
        <x:v>2816.62</x:v>
      </x:c>
      <x:c r="F794" s="6" t="str">
        <x:v>2012-12-31</x:v>
      </x:c>
      <x:c r="G794" s="5" t="n">
        <x:v>3275.86</x:v>
      </x:c>
      <x:c r="H794" s="7" t="n">
        <x:f>G794/E794-1</x:f>
        <x:v>0.16304648834418578</x:v>
      </x:c>
      <x:c r="I794" s="1" t="n">
        <x:v>1</x:v>
      </x:c>
      <x:c r="J794" s="1" t="n">
        <x:v>1</x:v>
      </x:c>
      <x:c r="K794" s="1" t="str">
        <x:v>中证官方优先</x:v>
      </x:c>
    </x:row>
    <x:row r="795" ht="25" customHeight="1">
      <x:c r="A795" s="1" t="str">
        <x:v>sh000905</x:v>
      </x:c>
      <x:c r="B795" s="1" t="str">
        <x:v>中证500</x:v>
      </x:c>
      <x:c r="C795" s="1" t="str">
        <x:v>2013-01</x:v>
      </x:c>
      <x:c r="D795" s="1" t="str">
        <x:v>2012-12-31</x:v>
      </x:c>
      <x:c r="E795" s="5" t="n">
        <x:v>3275.86</x:v>
      </x:c>
      <x:c r="F795" s="6" t="str">
        <x:v>2013-01-31</x:v>
      </x:c>
      <x:c r="G795" s="5" t="n">
        <x:v>3479.64</x:v>
      </x:c>
      <x:c r="H795" s="7" t="n">
        <x:f>G795/E795-1</x:f>
        <x:v>0.06220656560414661</x:v>
      </x:c>
      <x:c r="I795" s="1" t="n">
        <x:v>1</x:v>
      </x:c>
      <x:c r="J795" s="1" t="n">
        <x:v>1</x:v>
      </x:c>
      <x:c r="K795" s="1" t="str">
        <x:v>中证官方优先</x:v>
      </x:c>
    </x:row>
    <x:row r="796" ht="25" customHeight="1">
      <x:c r="A796" s="1" t="str">
        <x:v>sh000905</x:v>
      </x:c>
      <x:c r="B796" s="1" t="str">
        <x:v>中证500</x:v>
      </x:c>
      <x:c r="C796" s="1" t="str">
        <x:v>2013-02</x:v>
      </x:c>
      <x:c r="D796" s="1" t="str">
        <x:v>2013-01-31</x:v>
      </x:c>
      <x:c r="E796" s="5" t="n">
        <x:v>3479.64</x:v>
      </x:c>
      <x:c r="F796" s="6" t="str">
        <x:v>2013-02-28</x:v>
      </x:c>
      <x:c r="G796" s="5" t="n">
        <x:v>3608.2</x:v>
      </x:c>
      <x:c r="H796" s="7" t="n">
        <x:f>G796/E796-1</x:f>
        <x:v>0.03694635077191899</x:v>
      </x:c>
      <x:c r="I796" s="1" t="n">
        <x:v>1</x:v>
      </x:c>
      <x:c r="J796" s="1" t="n">
        <x:v>1</x:v>
      </x:c>
      <x:c r="K796" s="1" t="str">
        <x:v>中证官方优先</x:v>
      </x:c>
    </x:row>
    <x:row r="797" ht="25" customHeight="1">
      <x:c r="A797" s="1" t="str">
        <x:v>sh000905</x:v>
      </x:c>
      <x:c r="B797" s="1" t="str">
        <x:v>中证500</x:v>
      </x:c>
      <x:c r="C797" s="1" t="str">
        <x:v>2013-03</x:v>
      </x:c>
      <x:c r="D797" s="1" t="str">
        <x:v>2013-02-28</x:v>
      </x:c>
      <x:c r="E797" s="5" t="n">
        <x:v>3608.2</x:v>
      </x:c>
      <x:c r="F797" s="6" t="str">
        <x:v>2013-03-29</x:v>
      </x:c>
      <x:c r="G797" s="5" t="n">
        <x:v>3447.29</x:v>
      </x:c>
      <x:c r="H797" s="7" t="n">
        <x:f>G797/E797-1</x:f>
        <x:v>-0.044595643257025586</x:v>
      </x:c>
      <x:c r="I797" s="1" t="n">
        <x:v>1</x:v>
      </x:c>
      <x:c r="J797" s="1" t="n">
        <x:v>1</x:v>
      </x:c>
      <x:c r="K797" s="1" t="str">
        <x:v>中证官方优先</x:v>
      </x:c>
    </x:row>
    <x:row r="798" ht="25" customHeight="1">
      <x:c r="A798" s="1" t="str">
        <x:v>sh000905</x:v>
      </x:c>
      <x:c r="B798" s="1" t="str">
        <x:v>中证500</x:v>
      </x:c>
      <x:c r="C798" s="1" t="str">
        <x:v>2013-04</x:v>
      </x:c>
      <x:c r="D798" s="1" t="str">
        <x:v>2013-03-29</x:v>
      </x:c>
      <x:c r="E798" s="5" t="n">
        <x:v>3447.29</x:v>
      </x:c>
      <x:c r="F798" s="6" t="str">
        <x:v>2013-04-26</x:v>
      </x:c>
      <x:c r="G798" s="5" t="n">
        <x:v>3367.77</x:v>
      </x:c>
      <x:c r="H798" s="7" t="n">
        <x:f>G798/E798-1</x:f>
        <x:v>-0.02306739496822141</x:v>
      </x:c>
      <x:c r="I798" s="1" t="n">
        <x:v>1</x:v>
      </x:c>
      <x:c r="J798" s="1" t="n">
        <x:v>1</x:v>
      </x:c>
      <x:c r="K798" s="1" t="str">
        <x:v>中证官方优先</x:v>
      </x:c>
    </x:row>
    <x:row r="799" ht="25" customHeight="1">
      <x:c r="A799" s="1" t="str">
        <x:v>sh000905</x:v>
      </x:c>
      <x:c r="B799" s="1" t="str">
        <x:v>中证500</x:v>
      </x:c>
      <x:c r="C799" s="1" t="str">
        <x:v>2013-05</x:v>
      </x:c>
      <x:c r="D799" s="1" t="str">
        <x:v>2013-04-26</x:v>
      </x:c>
      <x:c r="E799" s="5" t="n">
        <x:v>3367.77</x:v>
      </x:c>
      <x:c r="F799" s="6" t="str">
        <x:v>2013-05-31</x:v>
      </x:c>
      <x:c r="G799" s="5" t="n">
        <x:v>3841.22</x:v>
      </x:c>
      <x:c r="H799" s="7" t="n">
        <x:f>G799/E799-1</x:f>
        <x:v>0.14058264073853022</x:v>
      </x:c>
      <x:c r="I799" s="1" t="n">
        <x:v>1</x:v>
      </x:c>
      <x:c r="J799" s="1" t="n">
        <x:v>1</x:v>
      </x:c>
      <x:c r="K799" s="1" t="str">
        <x:v>中证官方优先</x:v>
      </x:c>
    </x:row>
    <x:row r="800" ht="25" customHeight="1">
      <x:c r="A800" s="1" t="str">
        <x:v>sh000905</x:v>
      </x:c>
      <x:c r="B800" s="1" t="str">
        <x:v>中证500</x:v>
      </x:c>
      <x:c r="C800" s="1" t="str">
        <x:v>2013-06</x:v>
      </x:c>
      <x:c r="D800" s="1" t="str">
        <x:v>2013-05-31</x:v>
      </x:c>
      <x:c r="E800" s="5" t="n">
        <x:v>3841.22</x:v>
      </x:c>
      <x:c r="F800" s="6" t="str">
        <x:v>2013-06-28</x:v>
      </x:c>
      <x:c r="G800" s="5" t="n">
        <x:v>3235.98</x:v>
      </x:c>
      <x:c r="H800" s="7" t="n">
        <x:f>G800/E800-1</x:f>
        <x:v>-0.15756452377109353</x:v>
      </x:c>
      <x:c r="I800" s="1" t="n">
        <x:v>1</x:v>
      </x:c>
      <x:c r="J800" s="1" t="n">
        <x:v>1</x:v>
      </x:c>
      <x:c r="K800" s="1" t="str">
        <x:v>中证官方优先</x:v>
      </x:c>
    </x:row>
    <x:row r="801" ht="25" customHeight="1">
      <x:c r="A801" s="1" t="str">
        <x:v>sh000905</x:v>
      </x:c>
      <x:c r="B801" s="1" t="str">
        <x:v>中证500</x:v>
      </x:c>
      <x:c r="C801" s="1" t="str">
        <x:v>2013-07</x:v>
      </x:c>
      <x:c r="D801" s="1" t="str">
        <x:v>2013-06-28</x:v>
      </x:c>
      <x:c r="E801" s="5" t="n">
        <x:v>3235.98</x:v>
      </x:c>
      <x:c r="F801" s="6" t="str">
        <x:v>2013-07-31</x:v>
      </x:c>
      <x:c r="G801" s="5" t="n">
        <x:v>3430.74</x:v>
      </x:c>
      <x:c r="H801" s="7" t="n">
        <x:f>G801/E801-1</x:f>
        <x:v>0.06018578606789893</x:v>
      </x:c>
      <x:c r="I801" s="1" t="n">
        <x:v>1</x:v>
      </x:c>
      <x:c r="J801" s="1" t="n">
        <x:v>1</x:v>
      </x:c>
      <x:c r="K801" s="1" t="str">
        <x:v>中证官方优先</x:v>
      </x:c>
    </x:row>
    <x:row r="802" ht="25" customHeight="1">
      <x:c r="A802" s="1" t="str">
        <x:v>sh000905</x:v>
      </x:c>
      <x:c r="B802" s="1" t="str">
        <x:v>中证500</x:v>
      </x:c>
      <x:c r="C802" s="1" t="str">
        <x:v>2013-08</x:v>
      </x:c>
      <x:c r="D802" s="1" t="str">
        <x:v>2013-07-31</x:v>
      </x:c>
      <x:c r="E802" s="5" t="n">
        <x:v>3430.74</x:v>
      </x:c>
      <x:c r="F802" s="6" t="str">
        <x:v>2013-08-30</x:v>
      </x:c>
      <x:c r="G802" s="5" t="n">
        <x:v>3664.15</x:v>
      </x:c>
      <x:c r="H802" s="7" t="n">
        <x:f>G802/E802-1</x:f>
        <x:v>0.0680348846021559</x:v>
      </x:c>
      <x:c r="I802" s="1" t="n">
        <x:v>1</x:v>
      </x:c>
      <x:c r="J802" s="1" t="n">
        <x:v>1</x:v>
      </x:c>
      <x:c r="K802" s="1" t="str">
        <x:v>中证官方优先</x:v>
      </x:c>
    </x:row>
    <x:row r="803" ht="25" customHeight="1">
      <x:c r="A803" s="1" t="str">
        <x:v>sh000905</x:v>
      </x:c>
      <x:c r="B803" s="1" t="str">
        <x:v>中证500</x:v>
      </x:c>
      <x:c r="C803" s="1" t="str">
        <x:v>2013-09</x:v>
      </x:c>
      <x:c r="D803" s="1" t="str">
        <x:v>2013-08-30</x:v>
      </x:c>
      <x:c r="E803" s="5" t="n">
        <x:v>3664.15</x:v>
      </x:c>
      <x:c r="F803" s="6" t="str">
        <x:v>2013-09-30</x:v>
      </x:c>
      <x:c r="G803" s="5" t="n">
        <x:v>3872.89</x:v>
      </x:c>
      <x:c r="H803" s="7" t="n">
        <x:f>G803/E803-1</x:f>
        <x:v>0.056968191804374735</x:v>
      </x:c>
      <x:c r="I803" s="1" t="n">
        <x:v>1</x:v>
      </x:c>
      <x:c r="J803" s="1" t="n">
        <x:v>1</x:v>
      </x:c>
      <x:c r="K803" s="1" t="str">
        <x:v>中证官方优先</x:v>
      </x:c>
    </x:row>
    <x:row r="804" ht="25" customHeight="1">
      <x:c r="A804" s="1" t="str">
        <x:v>sh000905</x:v>
      </x:c>
      <x:c r="B804" s="1" t="str">
        <x:v>中证500</x:v>
      </x:c>
      <x:c r="C804" s="1" t="str">
        <x:v>2013-10</x:v>
      </x:c>
      <x:c r="D804" s="1" t="str">
        <x:v>2013-09-30</x:v>
      </x:c>
      <x:c r="E804" s="5" t="n">
        <x:v>3872.89</x:v>
      </x:c>
      <x:c r="F804" s="6" t="str">
        <x:v>2013-10-31</x:v>
      </x:c>
      <x:c r="G804" s="5" t="n">
        <x:v>3713.83</x:v>
      </x:c>
      <x:c r="H804" s="7" t="n">
        <x:f>G804/E804-1</x:f>
        <x:v>-0.04107010527022459</x:v>
      </x:c>
      <x:c r="I804" s="1" t="n">
        <x:v>1</x:v>
      </x:c>
      <x:c r="J804" s="1" t="n">
        <x:v>1</x:v>
      </x:c>
      <x:c r="K804" s="1" t="str">
        <x:v>中证官方优先</x:v>
      </x:c>
    </x:row>
    <x:row r="805" ht="25" customHeight="1">
      <x:c r="A805" s="1" t="str">
        <x:v>sh000905</x:v>
      </x:c>
      <x:c r="B805" s="1" t="str">
        <x:v>中证500</x:v>
      </x:c>
      <x:c r="C805" s="1" t="str">
        <x:v>2013-11</x:v>
      </x:c>
      <x:c r="D805" s="1" t="str">
        <x:v>2013-10-31</x:v>
      </x:c>
      <x:c r="E805" s="5" t="n">
        <x:v>3713.83</x:v>
      </x:c>
      <x:c r="F805" s="6" t="str">
        <x:v>2013-11-29</x:v>
      </x:c>
      <x:c r="G805" s="5" t="n">
        <x:v>3946.38</x:v>
      </x:c>
      <x:c r="H805" s="7" t="n">
        <x:f>G805/E805-1</x:f>
        <x:v>0.06261729804541405</x:v>
      </x:c>
      <x:c r="I805" s="1" t="n">
        <x:v>1</x:v>
      </x:c>
      <x:c r="J805" s="1" t="n">
        <x:v>1</x:v>
      </x:c>
      <x:c r="K805" s="1" t="str">
        <x:v>中证官方优先</x:v>
      </x:c>
    </x:row>
    <x:row r="806" ht="25" customHeight="1">
      <x:c r="A806" s="1" t="str">
        <x:v>sh000905</x:v>
      </x:c>
      <x:c r="B806" s="1" t="str">
        <x:v>中证500</x:v>
      </x:c>
      <x:c r="C806" s="1" t="str">
        <x:v>2013-12</x:v>
      </x:c>
      <x:c r="D806" s="1" t="str">
        <x:v>2013-11-29</x:v>
      </x:c>
      <x:c r="E806" s="5" t="n">
        <x:v>3946.38</x:v>
      </x:c>
      <x:c r="F806" s="6" t="str">
        <x:v>2013-12-31</x:v>
      </x:c>
      <x:c r="G806" s="5" t="n">
        <x:v>3829.1</x:v>
      </x:c>
      <x:c r="H806" s="7" t="n">
        <x:f>G806/E806-1</x:f>
        <x:v>-0.029718374814386883</x:v>
      </x:c>
      <x:c r="I806" s="1" t="n">
        <x:v>1</x:v>
      </x:c>
      <x:c r="J806" s="1" t="n">
        <x:v>1</x:v>
      </x:c>
      <x:c r="K806" s="1" t="str">
        <x:v>中证官方优先</x:v>
      </x:c>
    </x:row>
    <x:row r="807" ht="25" customHeight="1">
      <x:c r="A807" s="1" t="str">
        <x:v>sh000905</x:v>
      </x:c>
      <x:c r="B807" s="1" t="str">
        <x:v>中证500</x:v>
      </x:c>
      <x:c r="C807" s="1" t="str">
        <x:v>2014-01</x:v>
      </x:c>
      <x:c r="D807" s="1" t="str">
        <x:v>2013-12-31</x:v>
      </x:c>
      <x:c r="E807" s="5" t="n">
        <x:v>3829.1</x:v>
      </x:c>
      <x:c r="F807" s="6" t="str">
        <x:v>2014-01-30</x:v>
      </x:c>
      <x:c r="G807" s="5" t="n">
        <x:v>3885.42</x:v>
      </x:c>
      <x:c r="H807" s="7" t="n">
        <x:f>G807/E807-1</x:f>
        <x:v>0.014708417121516826</x:v>
      </x:c>
      <x:c r="I807" s="1" t="n">
        <x:v>1</x:v>
      </x:c>
      <x:c r="J807" s="1" t="n">
        <x:v>1</x:v>
      </x:c>
      <x:c r="K807" s="1" t="str">
        <x:v>中证官方优先</x:v>
      </x:c>
    </x:row>
    <x:row r="808" ht="25" customHeight="1">
      <x:c r="A808" s="1" t="str">
        <x:v>sh000905</x:v>
      </x:c>
      <x:c r="B808" s="1" t="str">
        <x:v>中证500</x:v>
      </x:c>
      <x:c r="C808" s="1" t="str">
        <x:v>2014-02</x:v>
      </x:c>
      <x:c r="D808" s="1" t="str">
        <x:v>2014-01-30</x:v>
      </x:c>
      <x:c r="E808" s="5" t="n">
        <x:v>3885.42</x:v>
      </x:c>
      <x:c r="F808" s="6" t="str">
        <x:v>2014-02-28</x:v>
      </x:c>
      <x:c r="G808" s="5" t="n">
        <x:v>3975.93</x:v>
      </x:c>
      <x:c r="H808" s="7" t="n">
        <x:f>G808/E808-1</x:f>
        <x:v>0.02329477894281684</x:v>
      </x:c>
      <x:c r="I808" s="1" t="n">
        <x:v>1</x:v>
      </x:c>
      <x:c r="J808" s="1" t="n">
        <x:v>1</x:v>
      </x:c>
      <x:c r="K808" s="1" t="str">
        <x:v>中证官方优先</x:v>
      </x:c>
    </x:row>
    <x:row r="809" ht="25" customHeight="1">
      <x:c r="A809" s="1" t="str">
        <x:v>sh000905</x:v>
      </x:c>
      <x:c r="B809" s="1" t="str">
        <x:v>中证500</x:v>
      </x:c>
      <x:c r="C809" s="1" t="str">
        <x:v>2014-03</x:v>
      </x:c>
      <x:c r="D809" s="1" t="str">
        <x:v>2014-02-28</x:v>
      </x:c>
      <x:c r="E809" s="5" t="n">
        <x:v>3975.93</x:v>
      </x:c>
      <x:c r="F809" s="6" t="str">
        <x:v>2014-03-31</x:v>
      </x:c>
      <x:c r="G809" s="5" t="n">
        <x:v>3840.54</x:v>
      </x:c>
      <x:c r="H809" s="7" t="n">
        <x:f>G809/E809-1</x:f>
        <x:v>-0.03405241037945839</x:v>
      </x:c>
      <x:c r="I809" s="1" t="n">
        <x:v>1</x:v>
      </x:c>
      <x:c r="J809" s="1" t="n">
        <x:v>1</x:v>
      </x:c>
      <x:c r="K809" s="1" t="str">
        <x:v>中证官方优先</x:v>
      </x:c>
    </x:row>
    <x:row r="810" ht="25" customHeight="1">
      <x:c r="A810" s="1" t="str">
        <x:v>sh000905</x:v>
      </x:c>
      <x:c r="B810" s="1" t="str">
        <x:v>中证500</x:v>
      </x:c>
      <x:c r="C810" s="1" t="str">
        <x:v>2014-04</x:v>
      </x:c>
      <x:c r="D810" s="1" t="str">
        <x:v>2014-03-31</x:v>
      </x:c>
      <x:c r="E810" s="5" t="n">
        <x:v>3840.54</x:v>
      </x:c>
      <x:c r="F810" s="6" t="str">
        <x:v>2014-04-30</x:v>
      </x:c>
      <x:c r="G810" s="5" t="n">
        <x:v>3766.17</x:v>
      </x:c>
      <x:c r="H810" s="7" t="n">
        <x:f>G810/E810-1</x:f>
        <x:v>-0.01936446437219763</x:v>
      </x:c>
      <x:c r="I810" s="1" t="n">
        <x:v>1</x:v>
      </x:c>
      <x:c r="J810" s="1" t="n">
        <x:v>1</x:v>
      </x:c>
      <x:c r="K810" s="1" t="str">
        <x:v>中证官方优先</x:v>
      </x:c>
    </x:row>
    <x:row r="811" ht="25" customHeight="1">
      <x:c r="A811" s="1" t="str">
        <x:v>sh000905</x:v>
      </x:c>
      <x:c r="B811" s="1" t="str">
        <x:v>中证500</x:v>
      </x:c>
      <x:c r="C811" s="1" t="str">
        <x:v>2014-05</x:v>
      </x:c>
      <x:c r="D811" s="1" t="str">
        <x:v>2014-04-30</x:v>
      </x:c>
      <x:c r="E811" s="5" t="n">
        <x:v>3766.17</x:v>
      </x:c>
      <x:c r="F811" s="6" t="str">
        <x:v>2014-05-30</x:v>
      </x:c>
      <x:c r="G811" s="5" t="n">
        <x:v>3829.24</x:v>
      </x:c>
      <x:c r="H811" s="7" t="n">
        <x:f>G811/E811-1</x:f>
        <x:v>0.016746455948616124</x:v>
      </x:c>
      <x:c r="I811" s="1" t="n">
        <x:v>1</x:v>
      </x:c>
      <x:c r="J811" s="1" t="n">
        <x:v>1</x:v>
      </x:c>
      <x:c r="K811" s="1" t="str">
        <x:v>中证官方优先</x:v>
      </x:c>
    </x:row>
    <x:row r="812" ht="25" customHeight="1">
      <x:c r="A812" s="1" t="str">
        <x:v>sh000905</x:v>
      </x:c>
      <x:c r="B812" s="1" t="str">
        <x:v>中证500</x:v>
      </x:c>
      <x:c r="C812" s="1" t="str">
        <x:v>2014-06</x:v>
      </x:c>
      <x:c r="D812" s="1" t="str">
        <x:v>2014-05-30</x:v>
      </x:c>
      <x:c r="E812" s="5" t="n">
        <x:v>3829.24</x:v>
      </x:c>
      <x:c r="F812" s="6" t="str">
        <x:v>2014-06-30</x:v>
      </x:c>
      <x:c r="G812" s="5" t="n">
        <x:v>3924.9</x:v>
      </x:c>
      <x:c r="H812" s="7" t="n">
        <x:f>G812/E812-1</x:f>
        <x:v>0.024981458461731387</x:v>
      </x:c>
      <x:c r="I812" s="1" t="n">
        <x:v>1</x:v>
      </x:c>
      <x:c r="J812" s="1" t="n">
        <x:v>1</x:v>
      </x:c>
      <x:c r="K812" s="1" t="str">
        <x:v>中证官方优先</x:v>
      </x:c>
    </x:row>
    <x:row r="813" ht="25" customHeight="1">
      <x:c r="A813" s="1" t="str">
        <x:v>sh000905</x:v>
      </x:c>
      <x:c r="B813" s="1" t="str">
        <x:v>中证500</x:v>
      </x:c>
      <x:c r="C813" s="1" t="str">
        <x:v>2014-07</x:v>
      </x:c>
      <x:c r="D813" s="1" t="str">
        <x:v>2014-06-30</x:v>
      </x:c>
      <x:c r="E813" s="5" t="n">
        <x:v>3924.9</x:v>
      </x:c>
      <x:c r="F813" s="6" t="str">
        <x:v>2014-07-31</x:v>
      </x:c>
      <x:c r="G813" s="5" t="n">
        <x:v>4257.05</x:v>
      </x:c>
      <x:c r="H813" s="7" t="n">
        <x:f>G813/E813-1</x:f>
        <x:v>0.08462635990725875</x:v>
      </x:c>
      <x:c r="I813" s="1" t="n">
        <x:v>1</x:v>
      </x:c>
      <x:c r="J813" s="1" t="n">
        <x:v>1</x:v>
      </x:c>
      <x:c r="K813" s="1" t="str">
        <x:v>中证官方优先</x:v>
      </x:c>
    </x:row>
    <x:row r="814" ht="25" customHeight="1">
      <x:c r="A814" s="1" t="str">
        <x:v>sh000905</x:v>
      </x:c>
      <x:c r="B814" s="1" t="str">
        <x:v>中证500</x:v>
      </x:c>
      <x:c r="C814" s="1" t="str">
        <x:v>2014-08</x:v>
      </x:c>
      <x:c r="D814" s="1" t="str">
        <x:v>2014-07-31</x:v>
      </x:c>
      <x:c r="E814" s="5" t="n">
        <x:v>4257.05</x:v>
      </x:c>
      <x:c r="F814" s="6" t="str">
        <x:v>2014-08-29</x:v>
      </x:c>
      <x:c r="G814" s="5" t="n">
        <x:v>4427.88</x:v>
      </x:c>
      <x:c r="H814" s="7" t="n">
        <x:f>G814/E814-1</x:f>
        <x:v>0.04012872764003239</x:v>
      </x:c>
      <x:c r="I814" s="1" t="n">
        <x:v>1</x:v>
      </x:c>
      <x:c r="J814" s="1" t="n">
        <x:v>1</x:v>
      </x:c>
      <x:c r="K814" s="1" t="str">
        <x:v>中证官方优先</x:v>
      </x:c>
    </x:row>
    <x:row r="815" ht="25" customHeight="1">
      <x:c r="A815" s="1" t="str">
        <x:v>sh000905</x:v>
      </x:c>
      <x:c r="B815" s="1" t="str">
        <x:v>中证500</x:v>
      </x:c>
      <x:c r="C815" s="1" t="str">
        <x:v>2014-09</x:v>
      </x:c>
      <x:c r="D815" s="1" t="str">
        <x:v>2014-08-29</x:v>
      </x:c>
      <x:c r="E815" s="5" t="n">
        <x:v>4427.88</x:v>
      </x:c>
      <x:c r="F815" s="6" t="str">
        <x:v>2014-09-30</x:v>
      </x:c>
      <x:c r="G815" s="5" t="n">
        <x:v>4916.12</x:v>
      </x:c>
      <x:c r="H815" s="7" t="n">
        <x:f>G815/E815-1</x:f>
        <x:v>0.11026495749658971</x:v>
      </x:c>
      <x:c r="I815" s="1" t="n">
        <x:v>1</x:v>
      </x:c>
      <x:c r="J815" s="1" t="n">
        <x:v>1</x:v>
      </x:c>
      <x:c r="K815" s="1" t="str">
        <x:v>中证官方优先</x:v>
      </x:c>
    </x:row>
    <x:row r="816" ht="25" customHeight="1">
      <x:c r="A816" s="1" t="str">
        <x:v>sh000905</x:v>
      </x:c>
      <x:c r="B816" s="1" t="str">
        <x:v>中证500</x:v>
      </x:c>
      <x:c r="C816" s="1" t="str">
        <x:v>2014-10</x:v>
      </x:c>
      <x:c r="D816" s="1" t="str">
        <x:v>2014-09-30</x:v>
      </x:c>
      <x:c r="E816" s="5" t="n">
        <x:v>4916.12</x:v>
      </x:c>
      <x:c r="F816" s="6" t="str">
        <x:v>2014-10-31</x:v>
      </x:c>
      <x:c r="G816" s="5" t="n">
        <x:v>4986.42</x:v>
      </x:c>
      <x:c r="H816" s="7" t="n">
        <x:f>G816/E816-1</x:f>
        <x:v>0.01429989503917728</x:v>
      </x:c>
      <x:c r="I816" s="1" t="n">
        <x:v>1</x:v>
      </x:c>
      <x:c r="J816" s="1" t="n">
        <x:v>1</x:v>
      </x:c>
      <x:c r="K816" s="1" t="str">
        <x:v>中证官方优先</x:v>
      </x:c>
    </x:row>
    <x:row r="817" ht="25" customHeight="1">
      <x:c r="A817" s="1" t="str">
        <x:v>sh000905</x:v>
      </x:c>
      <x:c r="B817" s="1" t="str">
        <x:v>中证500</x:v>
      </x:c>
      <x:c r="C817" s="1" t="str">
        <x:v>2014-11</x:v>
      </x:c>
      <x:c r="D817" s="1" t="str">
        <x:v>2014-10-31</x:v>
      </x:c>
      <x:c r="E817" s="5" t="n">
        <x:v>4986.42</x:v>
      </x:c>
      <x:c r="F817" s="6" t="str">
        <x:v>2014-11-28</x:v>
      </x:c>
      <x:c r="G817" s="5" t="n">
        <x:v>5245.27</x:v>
      </x:c>
      <x:c r="H817" s="7" t="n">
        <x:f>G817/E817-1</x:f>
        <x:v>0.05191099024951784</x:v>
      </x:c>
      <x:c r="I817" s="1" t="n">
        <x:v>1</x:v>
      </x:c>
      <x:c r="J817" s="1" t="n">
        <x:v>1</x:v>
      </x:c>
      <x:c r="K817" s="1" t="str">
        <x:v>中证官方优先</x:v>
      </x:c>
    </x:row>
    <x:row r="818" ht="25" customHeight="1">
      <x:c r="A818" s="1" t="str">
        <x:v>sh000905</x:v>
      </x:c>
      <x:c r="B818" s="1" t="str">
        <x:v>中证500</x:v>
      </x:c>
      <x:c r="C818" s="1" t="str">
        <x:v>2014-12</x:v>
      </x:c>
      <x:c r="D818" s="1" t="str">
        <x:v>2014-11-28</x:v>
      </x:c>
      <x:c r="E818" s="5" t="n">
        <x:v>5245.27</x:v>
      </x:c>
      <x:c r="F818" s="6" t="str">
        <x:v>2014-12-31</x:v>
      </x:c>
      <x:c r="G818" s="5" t="n">
        <x:v>5322.71</x:v>
      </x:c>
      <x:c r="H818" s="7" t="n">
        <x:f>G818/E818-1</x:f>
        <x:v>0.014763777651102705</x:v>
      </x:c>
      <x:c r="I818" s="1" t="n">
        <x:v>1</x:v>
      </x:c>
      <x:c r="J818" s="1" t="n">
        <x:v>1</x:v>
      </x:c>
      <x:c r="K818" s="1" t="str">
        <x:v>中证官方优先</x:v>
      </x:c>
    </x:row>
    <x:row r="819" ht="25" customHeight="1">
      <x:c r="A819" s="1" t="str">
        <x:v>sh000905</x:v>
      </x:c>
      <x:c r="B819" s="1" t="str">
        <x:v>中证500</x:v>
      </x:c>
      <x:c r="C819" s="1" t="str">
        <x:v>2015-01</x:v>
      </x:c>
      <x:c r="D819" s="1" t="str">
        <x:v>2014-12-31</x:v>
      </x:c>
      <x:c r="E819" s="5" t="n">
        <x:v>5322.71</x:v>
      </x:c>
      <x:c r="F819" s="6" t="str">
        <x:v>2015-01-30</x:v>
      </x:c>
      <x:c r="G819" s="5" t="n">
        <x:v>5632.73</x:v>
      </x:c>
      <x:c r="H819" s="7" t="n">
        <x:f>G819/E819-1</x:f>
        <x:v>0.05824476629386144</x:v>
      </x:c>
      <x:c r="I819" s="1" t="n">
        <x:v>1</x:v>
      </x:c>
      <x:c r="J819" s="1" t="n">
        <x:v>1</x:v>
      </x:c>
      <x:c r="K819" s="1" t="str">
        <x:v>中证官方优先</x:v>
      </x:c>
    </x:row>
    <x:row r="820" ht="25" customHeight="1">
      <x:c r="A820" s="1" t="str">
        <x:v>sh000905</x:v>
      </x:c>
      <x:c r="B820" s="1" t="str">
        <x:v>中证500</x:v>
      </x:c>
      <x:c r="C820" s="1" t="str">
        <x:v>2015-02</x:v>
      </x:c>
      <x:c r="D820" s="1" t="str">
        <x:v>2015-01-30</x:v>
      </x:c>
      <x:c r="E820" s="5" t="n">
        <x:v>5632.73</x:v>
      </x:c>
      <x:c r="F820" s="6" t="str">
        <x:v>2015-02-27</x:v>
      </x:c>
      <x:c r="G820" s="5" t="n">
        <x:v>6018.46</x:v>
      </x:c>
      <x:c r="H820" s="7" t="n">
        <x:f>G820/E820-1</x:f>
        <x:v>0.0684801153259611</x:v>
      </x:c>
      <x:c r="I820" s="1" t="n">
        <x:v>1</x:v>
      </x:c>
      <x:c r="J820" s="1" t="n">
        <x:v>1</x:v>
      </x:c>
      <x:c r="K820" s="1" t="str">
        <x:v>中证官方优先</x:v>
      </x:c>
    </x:row>
    <x:row r="821" ht="25" customHeight="1">
      <x:c r="A821" s="1" t="str">
        <x:v>sh000905</x:v>
      </x:c>
      <x:c r="B821" s="1" t="str">
        <x:v>中证500</x:v>
      </x:c>
      <x:c r="C821" s="1" t="str">
        <x:v>2015-03</x:v>
      </x:c>
      <x:c r="D821" s="1" t="str">
        <x:v>2015-02-27</x:v>
      </x:c>
      <x:c r="E821" s="5" t="n">
        <x:v>6018.46</x:v>
      </x:c>
      <x:c r="F821" s="6" t="str">
        <x:v>2015-03-31</x:v>
      </x:c>
      <x:c r="G821" s="5" t="n">
        <x:v>7253.1</x:v>
      </x:c>
      <x:c r="H821" s="7" t="n">
        <x:f>G821/E821-1</x:f>
        <x:v>0.20514217922857347</x:v>
      </x:c>
      <x:c r="I821" s="1" t="n">
        <x:v>1</x:v>
      </x:c>
      <x:c r="J821" s="1" t="n">
        <x:v>1</x:v>
      </x:c>
      <x:c r="K821" s="1" t="str">
        <x:v>中证官方优先</x:v>
      </x:c>
    </x:row>
    <x:row r="822" ht="25" customHeight="1">
      <x:c r="A822" s="1" t="str">
        <x:v>sh000905</x:v>
      </x:c>
      <x:c r="B822" s="1" t="str">
        <x:v>中证500</x:v>
      </x:c>
      <x:c r="C822" s="1" t="str">
        <x:v>2015-04</x:v>
      </x:c>
      <x:c r="D822" s="1" t="str">
        <x:v>2015-03-31</x:v>
      </x:c>
      <x:c r="E822" s="5" t="n">
        <x:v>7253.1</x:v>
      </x:c>
      <x:c r="F822" s="6" t="str">
        <x:v>2015-04-30</x:v>
      </x:c>
      <x:c r="G822" s="5" t="n">
        <x:v>8469.67</x:v>
      </x:c>
      <x:c r="H822" s="7" t="n">
        <x:f>G822/E822-1</x:f>
        <x:v>0.16773103914188403</x:v>
      </x:c>
      <x:c r="I822" s="1" t="n">
        <x:v>1</x:v>
      </x:c>
      <x:c r="J822" s="1" t="n">
        <x:v>1</x:v>
      </x:c>
      <x:c r="K822" s="1" t="str">
        <x:v>中证官方优先</x:v>
      </x:c>
    </x:row>
    <x:row r="823" ht="25" customHeight="1">
      <x:c r="A823" s="1" t="str">
        <x:v>sh000905</x:v>
      </x:c>
      <x:c r="B823" s="1" t="str">
        <x:v>中证500</x:v>
      </x:c>
      <x:c r="C823" s="1" t="str">
        <x:v>2015-05</x:v>
      </x:c>
      <x:c r="D823" s="1" t="str">
        <x:v>2015-04-30</x:v>
      </x:c>
      <x:c r="E823" s="5" t="n">
        <x:v>8469.67</x:v>
      </x:c>
      <x:c r="F823" s="6" t="str">
        <x:v>2015-05-29</x:v>
      </x:c>
      <x:c r="G823" s="5" t="n">
        <x:v>9966.85</x:v>
      </x:c>
      <x:c r="H823" s="7" t="n">
        <x:f>G823/E823-1</x:f>
        <x:v>0.17676957898005474</x:v>
      </x:c>
      <x:c r="I823" s="1" t="n">
        <x:v>1</x:v>
      </x:c>
      <x:c r="J823" s="1" t="n">
        <x:v>1</x:v>
      </x:c>
      <x:c r="K823" s="1" t="str">
        <x:v>中证官方优先</x:v>
      </x:c>
    </x:row>
    <x:row r="824" ht="25" customHeight="1">
      <x:c r="A824" s="1" t="str">
        <x:v>sh000905</x:v>
      </x:c>
      <x:c r="B824" s="1" t="str">
        <x:v>中证500</x:v>
      </x:c>
      <x:c r="C824" s="1" t="str">
        <x:v>2015-06</x:v>
      </x:c>
      <x:c r="D824" s="1" t="str">
        <x:v>2015-05-29</x:v>
      </x:c>
      <x:c r="E824" s="5" t="n">
        <x:v>9966.85</x:v>
      </x:c>
      <x:c r="F824" s="6" t="str">
        <x:v>2015-06-30</x:v>
      </x:c>
      <x:c r="G824" s="5" t="n">
        <x:v>8906.02</x:v>
      </x:c>
      <x:c r="H824" s="7" t="n">
        <x:f>G824/E824-1</x:f>
        <x:v>-0.10643583479233654</x:v>
      </x:c>
      <x:c r="I824" s="1" t="n">
        <x:v>1</x:v>
      </x:c>
      <x:c r="J824" s="1" t="n">
        <x:v>1</x:v>
      </x:c>
      <x:c r="K824" s="1" t="str">
        <x:v>中证官方优先</x:v>
      </x:c>
    </x:row>
    <x:row r="825" ht="25" customHeight="1">
      <x:c r="A825" s="1" t="str">
        <x:v>sh000905</x:v>
      </x:c>
      <x:c r="B825" s="1" t="str">
        <x:v>中证500</x:v>
      </x:c>
      <x:c r="C825" s="1" t="str">
        <x:v>2015-07</x:v>
      </x:c>
      <x:c r="D825" s="1" t="str">
        <x:v>2015-06-30</x:v>
      </x:c>
      <x:c r="E825" s="5" t="n">
        <x:v>8906.02</x:v>
      </x:c>
      <x:c r="F825" s="6" t="str">
        <x:v>2015-07-31</x:v>
      </x:c>
      <x:c r="G825" s="5" t="n">
        <x:v>7727.06</x:v>
      </x:c>
      <x:c r="H825" s="7" t="n">
        <x:f>G825/E825-1</x:f>
        <x:v>-0.13237787474090557</x:v>
      </x:c>
      <x:c r="I825" s="1" t="n">
        <x:v>1</x:v>
      </x:c>
      <x:c r="J825" s="1" t="n">
        <x:v>1</x:v>
      </x:c>
      <x:c r="K825" s="1" t="str">
        <x:v>中证官方优先</x:v>
      </x:c>
    </x:row>
    <x:row r="826" ht="25" customHeight="1">
      <x:c r="A826" s="1" t="str">
        <x:v>sh000905</x:v>
      </x:c>
      <x:c r="B826" s="1" t="str">
        <x:v>中证500</x:v>
      </x:c>
      <x:c r="C826" s="1" t="str">
        <x:v>2015-08</x:v>
      </x:c>
      <x:c r="D826" s="1" t="str">
        <x:v>2015-07-31</x:v>
      </x:c>
      <x:c r="E826" s="5" t="n">
        <x:v>7727.06</x:v>
      </x:c>
      <x:c r="F826" s="6" t="str">
        <x:v>2015-08-31</x:v>
      </x:c>
      <x:c r="G826" s="5" t="n">
        <x:v>6581.31</x:v>
      </x:c>
      <x:c r="H826" s="7" t="n">
        <x:f>G826/E826-1</x:f>
        <x:v>-0.14827761140718465</x:v>
      </x:c>
      <x:c r="I826" s="1" t="n">
        <x:v>1</x:v>
      </x:c>
      <x:c r="J826" s="1" t="n">
        <x:v>1</x:v>
      </x:c>
      <x:c r="K826" s="1" t="str">
        <x:v>中证官方优先</x:v>
      </x:c>
    </x:row>
    <x:row r="827" ht="25" customHeight="1">
      <x:c r="A827" s="1" t="str">
        <x:v>sh000905</x:v>
      </x:c>
      <x:c r="B827" s="1" t="str">
        <x:v>中证500</x:v>
      </x:c>
      <x:c r="C827" s="1" t="str">
        <x:v>2015-09</x:v>
      </x:c>
      <x:c r="D827" s="1" t="str">
        <x:v>2015-08-31</x:v>
      </x:c>
      <x:c r="E827" s="5" t="n">
        <x:v>6581.31</x:v>
      </x:c>
      <x:c r="F827" s="6" t="str">
        <x:v>2015-09-30</x:v>
      </x:c>
      <x:c r="G827" s="5" t="n">
        <x:v>6123.73</x:v>
      </x:c>
      <x:c r="H827" s="7" t="n">
        <x:f>G827/E827-1</x:f>
        <x:v>-0.06952719139502639</x:v>
      </x:c>
      <x:c r="I827" s="1" t="n">
        <x:v>1</x:v>
      </x:c>
      <x:c r="J827" s="1" t="n">
        <x:v>1</x:v>
      </x:c>
      <x:c r="K827" s="1" t="str">
        <x:v>中证官方优先</x:v>
      </x:c>
    </x:row>
    <x:row r="828" ht="25" customHeight="1">
      <x:c r="A828" s="1" t="str">
        <x:v>sh000905</x:v>
      </x:c>
      <x:c r="B828" s="1" t="str">
        <x:v>中证500</x:v>
      </x:c>
      <x:c r="C828" s="1" t="str">
        <x:v>2015-10</x:v>
      </x:c>
      <x:c r="D828" s="1" t="str">
        <x:v>2015-09-30</x:v>
      </x:c>
      <x:c r="E828" s="5" t="n">
        <x:v>6123.73</x:v>
      </x:c>
      <x:c r="F828" s="6" t="str">
        <x:v>2015-10-30</x:v>
      </x:c>
      <x:c r="G828" s="5" t="n">
        <x:v>7084.97</x:v>
      </x:c>
      <x:c r="H828" s="7" t="n">
        <x:f>G828/E828-1</x:f>
        <x:v>0.1569696900418538</x:v>
      </x:c>
      <x:c r="I828" s="1" t="n">
        <x:v>1</x:v>
      </x:c>
      <x:c r="J828" s="1" t="n">
        <x:v>1</x:v>
      </x:c>
      <x:c r="K828" s="1" t="str">
        <x:v>中证官方优先</x:v>
      </x:c>
    </x:row>
    <x:row r="829" ht="25" customHeight="1">
      <x:c r="A829" s="1" t="str">
        <x:v>sh000905</x:v>
      </x:c>
      <x:c r="B829" s="1" t="str">
        <x:v>中证500</x:v>
      </x:c>
      <x:c r="C829" s="1" t="str">
        <x:v>2015-11</x:v>
      </x:c>
      <x:c r="D829" s="1" t="str">
        <x:v>2015-10-30</x:v>
      </x:c>
      <x:c r="E829" s="5" t="n">
        <x:v>7084.97</x:v>
      </x:c>
      <x:c r="F829" s="6" t="str">
        <x:v>2015-11-30</x:v>
      </x:c>
      <x:c r="G829" s="5" t="n">
        <x:v>7408.4</x:v>
      </x:c>
      <x:c r="H829" s="7" t="n">
        <x:f>G829/E829-1</x:f>
        <x:v>0.04565015801054906</x:v>
      </x:c>
      <x:c r="I829" s="1" t="n">
        <x:v>1</x:v>
      </x:c>
      <x:c r="J829" s="1" t="n">
        <x:v>1</x:v>
      </x:c>
      <x:c r="K829" s="1" t="str">
        <x:v>中证官方优先</x:v>
      </x:c>
    </x:row>
    <x:row r="830" ht="25" customHeight="1">
      <x:c r="A830" s="1" t="str">
        <x:v>sh000905</x:v>
      </x:c>
      <x:c r="B830" s="1" t="str">
        <x:v>中证500</x:v>
      </x:c>
      <x:c r="C830" s="1" t="str">
        <x:v>2015-12</x:v>
      </x:c>
      <x:c r="D830" s="1" t="str">
        <x:v>2015-11-30</x:v>
      </x:c>
      <x:c r="E830" s="5" t="n">
        <x:v>7408.4</x:v>
      </x:c>
      <x:c r="F830" s="6" t="str">
        <x:v>2015-12-31</x:v>
      </x:c>
      <x:c r="G830" s="5" t="n">
        <x:v>7617.69</x:v>
      </x:c>
      <x:c r="H830" s="7" t="n">
        <x:f>G830/E830-1</x:f>
        <x:v>0.02825036445116358</x:v>
      </x:c>
      <x:c r="I830" s="1" t="n">
        <x:v>1</x:v>
      </x:c>
      <x:c r="J830" s="1" t="n">
        <x:v>1</x:v>
      </x:c>
      <x:c r="K830" s="1" t="str">
        <x:v>中证官方优先</x:v>
      </x:c>
    </x:row>
    <x:row r="831" ht="25" customHeight="1">
      <x:c r="A831" s="1" t="str">
        <x:v>sh000905</x:v>
      </x:c>
      <x:c r="B831" s="1" t="str">
        <x:v>中证500</x:v>
      </x:c>
      <x:c r="C831" s="1" t="str">
        <x:v>2016-01</x:v>
      </x:c>
      <x:c r="D831" s="1" t="str">
        <x:v>2015-12-31</x:v>
      </x:c>
      <x:c r="E831" s="5" t="n">
        <x:v>7617.69</x:v>
      </x:c>
      <x:c r="F831" s="6" t="str">
        <x:v>2016-01-29</x:v>
      </x:c>
      <x:c r="G831" s="5" t="n">
        <x:v>5469.13</x:v>
      </x:c>
      <x:c r="H831" s="7" t="n">
        <x:f>G831/E831-1</x:f>
        <x:v>-0.2820487575629882</x:v>
      </x:c>
      <x:c r="I831" s="1" t="n">
        <x:v>1</x:v>
      </x:c>
      <x:c r="J831" s="1" t="n">
        <x:v>1</x:v>
      </x:c>
      <x:c r="K831" s="1" t="str">
        <x:v>中证官方优先</x:v>
      </x:c>
    </x:row>
    <x:row r="832" ht="25" customHeight="1">
      <x:c r="A832" s="1" t="str">
        <x:v>sh000905</x:v>
      </x:c>
      <x:c r="B832" s="1" t="str">
        <x:v>中证500</x:v>
      </x:c>
      <x:c r="C832" s="1" t="str">
        <x:v>2016-02</x:v>
      </x:c>
      <x:c r="D832" s="1" t="str">
        <x:v>2016-01-29</x:v>
      </x:c>
      <x:c r="E832" s="5" t="n">
        <x:v>5469.13</x:v>
      </x:c>
      <x:c r="F832" s="6" t="str">
        <x:v>2016-02-29</x:v>
      </x:c>
      <x:c r="G832" s="5" t="n">
        <x:v>5350.43</x:v>
      </x:c>
      <x:c r="H832" s="7" t="n">
        <x:f>G832/E832-1</x:f>
        <x:v>-0.021703634764578594</x:v>
      </x:c>
      <x:c r="I832" s="1" t="n">
        <x:v>1</x:v>
      </x:c>
      <x:c r="J832" s="1" t="n">
        <x:v>1</x:v>
      </x:c>
      <x:c r="K832" s="1" t="str">
        <x:v>中证官方优先</x:v>
      </x:c>
    </x:row>
    <x:row r="833" ht="25" customHeight="1">
      <x:c r="A833" s="1" t="str">
        <x:v>sh000905</x:v>
      </x:c>
      <x:c r="B833" s="1" t="str">
        <x:v>中证500</x:v>
      </x:c>
      <x:c r="C833" s="1" t="str">
        <x:v>2016-03</x:v>
      </x:c>
      <x:c r="D833" s="1" t="str">
        <x:v>2016-02-29</x:v>
      </x:c>
      <x:c r="E833" s="5" t="n">
        <x:v>5350.43</x:v>
      </x:c>
      <x:c r="F833" s="6" t="str">
        <x:v>2016-03-31</x:v>
      </x:c>
      <x:c r="G833" s="5" t="n">
        <x:v>6155.81</x:v>
      </x:c>
      <x:c r="H833" s="7" t="n">
        <x:f>G833/E833-1</x:f>
        <x:v>0.1505262193879744</x:v>
      </x:c>
      <x:c r="I833" s="1" t="n">
        <x:v>1</x:v>
      </x:c>
      <x:c r="J833" s="1" t="n">
        <x:v>1</x:v>
      </x:c>
      <x:c r="K833" s="1" t="str">
        <x:v>中证官方优先</x:v>
      </x:c>
    </x:row>
    <x:row r="834" ht="25" customHeight="1">
      <x:c r="A834" s="1" t="str">
        <x:v>sh000905</x:v>
      </x:c>
      <x:c r="B834" s="1" t="str">
        <x:v>中证500</x:v>
      </x:c>
      <x:c r="C834" s="1" t="str">
        <x:v>2016-04</x:v>
      </x:c>
      <x:c r="D834" s="1" t="str">
        <x:v>2016-03-31</x:v>
      </x:c>
      <x:c r="E834" s="5" t="n">
        <x:v>6155.81</x:v>
      </x:c>
      <x:c r="F834" s="6" t="str">
        <x:v>2016-04-29</x:v>
      </x:c>
      <x:c r="G834" s="5" t="n">
        <x:v>5985.59</x:v>
      </x:c>
      <x:c r="H834" s="7" t="n">
        <x:f>G834/E834-1</x:f>
        <x:v>-0.02765192557924956</x:v>
      </x:c>
      <x:c r="I834" s="1" t="n">
        <x:v>1</x:v>
      </x:c>
      <x:c r="J834" s="1" t="n">
        <x:v>1</x:v>
      </x:c>
      <x:c r="K834" s="1" t="str">
        <x:v>中证官方优先</x:v>
      </x:c>
    </x:row>
    <x:row r="835" ht="25" customHeight="1">
      <x:c r="A835" s="1" t="str">
        <x:v>sh000905</x:v>
      </x:c>
      <x:c r="B835" s="1" t="str">
        <x:v>中证500</x:v>
      </x:c>
      <x:c r="C835" s="1" t="str">
        <x:v>2016-05</x:v>
      </x:c>
      <x:c r="D835" s="1" t="str">
        <x:v>2016-04-29</x:v>
      </x:c>
      <x:c r="E835" s="5" t="n">
        <x:v>5985.59</x:v>
      </x:c>
      <x:c r="F835" s="6" t="str">
        <x:v>2016-05-31</x:v>
      </x:c>
      <x:c r="G835" s="5" t="n">
        <x:v>5947.32</x:v>
      </x:c>
      <x:c r="H835" s="7" t="n">
        <x:f>G835/E835-1</x:f>
        <x:v>-0.006393688842703971</x:v>
      </x:c>
      <x:c r="I835" s="1" t="n">
        <x:v>1</x:v>
      </x:c>
      <x:c r="J835" s="1" t="n">
        <x:v>1</x:v>
      </x:c>
      <x:c r="K835" s="1" t="str">
        <x:v>中证官方优先</x:v>
      </x:c>
    </x:row>
    <x:row r="836" ht="25" customHeight="1">
      <x:c r="A836" s="1" t="str">
        <x:v>sh000905</x:v>
      </x:c>
      <x:c r="B836" s="1" t="str">
        <x:v>中证500</x:v>
      </x:c>
      <x:c r="C836" s="1" t="str">
        <x:v>2016-06</x:v>
      </x:c>
      <x:c r="D836" s="1" t="str">
        <x:v>2016-05-31</x:v>
      </x:c>
      <x:c r="E836" s="5" t="n">
        <x:v>5947.32</x:v>
      </x:c>
      <x:c r="F836" s="6" t="str">
        <x:v>2016-06-30</x:v>
      </x:c>
      <x:c r="G836" s="5" t="n">
        <x:v>6123.49</x:v>
      </x:c>
      <x:c r="H836" s="7" t="n">
        <x:f>G836/E836-1</x:f>
        <x:v>0.029621745592973037</x:v>
      </x:c>
      <x:c r="I836" s="1" t="n">
        <x:v>1</x:v>
      </x:c>
      <x:c r="J836" s="1" t="n">
        <x:v>1</x:v>
      </x:c>
      <x:c r="K836" s="1" t="str">
        <x:v>中证官方优先</x:v>
      </x:c>
    </x:row>
    <x:row r="837" ht="25" customHeight="1">
      <x:c r="A837" s="1" t="str">
        <x:v>sh000905</x:v>
      </x:c>
      <x:c r="B837" s="1" t="str">
        <x:v>中证500</x:v>
      </x:c>
      <x:c r="C837" s="1" t="str">
        <x:v>2016-07</x:v>
      </x:c>
      <x:c r="D837" s="1" t="str">
        <x:v>2016-06-30</x:v>
      </x:c>
      <x:c r="E837" s="5" t="n">
        <x:v>6123.49</x:v>
      </x:c>
      <x:c r="F837" s="6" t="str">
        <x:v>2016-07-29</x:v>
      </x:c>
      <x:c r="G837" s="5" t="n">
        <x:v>6202.89</x:v>
      </x:c>
      <x:c r="H837" s="7" t="n">
        <x:f>G837/E837-1</x:f>
        <x:v>0.012966461935922213</x:v>
      </x:c>
      <x:c r="I837" s="1" t="n">
        <x:v>1</x:v>
      </x:c>
      <x:c r="J837" s="1" t="n">
        <x:v>1</x:v>
      </x:c>
      <x:c r="K837" s="1" t="str">
        <x:v>中证官方优先</x:v>
      </x:c>
    </x:row>
    <x:row r="838" ht="25" customHeight="1">
      <x:c r="A838" s="1" t="str">
        <x:v>sh000905</x:v>
      </x:c>
      <x:c r="B838" s="1" t="str">
        <x:v>中证500</x:v>
      </x:c>
      <x:c r="C838" s="1" t="str">
        <x:v>2016-08</x:v>
      </x:c>
      <x:c r="D838" s="1" t="str">
        <x:v>2016-07-29</x:v>
      </x:c>
      <x:c r="E838" s="5" t="n">
        <x:v>6202.89</x:v>
      </x:c>
      <x:c r="F838" s="6" t="str">
        <x:v>2016-08-31</x:v>
      </x:c>
      <x:c r="G838" s="5" t="n">
        <x:v>6434.21</x:v>
      </x:c>
      <x:c r="H838" s="7" t="n">
        <x:f>G838/E838-1</x:f>
        <x:v>0.03729229439825632</x:v>
      </x:c>
      <x:c r="I838" s="1" t="n">
        <x:v>1</x:v>
      </x:c>
      <x:c r="J838" s="1" t="n">
        <x:v>1</x:v>
      </x:c>
      <x:c r="K838" s="1" t="str">
        <x:v>中证官方优先</x:v>
      </x:c>
    </x:row>
    <x:row r="839" ht="25" customHeight="1">
      <x:c r="A839" s="1" t="str">
        <x:v>sh000905</x:v>
      </x:c>
      <x:c r="B839" s="1" t="str">
        <x:v>中证500</x:v>
      </x:c>
      <x:c r="C839" s="1" t="str">
        <x:v>2016-09</x:v>
      </x:c>
      <x:c r="D839" s="1" t="str">
        <x:v>2016-08-31</x:v>
      </x:c>
      <x:c r="E839" s="5" t="n">
        <x:v>6434.21</x:v>
      </x:c>
      <x:c r="F839" s="6" t="str">
        <x:v>2016-09-30</x:v>
      </x:c>
      <x:c r="G839" s="5" t="n">
        <x:v>6328.09</x:v>
      </x:c>
      <x:c r="H839" s="7" t="n">
        <x:f>G839/E839-1</x:f>
        <x:v>-0.01649308928368831</x:v>
      </x:c>
      <x:c r="I839" s="1" t="n">
        <x:v>1</x:v>
      </x:c>
      <x:c r="J839" s="1" t="n">
        <x:v>1</x:v>
      </x:c>
      <x:c r="K839" s="1" t="str">
        <x:v>中证官方优先</x:v>
      </x:c>
    </x:row>
    <x:row r="840" ht="25" customHeight="1">
      <x:c r="A840" s="1" t="str">
        <x:v>sh000905</x:v>
      </x:c>
      <x:c r="B840" s="1" t="str">
        <x:v>中证500</x:v>
      </x:c>
      <x:c r="C840" s="1" t="str">
        <x:v>2016-10</x:v>
      </x:c>
      <x:c r="D840" s="1" t="str">
        <x:v>2016-09-30</x:v>
      </x:c>
      <x:c r="E840" s="5" t="n">
        <x:v>6328.09</x:v>
      </x:c>
      <x:c r="F840" s="6" t="str">
        <x:v>2016-10-31</x:v>
      </x:c>
      <x:c r="G840" s="5" t="n">
        <x:v>6452.21</x:v>
      </x:c>
      <x:c r="H840" s="7" t="n">
        <x:f>G840/E840-1</x:f>
        <x:v>0.01961413317446503</x:v>
      </x:c>
      <x:c r="I840" s="1" t="n">
        <x:v>1</x:v>
      </x:c>
      <x:c r="J840" s="1" t="n">
        <x:v>1</x:v>
      </x:c>
      <x:c r="K840" s="1" t="str">
        <x:v>中证官方优先</x:v>
      </x:c>
    </x:row>
    <x:row r="841" ht="25" customHeight="1">
      <x:c r="A841" s="1" t="str">
        <x:v>sh000905</x:v>
      </x:c>
      <x:c r="B841" s="1" t="str">
        <x:v>中证500</x:v>
      </x:c>
      <x:c r="C841" s="1" t="str">
        <x:v>2016-11</x:v>
      </x:c>
      <x:c r="D841" s="1" t="str">
        <x:v>2016-10-31</x:v>
      </x:c>
      <x:c r="E841" s="5" t="n">
        <x:v>6452.21</x:v>
      </x:c>
      <x:c r="F841" s="6" t="str">
        <x:v>2016-11-30</x:v>
      </x:c>
      <x:c r="G841" s="5" t="n">
        <x:v>6585.58</x:v>
      </x:c>
      <x:c r="H841" s="7" t="n">
        <x:f>G841/E841-1</x:f>
        <x:v>0.02067043695106019</x:v>
      </x:c>
      <x:c r="I841" s="1" t="n">
        <x:v>1</x:v>
      </x:c>
      <x:c r="J841" s="1" t="n">
        <x:v>1</x:v>
      </x:c>
      <x:c r="K841" s="1" t="str">
        <x:v>中证官方优先</x:v>
      </x:c>
    </x:row>
    <x:row r="842" ht="25" customHeight="1">
      <x:c r="A842" s="1" t="str">
        <x:v>sh000905</x:v>
      </x:c>
      <x:c r="B842" s="1" t="str">
        <x:v>中证500</x:v>
      </x:c>
      <x:c r="C842" s="1" t="str">
        <x:v>2016-12</x:v>
      </x:c>
      <x:c r="D842" s="1" t="str">
        <x:v>2016-11-30</x:v>
      </x:c>
      <x:c r="E842" s="5" t="n">
        <x:v>6585.58</x:v>
      </x:c>
      <x:c r="F842" s="6" t="str">
        <x:v>2016-12-30</x:v>
      </x:c>
      <x:c r="G842" s="5" t="n">
        <x:v>6263.63</x:v>
      </x:c>
      <x:c r="H842" s="7" t="n">
        <x:f>G842/E842-1</x:f>
        <x:v>-0.048887113967182816</x:v>
      </x:c>
      <x:c r="I842" s="1" t="n">
        <x:v>1</x:v>
      </x:c>
      <x:c r="J842" s="1" t="n">
        <x:v>1</x:v>
      </x:c>
      <x:c r="K842" s="1" t="str">
        <x:v>中证官方优先</x:v>
      </x:c>
    </x:row>
    <x:row r="843" ht="25" customHeight="1">
      <x:c r="A843" s="1" t="str">
        <x:v>sh000905</x:v>
      </x:c>
      <x:c r="B843" s="1" t="str">
        <x:v>中证500</x:v>
      </x:c>
      <x:c r="C843" s="1" t="str">
        <x:v>2017-01</x:v>
      </x:c>
      <x:c r="D843" s="1" t="str">
        <x:v>2016-12-30</x:v>
      </x:c>
      <x:c r="E843" s="5" t="n">
        <x:v>6263.63</x:v>
      </x:c>
      <x:c r="F843" s="6" t="str">
        <x:v>2017-01-26</x:v>
      </x:c>
      <x:c r="G843" s="5" t="n">
        <x:v>6223.71</x:v>
      </x:c>
      <x:c r="H843" s="7" t="n">
        <x:f>G843/E843-1</x:f>
        <x:v>-0.00637330110495038</x:v>
      </x:c>
      <x:c r="I843" s="1" t="n">
        <x:v>1</x:v>
      </x:c>
      <x:c r="J843" s="1" t="n">
        <x:v>1</x:v>
      </x:c>
      <x:c r="K843" s="1" t="str">
        <x:v>中证官方优先</x:v>
      </x:c>
    </x:row>
    <x:row r="844" ht="25" customHeight="1">
      <x:c r="A844" s="1" t="str">
        <x:v>sh000905</x:v>
      </x:c>
      <x:c r="B844" s="1" t="str">
        <x:v>中证500</x:v>
      </x:c>
      <x:c r="C844" s="1" t="str">
        <x:v>2017-02</x:v>
      </x:c>
      <x:c r="D844" s="1" t="str">
        <x:v>2017-01-26</x:v>
      </x:c>
      <x:c r="E844" s="5" t="n">
        <x:v>6223.71</x:v>
      </x:c>
      <x:c r="F844" s="6" t="str">
        <x:v>2017-02-28</x:v>
      </x:c>
      <x:c r="G844" s="5" t="n">
        <x:v>6450.97</x:v>
      </x:c>
      <x:c r="H844" s="7" t="n">
        <x:f>G844/E844-1</x:f>
        <x:v>0.03651519752687715</x:v>
      </x:c>
      <x:c r="I844" s="1" t="n">
        <x:v>1</x:v>
      </x:c>
      <x:c r="J844" s="1" t="n">
        <x:v>1</x:v>
      </x:c>
      <x:c r="K844" s="1" t="str">
        <x:v>中证官方优先</x:v>
      </x:c>
    </x:row>
    <x:row r="845" ht="25" customHeight="1">
      <x:c r="A845" s="1" t="str">
        <x:v>sh000905</x:v>
      </x:c>
      <x:c r="B845" s="1" t="str">
        <x:v>中证500</x:v>
      </x:c>
      <x:c r="C845" s="1" t="str">
        <x:v>2017-03</x:v>
      </x:c>
      <x:c r="D845" s="1" t="str">
        <x:v>2017-02-28</x:v>
      </x:c>
      <x:c r="E845" s="5" t="n">
        <x:v>6450.97</x:v>
      </x:c>
      <x:c r="F845" s="6" t="str">
        <x:v>2017-03-31</x:v>
      </x:c>
      <x:c r="G845" s="5" t="n">
        <x:v>6401.65</x:v>
      </x:c>
      <x:c r="H845" s="7" t="n">
        <x:f>G845/E845-1</x:f>
        <x:v>-0.0076453618603095075</x:v>
      </x:c>
      <x:c r="I845" s="1" t="n">
        <x:v>1</x:v>
      </x:c>
      <x:c r="J845" s="1" t="n">
        <x:v>1</x:v>
      </x:c>
      <x:c r="K845" s="1" t="str">
        <x:v>中证官方优先</x:v>
      </x:c>
    </x:row>
    <x:row r="846" ht="25" customHeight="1">
      <x:c r="A846" s="1" t="str">
        <x:v>sh000905</x:v>
      </x:c>
      <x:c r="B846" s="1" t="str">
        <x:v>中证500</x:v>
      </x:c>
      <x:c r="C846" s="1" t="str">
        <x:v>2017-04</x:v>
      </x:c>
      <x:c r="D846" s="1" t="str">
        <x:v>2017-03-31</x:v>
      </x:c>
      <x:c r="E846" s="5" t="n">
        <x:v>6401.65</x:v>
      </x:c>
      <x:c r="F846" s="6" t="str">
        <x:v>2017-04-28</x:v>
      </x:c>
      <x:c r="G846" s="5" t="n">
        <x:v>6211.86</x:v>
      </x:c>
      <x:c r="H846" s="7" t="n">
        <x:f>G846/E846-1</x:f>
        <x:v>-0.029647044121437482</x:v>
      </x:c>
      <x:c r="I846" s="1" t="n">
        <x:v>1</x:v>
      </x:c>
      <x:c r="J846" s="1" t="n">
        <x:v>1</x:v>
      </x:c>
      <x:c r="K846" s="1" t="str">
        <x:v>中证官方优先</x:v>
      </x:c>
    </x:row>
    <x:row r="847" ht="25" customHeight="1">
      <x:c r="A847" s="1" t="str">
        <x:v>sh000905</x:v>
      </x:c>
      <x:c r="B847" s="1" t="str">
        <x:v>中证500</x:v>
      </x:c>
      <x:c r="C847" s="1" t="str">
        <x:v>2017-05</x:v>
      </x:c>
      <x:c r="D847" s="1" t="str">
        <x:v>2017-04-28</x:v>
      </x:c>
      <x:c r="E847" s="5" t="n">
        <x:v>6211.86</x:v>
      </x:c>
      <x:c r="F847" s="6" t="str">
        <x:v>2017-05-31</x:v>
      </x:c>
      <x:c r="G847" s="5" t="n">
        <x:v>5824.1</x:v>
      </x:c>
      <x:c r="H847" s="7" t="n">
        <x:f>G847/E847-1</x:f>
        <x:v>-0.06242252723016928</x:v>
      </x:c>
      <x:c r="I847" s="1" t="n">
        <x:v>1</x:v>
      </x:c>
      <x:c r="J847" s="1" t="n">
        <x:v>1</x:v>
      </x:c>
      <x:c r="K847" s="1" t="str">
        <x:v>中证官方优先</x:v>
      </x:c>
    </x:row>
    <x:row r="848" ht="25" customHeight="1">
      <x:c r="A848" s="1" t="str">
        <x:v>sh000905</x:v>
      </x:c>
      <x:c r="B848" s="1" t="str">
        <x:v>中证500</x:v>
      </x:c>
      <x:c r="C848" s="1" t="str">
        <x:v>2017-06</x:v>
      </x:c>
      <x:c r="D848" s="1" t="str">
        <x:v>2017-05-31</x:v>
      </x:c>
      <x:c r="E848" s="5" t="n">
        <x:v>5824.1</x:v>
      </x:c>
      <x:c r="F848" s="6" t="str">
        <x:v>2017-06-30</x:v>
      </x:c>
      <x:c r="G848" s="5" t="n">
        <x:v>6138.16</x:v>
      </x:c>
      <x:c r="H848" s="7" t="n">
        <x:f>G848/E848-1</x:f>
        <x:v>0.05392421146614912</x:v>
      </x:c>
      <x:c r="I848" s="1" t="n">
        <x:v>1</x:v>
      </x:c>
      <x:c r="J848" s="1" t="n">
        <x:v>1</x:v>
      </x:c>
      <x:c r="K848" s="1" t="str">
        <x:v>中证官方优先</x:v>
      </x:c>
    </x:row>
    <x:row r="849" ht="25" customHeight="1">
      <x:c r="A849" s="1" t="str">
        <x:v>sh000905</x:v>
      </x:c>
      <x:c r="B849" s="1" t="str">
        <x:v>中证500</x:v>
      </x:c>
      <x:c r="C849" s="1" t="str">
        <x:v>2017-07</x:v>
      </x:c>
      <x:c r="D849" s="1" t="str">
        <x:v>2017-06-30</x:v>
      </x:c>
      <x:c r="E849" s="5" t="n">
        <x:v>6138.16</x:v>
      </x:c>
      <x:c r="F849" s="6" t="str">
        <x:v>2017-07-31</x:v>
      </x:c>
      <x:c r="G849" s="5" t="n">
        <x:v>6298</x:v>
      </x:c>
      <x:c r="H849" s="7" t="n">
        <x:f>G849/E849-1</x:f>
        <x:v>0.026040376920771102</x:v>
      </x:c>
      <x:c r="I849" s="1" t="n">
        <x:v>1</x:v>
      </x:c>
      <x:c r="J849" s="1" t="n">
        <x:v>1</x:v>
      </x:c>
      <x:c r="K849" s="1" t="str">
        <x:v>中证官方优先</x:v>
      </x:c>
    </x:row>
    <x:row r="850" ht="25" customHeight="1">
      <x:c r="A850" s="1" t="str">
        <x:v>sh000905</x:v>
      </x:c>
      <x:c r="B850" s="1" t="str">
        <x:v>中证500</x:v>
      </x:c>
      <x:c r="C850" s="1" t="str">
        <x:v>2017-08</x:v>
      </x:c>
      <x:c r="D850" s="1" t="str">
        <x:v>2017-07-31</x:v>
      </x:c>
      <x:c r="E850" s="5" t="n">
        <x:v>6298</x:v>
      </x:c>
      <x:c r="F850" s="6" t="str">
        <x:v>2017-08-31</x:v>
      </x:c>
      <x:c r="G850" s="5" t="n">
        <x:v>6470.43</x:v>
      </x:c>
      <x:c r="H850" s="7" t="n">
        <x:f>G850/E850-1</x:f>
        <x:v>0.027378532867577077</x:v>
      </x:c>
      <x:c r="I850" s="1" t="n">
        <x:v>1</x:v>
      </x:c>
      <x:c r="J850" s="1" t="n">
        <x:v>1</x:v>
      </x:c>
      <x:c r="K850" s="1" t="str">
        <x:v>中证官方优先</x:v>
      </x:c>
    </x:row>
    <x:row r="851" ht="25" customHeight="1">
      <x:c r="A851" s="1" t="str">
        <x:v>sh000905</x:v>
      </x:c>
      <x:c r="B851" s="1" t="str">
        <x:v>中证500</x:v>
      </x:c>
      <x:c r="C851" s="1" t="str">
        <x:v>2017-09</x:v>
      </x:c>
      <x:c r="D851" s="1" t="str">
        <x:v>2017-08-31</x:v>
      </x:c>
      <x:c r="E851" s="5" t="n">
        <x:v>6470.43</x:v>
      </x:c>
      <x:c r="F851" s="6" t="str">
        <x:v>2017-09-29</x:v>
      </x:c>
      <x:c r="G851" s="5" t="n">
        <x:v>6603.26</x:v>
      </x:c>
      <x:c r="H851" s="7" t="n">
        <x:f>G851/E851-1</x:f>
        <x:v>0.020528774749127843</x:v>
      </x:c>
      <x:c r="I851" s="1" t="n">
        <x:v>1</x:v>
      </x:c>
      <x:c r="J851" s="1" t="n">
        <x:v>1</x:v>
      </x:c>
      <x:c r="K851" s="1" t="str">
        <x:v>中证官方优先</x:v>
      </x:c>
    </x:row>
    <x:row r="852" ht="25" customHeight="1">
      <x:c r="A852" s="1" t="str">
        <x:v>sh000905</x:v>
      </x:c>
      <x:c r="B852" s="1" t="str">
        <x:v>中证500</x:v>
      </x:c>
      <x:c r="C852" s="1" t="str">
        <x:v>2017-10</x:v>
      </x:c>
      <x:c r="D852" s="1" t="str">
        <x:v>2017-09-29</x:v>
      </x:c>
      <x:c r="E852" s="5" t="n">
        <x:v>6603.26</x:v>
      </x:c>
      <x:c r="F852" s="6" t="str">
        <x:v>2017-10-31</x:v>
      </x:c>
      <x:c r="G852" s="5" t="n">
        <x:v>6560.21</x:v>
      </x:c>
      <x:c r="H852" s="7" t="n">
        <x:f>G852/E852-1</x:f>
        <x:v>-0.006519507031375493</x:v>
      </x:c>
      <x:c r="I852" s="1" t="n">
        <x:v>1</x:v>
      </x:c>
      <x:c r="J852" s="1" t="n">
        <x:v>1</x:v>
      </x:c>
      <x:c r="K852" s="1" t="str">
        <x:v>中证官方优先</x:v>
      </x:c>
    </x:row>
    <x:row r="853" ht="25" customHeight="1">
      <x:c r="A853" s="1" t="str">
        <x:v>sh000905</x:v>
      </x:c>
      <x:c r="B853" s="1" t="str">
        <x:v>中证500</x:v>
      </x:c>
      <x:c r="C853" s="1" t="str">
        <x:v>2017-11</x:v>
      </x:c>
      <x:c r="D853" s="1" t="str">
        <x:v>2017-10-31</x:v>
      </x:c>
      <x:c r="E853" s="5" t="n">
        <x:v>6560.21</x:v>
      </x:c>
      <x:c r="F853" s="6" t="str">
        <x:v>2017-11-30</x:v>
      </x:c>
      <x:c r="G853" s="5" t="n">
        <x:v>6263.42</x:v>
      </x:c>
      <x:c r="H853" s="7" t="n">
        <x:f>G853/E853-1</x:f>
        <x:v>-0.04524092978730865</x:v>
      </x:c>
      <x:c r="I853" s="1" t="n">
        <x:v>1</x:v>
      </x:c>
      <x:c r="J853" s="1" t="n">
        <x:v>1</x:v>
      </x:c>
      <x:c r="K853" s="1" t="str">
        <x:v>中证官方优先</x:v>
      </x:c>
    </x:row>
    <x:row r="854" ht="25" customHeight="1">
      <x:c r="A854" s="1" t="str">
        <x:v>sh000905</x:v>
      </x:c>
      <x:c r="B854" s="1" t="str">
        <x:v>中证500</x:v>
      </x:c>
      <x:c r="C854" s="1" t="str">
        <x:v>2017-12</x:v>
      </x:c>
      <x:c r="D854" s="1" t="str">
        <x:v>2017-11-30</x:v>
      </x:c>
      <x:c r="E854" s="5" t="n">
        <x:v>6263.42</x:v>
      </x:c>
      <x:c r="F854" s="6" t="str">
        <x:v>2017-12-29</x:v>
      </x:c>
      <x:c r="G854" s="5" t="n">
        <x:v>6250.82</x:v>
      </x:c>
      <x:c r="H854" s="7" t="n">
        <x:f>G854/E854-1</x:f>
        <x:v>-0.0020116805195884435</x:v>
      </x:c>
      <x:c r="I854" s="1" t="n">
        <x:v>1</x:v>
      </x:c>
      <x:c r="J854" s="1" t="n">
        <x:v>1</x:v>
      </x:c>
      <x:c r="K854" s="1" t="str">
        <x:v>中证官方优先</x:v>
      </x:c>
    </x:row>
    <x:row r="855" ht="25" customHeight="1">
      <x:c r="A855" s="1" t="str">
        <x:v>sh000905</x:v>
      </x:c>
      <x:c r="B855" s="1" t="str">
        <x:v>中证500</x:v>
      </x:c>
      <x:c r="C855" s="1" t="str">
        <x:v>2018-01</x:v>
      </x:c>
      <x:c r="D855" s="1" t="str">
        <x:v>2017-12-29</x:v>
      </x:c>
      <x:c r="E855" s="5" t="n">
        <x:v>6250.82</x:v>
      </x:c>
      <x:c r="F855" s="6" t="str">
        <x:v>2018-01-31</x:v>
      </x:c>
      <x:c r="G855" s="5" t="n">
        <x:v>6189.34</x:v>
      </x:c>
      <x:c r="H855" s="7" t="n">
        <x:f>G855/E855-1</x:f>
        <x:v>-0.009835509581142876</x:v>
      </x:c>
      <x:c r="I855" s="1" t="n">
        <x:v>1</x:v>
      </x:c>
      <x:c r="J855" s="1" t="n">
        <x:v>1</x:v>
      </x:c>
      <x:c r="K855" s="1" t="str">
        <x:v>中证官方优先</x:v>
      </x:c>
    </x:row>
    <x:row r="856" ht="25" customHeight="1">
      <x:c r="A856" s="1" t="str">
        <x:v>sh000905</x:v>
      </x:c>
      <x:c r="B856" s="1" t="str">
        <x:v>中证500</x:v>
      </x:c>
      <x:c r="C856" s="1" t="str">
        <x:v>2018-02</x:v>
      </x:c>
      <x:c r="D856" s="1" t="str">
        <x:v>2018-01-31</x:v>
      </x:c>
      <x:c r="E856" s="5" t="n">
        <x:v>6189.34</x:v>
      </x:c>
      <x:c r="F856" s="6" t="str">
        <x:v>2018-02-28</x:v>
      </x:c>
      <x:c r="G856" s="5" t="n">
        <x:v>6023.68</x:v>
      </x:c>
      <x:c r="H856" s="7" t="n">
        <x:f>G856/E856-1</x:f>
        <x:v>-0.026765374014030563</x:v>
      </x:c>
      <x:c r="I856" s="1" t="n">
        <x:v>1</x:v>
      </x:c>
      <x:c r="J856" s="1" t="n">
        <x:v>1</x:v>
      </x:c>
      <x:c r="K856" s="1" t="str">
        <x:v>中证官方优先</x:v>
      </x:c>
    </x:row>
    <x:row r="857" ht="25" customHeight="1">
      <x:c r="A857" s="1" t="str">
        <x:v>sh000905</x:v>
      </x:c>
      <x:c r="B857" s="1" t="str">
        <x:v>中证500</x:v>
      </x:c>
      <x:c r="C857" s="1" t="str">
        <x:v>2018-03</x:v>
      </x:c>
      <x:c r="D857" s="1" t="str">
        <x:v>2018-02-28</x:v>
      </x:c>
      <x:c r="E857" s="5" t="n">
        <x:v>6023.68</x:v>
      </x:c>
      <x:c r="F857" s="6" t="str">
        <x:v>2018-03-30</x:v>
      </x:c>
      <x:c r="G857" s="5" t="n">
        <x:v>6114.74</x:v>
      </x:c>
      <x:c r="H857" s="7" t="n">
        <x:f>G857/E857-1</x:f>
        <x:v>0.01511700488737766</x:v>
      </x:c>
      <x:c r="I857" s="1" t="n">
        <x:v>1</x:v>
      </x:c>
      <x:c r="J857" s="1" t="n">
        <x:v>1</x:v>
      </x:c>
      <x:c r="K857" s="1" t="str">
        <x:v>中证官方优先</x:v>
      </x:c>
    </x:row>
    <x:row r="858" ht="25" customHeight="1">
      <x:c r="A858" s="1" t="str">
        <x:v>sh000905</x:v>
      </x:c>
      <x:c r="B858" s="1" t="str">
        <x:v>中证500</x:v>
      </x:c>
      <x:c r="C858" s="1" t="str">
        <x:v>2018-04</x:v>
      </x:c>
      <x:c r="D858" s="1" t="str">
        <x:v>2018-03-30</x:v>
      </x:c>
      <x:c r="E858" s="5" t="n">
        <x:v>6114.74</x:v>
      </x:c>
      <x:c r="F858" s="6" t="str">
        <x:v>2018-04-27</x:v>
      </x:c>
      <x:c r="G858" s="5" t="n">
        <x:v>5860.98</x:v>
      </x:c>
      <x:c r="H858" s="7" t="n">
        <x:f>G858/E858-1</x:f>
        <x:v>-0.04149972034788074</x:v>
      </x:c>
      <x:c r="I858" s="1" t="n">
        <x:v>1</x:v>
      </x:c>
      <x:c r="J858" s="1" t="n">
        <x:v>1</x:v>
      </x:c>
      <x:c r="K858" s="1" t="str">
        <x:v>中证官方优先</x:v>
      </x:c>
    </x:row>
    <x:row r="859" ht="25" customHeight="1">
      <x:c r="A859" s="1" t="str">
        <x:v>sh000905</x:v>
      </x:c>
      <x:c r="B859" s="1" t="str">
        <x:v>中证500</x:v>
      </x:c>
      <x:c r="C859" s="1" t="str">
        <x:v>2018-05</x:v>
      </x:c>
      <x:c r="D859" s="1" t="str">
        <x:v>2018-04-27</x:v>
      </x:c>
      <x:c r="E859" s="5" t="n">
        <x:v>5860.98</x:v>
      </x:c>
      <x:c r="F859" s="6" t="str">
        <x:v>2018-05-31</x:v>
      </x:c>
      <x:c r="G859" s="5" t="n">
        <x:v>5754.47</x:v>
      </x:c>
      <x:c r="H859" s="7" t="n">
        <x:f>G859/E859-1</x:f>
        <x:v>-0.018172728792795634</x:v>
      </x:c>
      <x:c r="I859" s="1" t="n">
        <x:v>1</x:v>
      </x:c>
      <x:c r="J859" s="1" t="n">
        <x:v>1</x:v>
      </x:c>
      <x:c r="K859" s="1" t="str">
        <x:v>中证官方优先</x:v>
      </x:c>
    </x:row>
    <x:row r="860" ht="25" customHeight="1">
      <x:c r="A860" s="1" t="str">
        <x:v>sh000905</x:v>
      </x:c>
      <x:c r="B860" s="1" t="str">
        <x:v>中证500</x:v>
      </x:c>
      <x:c r="C860" s="1" t="str">
        <x:v>2018-06</x:v>
      </x:c>
      <x:c r="D860" s="1" t="str">
        <x:v>2018-05-31</x:v>
      </x:c>
      <x:c r="E860" s="5" t="n">
        <x:v>5754.47</x:v>
      </x:c>
      <x:c r="F860" s="6" t="str">
        <x:v>2018-06-29</x:v>
      </x:c>
      <x:c r="G860" s="5" t="n">
        <x:v>5217.76</x:v>
      </x:c>
      <x:c r="H860" s="7" t="n">
        <x:f>G860/E860-1</x:f>
        <x:v>-0.09326836355042256</x:v>
      </x:c>
      <x:c r="I860" s="1" t="n">
        <x:v>1</x:v>
      </x:c>
      <x:c r="J860" s="1" t="n">
        <x:v>1</x:v>
      </x:c>
      <x:c r="K860" s="1" t="str">
        <x:v>中证官方优先</x:v>
      </x:c>
    </x:row>
    <x:row r="861" ht="25" customHeight="1">
      <x:c r="A861" s="1" t="str">
        <x:v>sh000905</x:v>
      </x:c>
      <x:c r="B861" s="1" t="str">
        <x:v>中证500</x:v>
      </x:c>
      <x:c r="C861" s="1" t="str">
        <x:v>2018-07</x:v>
      </x:c>
      <x:c r="D861" s="1" t="str">
        <x:v>2018-06-29</x:v>
      </x:c>
      <x:c r="E861" s="5" t="n">
        <x:v>5217.76</x:v>
      </x:c>
      <x:c r="F861" s="6" t="str">
        <x:v>2018-07-31</x:v>
      </x:c>
      <x:c r="G861" s="5" t="n">
        <x:v>5188.72</x:v>
      </x:c>
      <x:c r="H861" s="7" t="n">
        <x:f>G861/E861-1</x:f>
        <x:v>-0.00556560669712669</x:v>
      </x:c>
      <x:c r="I861" s="1" t="n">
        <x:v>1</x:v>
      </x:c>
      <x:c r="J861" s="1" t="n">
        <x:v>1</x:v>
      </x:c>
      <x:c r="K861" s="1" t="str">
        <x:v>中证官方优先</x:v>
      </x:c>
    </x:row>
    <x:row r="862" ht="25" customHeight="1">
      <x:c r="A862" s="1" t="str">
        <x:v>sh000905</x:v>
      </x:c>
      <x:c r="B862" s="1" t="str">
        <x:v>中证500</x:v>
      </x:c>
      <x:c r="C862" s="1" t="str">
        <x:v>2018-08</x:v>
      </x:c>
      <x:c r="D862" s="1" t="str">
        <x:v>2018-07-31</x:v>
      </x:c>
      <x:c r="E862" s="5" t="n">
        <x:v>5188.72</x:v>
      </x:c>
      <x:c r="F862" s="6" t="str">
        <x:v>2018-08-31</x:v>
      </x:c>
      <x:c r="G862" s="5" t="n">
        <x:v>4814.82</x:v>
      </x:c>
      <x:c r="H862" s="7" t="n">
        <x:f>G862/E862-1</x:f>
        <x:v>-0.07206016127291515</x:v>
      </x:c>
      <x:c r="I862" s="1" t="n">
        <x:v>1</x:v>
      </x:c>
      <x:c r="J862" s="1" t="n">
        <x:v>1</x:v>
      </x:c>
      <x:c r="K862" s="1" t="str">
        <x:v>中证官方优先</x:v>
      </x:c>
    </x:row>
    <x:row r="863" ht="25" customHeight="1">
      <x:c r="A863" s="1" t="str">
        <x:v>sh000905</x:v>
      </x:c>
      <x:c r="B863" s="1" t="str">
        <x:v>中证500</x:v>
      </x:c>
      <x:c r="C863" s="1" t="str">
        <x:v>2018-09</x:v>
      </x:c>
      <x:c r="D863" s="1" t="str">
        <x:v>2018-08-31</x:v>
      </x:c>
      <x:c r="E863" s="5" t="n">
        <x:v>4814.82</x:v>
      </x:c>
      <x:c r="F863" s="6" t="str">
        <x:v>2018-09-28</x:v>
      </x:c>
      <x:c r="G863" s="5" t="n">
        <x:v>4800.73</x:v>
      </x:c>
      <x:c r="H863" s="7" t="n">
        <x:f>G863/E863-1</x:f>
        <x:v>-0.002926381463896899</x:v>
      </x:c>
      <x:c r="I863" s="1" t="n">
        <x:v>1</x:v>
      </x:c>
      <x:c r="J863" s="1" t="n">
        <x:v>1</x:v>
      </x:c>
      <x:c r="K863" s="1" t="str">
        <x:v>中证官方优先</x:v>
      </x:c>
    </x:row>
    <x:row r="864" ht="25" customHeight="1">
      <x:c r="A864" s="1" t="str">
        <x:v>sh000905</x:v>
      </x:c>
      <x:c r="B864" s="1" t="str">
        <x:v>中证500</x:v>
      </x:c>
      <x:c r="C864" s="1" t="str">
        <x:v>2018-10</x:v>
      </x:c>
      <x:c r="D864" s="1" t="str">
        <x:v>2018-09-28</x:v>
      </x:c>
      <x:c r="E864" s="5" t="n">
        <x:v>4800.73</x:v>
      </x:c>
      <x:c r="F864" s="6" t="str">
        <x:v>2018-10-31</x:v>
      </x:c>
      <x:c r="G864" s="5" t="n">
        <x:v>4272.55</x:v>
      </x:c>
      <x:c r="H864" s="7" t="n">
        <x:f>G864/E864-1</x:f>
        <x:v>-0.11002076767491598</x:v>
      </x:c>
      <x:c r="I864" s="1" t="n">
        <x:v>1</x:v>
      </x:c>
      <x:c r="J864" s="1" t="n">
        <x:v>1</x:v>
      </x:c>
      <x:c r="K864" s="1" t="str">
        <x:v>中证官方优先</x:v>
      </x:c>
    </x:row>
    <x:row r="865" ht="25" customHeight="1">
      <x:c r="A865" s="1" t="str">
        <x:v>sh000905</x:v>
      </x:c>
      <x:c r="B865" s="1" t="str">
        <x:v>中证500</x:v>
      </x:c>
      <x:c r="C865" s="1" t="str">
        <x:v>2018-11</x:v>
      </x:c>
      <x:c r="D865" s="1" t="str">
        <x:v>2018-10-31</x:v>
      </x:c>
      <x:c r="E865" s="5" t="n">
        <x:v>4272.55</x:v>
      </x:c>
      <x:c r="F865" s="6" t="str">
        <x:v>2018-11-30</x:v>
      </x:c>
      <x:c r="G865" s="5" t="n">
        <x:v>4376.65</x:v>
      </x:c>
      <x:c r="H865" s="7" t="n">
        <x:f>G865/E865-1</x:f>
        <x:v>0.024364840668921195</x:v>
      </x:c>
      <x:c r="I865" s="1" t="n">
        <x:v>1</x:v>
      </x:c>
      <x:c r="J865" s="1" t="n">
        <x:v>1</x:v>
      </x:c>
      <x:c r="K865" s="1" t="str">
        <x:v>中证官方优先</x:v>
      </x:c>
    </x:row>
    <x:row r="866" ht="25" customHeight="1">
      <x:c r="A866" s="1" t="str">
        <x:v>sh000905</x:v>
      </x:c>
      <x:c r="B866" s="1" t="str">
        <x:v>中证500</x:v>
      </x:c>
      <x:c r="C866" s="1" t="str">
        <x:v>2018-12</x:v>
      </x:c>
      <x:c r="D866" s="1" t="str">
        <x:v>2018-11-30</x:v>
      </x:c>
      <x:c r="E866" s="5" t="n">
        <x:v>4376.65</x:v>
      </x:c>
      <x:c r="F866" s="6" t="str">
        <x:v>2018-12-28</x:v>
      </x:c>
      <x:c r="G866" s="5" t="n">
        <x:v>4168.04</x:v>
      </x:c>
      <x:c r="H866" s="7" t="n">
        <x:f>G866/E866-1</x:f>
        <x:v>-0.047664309460431986</x:v>
      </x:c>
      <x:c r="I866" s="1" t="n">
        <x:v>1</x:v>
      </x:c>
      <x:c r="J866" s="1" t="n">
        <x:v>1</x:v>
      </x:c>
      <x:c r="K866" s="1" t="str">
        <x:v>中证官方优先</x:v>
      </x:c>
    </x:row>
    <x:row r="867" ht="25" customHeight="1">
      <x:c r="A867" s="1" t="str">
        <x:v>sh000905</x:v>
      </x:c>
      <x:c r="B867" s="1" t="str">
        <x:v>中证500</x:v>
      </x:c>
      <x:c r="C867" s="1" t="str">
        <x:v>2019-01</x:v>
      </x:c>
      <x:c r="D867" s="1" t="str">
        <x:v>2018-12-28</x:v>
      </x:c>
      <x:c r="E867" s="5" t="n">
        <x:v>4168.04</x:v>
      </x:c>
      <x:c r="F867" s="6" t="str">
        <x:v>2019-01-31</x:v>
      </x:c>
      <x:c r="G867" s="5" t="n">
        <x:v>4176.47</x:v>
      </x:c>
      <x:c r="H867" s="7" t="n">
        <x:f>G867/E867-1</x:f>
        <x:v>0.0020225333730004014</x:v>
      </x:c>
      <x:c r="I867" s="1" t="n">
        <x:v>1</x:v>
      </x:c>
      <x:c r="J867" s="1" t="n">
        <x:v>1</x:v>
      </x:c>
      <x:c r="K867" s="1" t="str">
        <x:v>中证官方优先</x:v>
      </x:c>
    </x:row>
    <x:row r="868" ht="25" customHeight="1">
      <x:c r="A868" s="1" t="str">
        <x:v>sh000905</x:v>
      </x:c>
      <x:c r="B868" s="1" t="str">
        <x:v>中证500</x:v>
      </x:c>
      <x:c r="C868" s="1" t="str">
        <x:v>2019-02</x:v>
      </x:c>
      <x:c r="D868" s="1" t="str">
        <x:v>2019-01-31</x:v>
      </x:c>
      <x:c r="E868" s="5" t="n">
        <x:v>4176.47</x:v>
      </x:c>
      <x:c r="F868" s="6" t="str">
        <x:v>2019-02-28</x:v>
      </x:c>
      <x:c r="G868" s="5" t="n">
        <x:v>5025.29</x:v>
      </x:c>
      <x:c r="H868" s="7" t="n">
        <x:f>G868/E868-1</x:f>
        <x:v>0.20323862017445338</x:v>
      </x:c>
      <x:c r="I868" s="1" t="n">
        <x:v>1</x:v>
      </x:c>
      <x:c r="J868" s="1" t="n">
        <x:v>1</x:v>
      </x:c>
      <x:c r="K868" s="1" t="str">
        <x:v>中证官方优先</x:v>
      </x:c>
    </x:row>
    <x:row r="869" ht="25" customHeight="1">
      <x:c r="A869" s="1" t="str">
        <x:v>sh000905</x:v>
      </x:c>
      <x:c r="B869" s="1" t="str">
        <x:v>中证500</x:v>
      </x:c>
      <x:c r="C869" s="1" t="str">
        <x:v>2019-03</x:v>
      </x:c>
      <x:c r="D869" s="1" t="str">
        <x:v>2019-02-28</x:v>
      </x:c>
      <x:c r="E869" s="5" t="n">
        <x:v>5025.29</x:v>
      </x:c>
      <x:c r="F869" s="6" t="str">
        <x:v>2019-03-29</x:v>
      </x:c>
      <x:c r="G869" s="5" t="n">
        <x:v>5547.66</x:v>
      </x:c>
      <x:c r="H869" s="7" t="n">
        <x:f>G869/E869-1</x:f>
        <x:v>0.10394822985340157</x:v>
      </x:c>
      <x:c r="I869" s="1" t="n">
        <x:v>1</x:v>
      </x:c>
      <x:c r="J869" s="1" t="n">
        <x:v>1</x:v>
      </x:c>
      <x:c r="K869" s="1" t="str">
        <x:v>中证官方优先</x:v>
      </x:c>
    </x:row>
    <x:row r="870" ht="25" customHeight="1">
      <x:c r="A870" s="1" t="str">
        <x:v>sh000905</x:v>
      </x:c>
      <x:c r="B870" s="1" t="str">
        <x:v>中证500</x:v>
      </x:c>
      <x:c r="C870" s="1" t="str">
        <x:v>2019-04</x:v>
      </x:c>
      <x:c r="D870" s="1" t="str">
        <x:v>2019-03-29</x:v>
      </x:c>
      <x:c r="E870" s="5" t="n">
        <x:v>5547.66</x:v>
      </x:c>
      <x:c r="F870" s="6" t="str">
        <x:v>2019-04-30</x:v>
      </x:c>
      <x:c r="G870" s="5" t="n">
        <x:v>5307.56</x:v>
      </x:c>
      <x:c r="H870" s="7" t="n">
        <x:f>G870/E870-1</x:f>
        <x:v>-0.04327950883796039</x:v>
      </x:c>
      <x:c r="I870" s="1" t="n">
        <x:v>1</x:v>
      </x:c>
      <x:c r="J870" s="1" t="n">
        <x:v>1</x:v>
      </x:c>
      <x:c r="K870" s="1" t="str">
        <x:v>中证官方优先</x:v>
      </x:c>
    </x:row>
    <x:row r="871" ht="25" customHeight="1">
      <x:c r="A871" s="1" t="str">
        <x:v>sh000905</x:v>
      </x:c>
      <x:c r="B871" s="1" t="str">
        <x:v>中证500</x:v>
      </x:c>
      <x:c r="C871" s="1" t="str">
        <x:v>2019-05</x:v>
      </x:c>
      <x:c r="D871" s="1" t="str">
        <x:v>2019-04-30</x:v>
      </x:c>
      <x:c r="E871" s="5" t="n">
        <x:v>5307.56</x:v>
      </x:c>
      <x:c r="F871" s="6" t="str">
        <x:v>2019-05-31</x:v>
      </x:c>
      <x:c r="G871" s="5" t="n">
        <x:v>4912</x:v>
      </x:c>
      <x:c r="H871" s="7" t="n">
        <x:f>G871/E871-1</x:f>
        <x:v>-0.07452765489226698</x:v>
      </x:c>
      <x:c r="I871" s="1" t="n">
        <x:v>1</x:v>
      </x:c>
      <x:c r="J871" s="1" t="n">
        <x:v>1</x:v>
      </x:c>
      <x:c r="K871" s="1" t="str">
        <x:v>中证官方优先</x:v>
      </x:c>
    </x:row>
    <x:row r="872" ht="25" customHeight="1">
      <x:c r="A872" s="1" t="str">
        <x:v>sh000905</x:v>
      </x:c>
      <x:c r="B872" s="1" t="str">
        <x:v>中证500</x:v>
      </x:c>
      <x:c r="C872" s="1" t="str">
        <x:v>2019-06</x:v>
      </x:c>
      <x:c r="D872" s="1" t="str">
        <x:v>2019-05-31</x:v>
      </x:c>
      <x:c r="E872" s="5" t="n">
        <x:v>4912</x:v>
      </x:c>
      <x:c r="F872" s="6" t="str">
        <x:v>2019-06-28</x:v>
      </x:c>
      <x:c r="G872" s="5" t="n">
        <x:v>4950.48</x:v>
      </x:c>
      <x:c r="H872" s="7" t="n">
        <x:f>G872/E872-1</x:f>
        <x:v>0.007833876221498226</x:v>
      </x:c>
      <x:c r="I872" s="1" t="n">
        <x:v>1</x:v>
      </x:c>
      <x:c r="J872" s="1" t="n">
        <x:v>1</x:v>
      </x:c>
      <x:c r="K872" s="1" t="str">
        <x:v>中证官方优先</x:v>
      </x:c>
    </x:row>
    <x:row r="873" ht="25" customHeight="1">
      <x:c r="A873" s="1" t="str">
        <x:v>sh000905</x:v>
      </x:c>
      <x:c r="B873" s="1" t="str">
        <x:v>中证500</x:v>
      </x:c>
      <x:c r="C873" s="1" t="str">
        <x:v>2019-07</x:v>
      </x:c>
      <x:c r="D873" s="1" t="str">
        <x:v>2019-06-28</x:v>
      </x:c>
      <x:c r="E873" s="5" t="n">
        <x:v>4950.48</x:v>
      </x:c>
      <x:c r="F873" s="6" t="str">
        <x:v>2019-07-31</x:v>
      </x:c>
      <x:c r="G873" s="5" t="n">
        <x:v>4903.2</x:v>
      </x:c>
      <x:c r="H873" s="7" t="n">
        <x:f>G873/E873-1</x:f>
        <x:v>-0.00955058903379058</x:v>
      </x:c>
      <x:c r="I873" s="1" t="n">
        <x:v>1</x:v>
      </x:c>
      <x:c r="J873" s="1" t="n">
        <x:v>1</x:v>
      </x:c>
      <x:c r="K873" s="1" t="str">
        <x:v>中证官方优先</x:v>
      </x:c>
    </x:row>
    <x:row r="874" ht="25" customHeight="1">
      <x:c r="A874" s="1" t="str">
        <x:v>sh000905</x:v>
      </x:c>
      <x:c r="B874" s="1" t="str">
        <x:v>中证500</x:v>
      </x:c>
      <x:c r="C874" s="1" t="str">
        <x:v>2019-08</x:v>
      </x:c>
      <x:c r="D874" s="1" t="str">
        <x:v>2019-07-31</x:v>
      </x:c>
      <x:c r="E874" s="5" t="n">
        <x:v>4903.2</x:v>
      </x:c>
      <x:c r="F874" s="6" t="str">
        <x:v>2019-08-30</x:v>
      </x:c>
      <x:c r="G874" s="5" t="n">
        <x:v>4886.49</x:v>
      </x:c>
      <x:c r="H874" s="7" t="n">
        <x:f>G874/E874-1</x:f>
        <x:v>-0.0034079784630445253</x:v>
      </x:c>
      <x:c r="I874" s="1" t="n">
        <x:v>1</x:v>
      </x:c>
      <x:c r="J874" s="1" t="n">
        <x:v>1</x:v>
      </x:c>
      <x:c r="K874" s="1" t="str">
        <x:v>中证官方优先</x:v>
      </x:c>
    </x:row>
    <x:row r="875" ht="25" customHeight="1">
      <x:c r="A875" s="1" t="str">
        <x:v>sh000905</x:v>
      </x:c>
      <x:c r="B875" s="1" t="str">
        <x:v>中证500</x:v>
      </x:c>
      <x:c r="C875" s="1" t="str">
        <x:v>2019-09</x:v>
      </x:c>
      <x:c r="D875" s="1" t="str">
        <x:v>2019-08-30</x:v>
      </x:c>
      <x:c r="E875" s="5" t="n">
        <x:v>4886.49</x:v>
      </x:c>
      <x:c r="F875" s="6" t="str">
        <x:v>2019-09-30</x:v>
      </x:c>
      <x:c r="G875" s="5" t="n">
        <x:v>4940.9</x:v>
      </x:c>
      <x:c r="H875" s="7" t="n">
        <x:f>G875/E875-1</x:f>
        <x:v>0.01113478181680505</x:v>
      </x:c>
      <x:c r="I875" s="1" t="n">
        <x:v>1</x:v>
      </x:c>
      <x:c r="J875" s="1" t="n">
        <x:v>1</x:v>
      </x:c>
      <x:c r="K875" s="1" t="str">
        <x:v>中证官方优先</x:v>
      </x:c>
    </x:row>
    <x:row r="876" ht="25" customHeight="1">
      <x:c r="A876" s="1" t="str">
        <x:v>sh000905</x:v>
      </x:c>
      <x:c r="B876" s="1" t="str">
        <x:v>中证500</x:v>
      </x:c>
      <x:c r="C876" s="1" t="str">
        <x:v>2019-10</x:v>
      </x:c>
      <x:c r="D876" s="1" t="str">
        <x:v>2019-09-30</x:v>
      </x:c>
      <x:c r="E876" s="5" t="n">
        <x:v>4940.9</x:v>
      </x:c>
      <x:c r="F876" s="6" t="str">
        <x:v>2019-10-31</x:v>
      </x:c>
      <x:c r="G876" s="5" t="n">
        <x:v>4917.42</x:v>
      </x:c>
      <x:c r="H876" s="7" t="n">
        <x:f>G876/E876-1</x:f>
        <x:v>-0.004752170657167598</x:v>
      </x:c>
      <x:c r="I876" s="1" t="n">
        <x:v>1</x:v>
      </x:c>
      <x:c r="J876" s="1" t="n">
        <x:v>1</x:v>
      </x:c>
      <x:c r="K876" s="1" t="str">
        <x:v>中证官方优先</x:v>
      </x:c>
    </x:row>
    <x:row r="877" ht="25" customHeight="1">
      <x:c r="A877" s="1" t="str">
        <x:v>sh000905</x:v>
      </x:c>
      <x:c r="B877" s="1" t="str">
        <x:v>中证500</x:v>
      </x:c>
      <x:c r="C877" s="1" t="str">
        <x:v>2019-11</x:v>
      </x:c>
      <x:c r="D877" s="1" t="str">
        <x:v>2019-10-31</x:v>
      </x:c>
      <x:c r="E877" s="5" t="n">
        <x:v>4917.42</x:v>
      </x:c>
      <x:c r="F877" s="6" t="str">
        <x:v>2019-11-29</x:v>
      </x:c>
      <x:c r="G877" s="5" t="n">
        <x:v>4894.94</x:v>
      </x:c>
      <x:c r="H877" s="7" t="n">
        <x:f>G877/E877-1</x:f>
        <x:v>-0.004571502942600114</x:v>
      </x:c>
      <x:c r="I877" s="1" t="n">
        <x:v>1</x:v>
      </x:c>
      <x:c r="J877" s="1" t="n">
        <x:v>1</x:v>
      </x:c>
      <x:c r="K877" s="1" t="str">
        <x:v>中证官方优先</x:v>
      </x:c>
    </x:row>
    <x:row r="878" ht="25" customHeight="1">
      <x:c r="A878" s="1" t="str">
        <x:v>sh000905</x:v>
      </x:c>
      <x:c r="B878" s="1" t="str">
        <x:v>中证500</x:v>
      </x:c>
      <x:c r="C878" s="1" t="str">
        <x:v>2019-12</x:v>
      </x:c>
      <x:c r="D878" s="1" t="str">
        <x:v>2019-11-29</x:v>
      </x:c>
      <x:c r="E878" s="5" t="n">
        <x:v>4894.94</x:v>
      </x:c>
      <x:c r="F878" s="6" t="str">
        <x:v>2019-12-31</x:v>
      </x:c>
      <x:c r="G878" s="5" t="n">
        <x:v>5267.66</x:v>
      </x:c>
      <x:c r="H878" s="7" t="n">
        <x:f>G878/E878-1</x:f>
        <x:v>0.07614393639145733</x:v>
      </x:c>
      <x:c r="I878" s="1" t="n">
        <x:v>1</x:v>
      </x:c>
      <x:c r="J878" s="1" t="n">
        <x:v>1</x:v>
      </x:c>
      <x:c r="K878" s="1" t="str">
        <x:v>中证官方优先</x:v>
      </x:c>
    </x:row>
    <x:row r="879" ht="25" customHeight="1">
      <x:c r="A879" s="1" t="str">
        <x:v>sh000905</x:v>
      </x:c>
      <x:c r="B879" s="1" t="str">
        <x:v>中证500</x:v>
      </x:c>
      <x:c r="C879" s="1" t="str">
        <x:v>2020-01</x:v>
      </x:c>
      <x:c r="D879" s="1" t="str">
        <x:v>2019-12-31</x:v>
      </x:c>
      <x:c r="E879" s="5" t="n">
        <x:v>5267.66</x:v>
      </x:c>
      <x:c r="F879" s="6" t="str">
        <x:v>2020-01-23</x:v>
      </x:c>
      <x:c r="G879" s="5" t="n">
        <x:v>5377.74</x:v>
      </x:c>
      <x:c r="H879" s="7" t="n">
        <x:f>G879/E879-1</x:f>
        <x:v>0.02089732442868364</x:v>
      </x:c>
      <x:c r="I879" s="1" t="n">
        <x:v>1</x:v>
      </x:c>
      <x:c r="J879" s="1" t="n">
        <x:v>1</x:v>
      </x:c>
      <x:c r="K879" s="1" t="str">
        <x:v>中证官方优先</x:v>
      </x:c>
    </x:row>
    <x:row r="880" ht="25" customHeight="1">
      <x:c r="A880" s="1" t="str">
        <x:v>sh000905</x:v>
      </x:c>
      <x:c r="B880" s="1" t="str">
        <x:v>中证500</x:v>
      </x:c>
      <x:c r="C880" s="1" t="str">
        <x:v>2020-02</x:v>
      </x:c>
      <x:c r="D880" s="1" t="str">
        <x:v>2020-01-23</x:v>
      </x:c>
      <x:c r="E880" s="5" t="n">
        <x:v>5377.74</x:v>
      </x:c>
      <x:c r="F880" s="6" t="str">
        <x:v>2020-02-28</x:v>
      </x:c>
      <x:c r="G880" s="5" t="n">
        <x:v>5451.29</x:v>
      </x:c>
      <x:c r="H880" s="7" t="n">
        <x:f>G880/E880-1</x:f>
        <x:v>0.013676748968897812</x:v>
      </x:c>
      <x:c r="I880" s="1" t="n">
        <x:v>1</x:v>
      </x:c>
      <x:c r="J880" s="1" t="n">
        <x:v>1</x:v>
      </x:c>
      <x:c r="K880" s="1" t="str">
        <x:v>中证官方优先</x:v>
      </x:c>
    </x:row>
    <x:row r="881" ht="25" customHeight="1">
      <x:c r="A881" s="1" t="str">
        <x:v>sh000905</x:v>
      </x:c>
      <x:c r="B881" s="1" t="str">
        <x:v>中证500</x:v>
      </x:c>
      <x:c r="C881" s="1" t="str">
        <x:v>2020-03</x:v>
      </x:c>
      <x:c r="D881" s="1" t="str">
        <x:v>2020-02-28</x:v>
      </x:c>
      <x:c r="E881" s="5" t="n">
        <x:v>5451.29</x:v>
      </x:c>
      <x:c r="F881" s="6" t="str">
        <x:v>2020-03-31</x:v>
      </x:c>
      <x:c r="G881" s="5" t="n">
        <x:v>5041.45</x:v>
      </x:c>
      <x:c r="H881" s="7" t="n">
        <x:f>G881/E881-1</x:f>
        <x:v>-0.07518220457909963</x:v>
      </x:c>
      <x:c r="I881" s="1" t="n">
        <x:v>1</x:v>
      </x:c>
      <x:c r="J881" s="1" t="n">
        <x:v>1</x:v>
      </x:c>
      <x:c r="K881" s="1" t="str">
        <x:v>中证官方优先</x:v>
      </x:c>
    </x:row>
    <x:row r="882" ht="25" customHeight="1">
      <x:c r="A882" s="1" t="str">
        <x:v>sh000905</x:v>
      </x:c>
      <x:c r="B882" s="1" t="str">
        <x:v>中证500</x:v>
      </x:c>
      <x:c r="C882" s="1" t="str">
        <x:v>2020-04</x:v>
      </x:c>
      <x:c r="D882" s="1" t="str">
        <x:v>2020-03-31</x:v>
      </x:c>
      <x:c r="E882" s="5" t="n">
        <x:v>5041.45</x:v>
      </x:c>
      <x:c r="F882" s="6" t="str">
        <x:v>2020-04-30</x:v>
      </x:c>
      <x:c r="G882" s="5" t="n">
        <x:v>5353.86</x:v>
      </x:c>
      <x:c r="H882" s="7" t="n">
        <x:f>G882/E882-1</x:f>
        <x:v>0.06196828293447321</x:v>
      </x:c>
      <x:c r="I882" s="1" t="n">
        <x:v>1</x:v>
      </x:c>
      <x:c r="J882" s="1" t="n">
        <x:v>1</x:v>
      </x:c>
      <x:c r="K882" s="1" t="str">
        <x:v>中证官方优先</x:v>
      </x:c>
    </x:row>
    <x:row r="883" ht="25" customHeight="1">
      <x:c r="A883" s="1" t="str">
        <x:v>sh000905</x:v>
      </x:c>
      <x:c r="B883" s="1" t="str">
        <x:v>中证500</x:v>
      </x:c>
      <x:c r="C883" s="1" t="str">
        <x:v>2020-05</x:v>
      </x:c>
      <x:c r="D883" s="1" t="str">
        <x:v>2020-04-30</x:v>
      </x:c>
      <x:c r="E883" s="5" t="n">
        <x:v>5353.86</x:v>
      </x:c>
      <x:c r="F883" s="6" t="str">
        <x:v>2020-05-29</x:v>
      </x:c>
      <x:c r="G883" s="5" t="n">
        <x:v>5406.34</x:v>
      </x:c>
      <x:c r="H883" s="7" t="n">
        <x:f>G883/E883-1</x:f>
        <x:v>0.009802273499867509</x:v>
      </x:c>
      <x:c r="I883" s="1" t="n">
        <x:v>1</x:v>
      </x:c>
      <x:c r="J883" s="1" t="n">
        <x:v>1</x:v>
      </x:c>
      <x:c r="K883" s="1" t="str">
        <x:v>中证官方优先</x:v>
      </x:c>
    </x:row>
    <x:row r="884" ht="25" customHeight="1">
      <x:c r="A884" s="1" t="str">
        <x:v>sh000905</x:v>
      </x:c>
      <x:c r="B884" s="1" t="str">
        <x:v>中证500</x:v>
      </x:c>
      <x:c r="C884" s="1" t="str">
        <x:v>2020-06</x:v>
      </x:c>
      <x:c r="D884" s="1" t="str">
        <x:v>2020-05-29</x:v>
      </x:c>
      <x:c r="E884" s="5" t="n">
        <x:v>5406.34</x:v>
      </x:c>
      <x:c r="F884" s="6" t="str">
        <x:v>2020-06-30</x:v>
      </x:c>
      <x:c r="G884" s="5" t="n">
        <x:v>5864.42</x:v>
      </x:c>
      <x:c r="H884" s="7" t="n">
        <x:f>G884/E884-1</x:f>
        <x:v>0.08473015015703789</x:v>
      </x:c>
      <x:c r="I884" s="1" t="n">
        <x:v>1</x:v>
      </x:c>
      <x:c r="J884" s="1" t="n">
        <x:v>1</x:v>
      </x:c>
      <x:c r="K884" s="1" t="str">
        <x:v>中证官方优先</x:v>
      </x:c>
    </x:row>
    <x:row r="885" ht="25" customHeight="1">
      <x:c r="A885" s="1" t="str">
        <x:v>sh000905</x:v>
      </x:c>
      <x:c r="B885" s="1" t="str">
        <x:v>中证500</x:v>
      </x:c>
      <x:c r="C885" s="1" t="str">
        <x:v>2020-07</x:v>
      </x:c>
      <x:c r="D885" s="1" t="str">
        <x:v>2020-06-30</x:v>
      </x:c>
      <x:c r="E885" s="5" t="n">
        <x:v>5864.42</x:v>
      </x:c>
      <x:c r="F885" s="6" t="str">
        <x:v>2020-07-31</x:v>
      </x:c>
      <x:c r="G885" s="5" t="n">
        <x:v>6579.67</x:v>
      </x:c>
      <x:c r="H885" s="7" t="n">
        <x:f>G885/E885-1</x:f>
        <x:v>0.12196432042725447</x:v>
      </x:c>
      <x:c r="I885" s="1" t="n">
        <x:v>1</x:v>
      </x:c>
      <x:c r="J885" s="1" t="n">
        <x:v>1</x:v>
      </x:c>
      <x:c r="K885" s="1" t="str">
        <x:v>中证官方优先</x:v>
      </x:c>
    </x:row>
    <x:row r="886" ht="25" customHeight="1">
      <x:c r="A886" s="1" t="str">
        <x:v>sh000905</x:v>
      </x:c>
      <x:c r="B886" s="1" t="str">
        <x:v>中证500</x:v>
      </x:c>
      <x:c r="C886" s="1" t="str">
        <x:v>2020-08</x:v>
      </x:c>
      <x:c r="D886" s="1" t="str">
        <x:v>2020-07-31</x:v>
      </x:c>
      <x:c r="E886" s="5" t="n">
        <x:v>6579.67</x:v>
      </x:c>
      <x:c r="F886" s="6" t="str">
        <x:v>2020-08-31</x:v>
      </x:c>
      <x:c r="G886" s="5" t="n">
        <x:v>6668.43</x:v>
      </x:c>
      <x:c r="H886" s="7" t="n">
        <x:f>G886/E886-1</x:f>
        <x:v>0.013490038254198256</x:v>
      </x:c>
      <x:c r="I886" s="1" t="n">
        <x:v>1</x:v>
      </x:c>
      <x:c r="J886" s="1" t="n">
        <x:v>1</x:v>
      </x:c>
      <x:c r="K886" s="1" t="str">
        <x:v>中证官方优先</x:v>
      </x:c>
    </x:row>
    <x:row r="887" ht="25" customHeight="1">
      <x:c r="A887" s="1" t="str">
        <x:v>sh000905</x:v>
      </x:c>
      <x:c r="B887" s="1" t="str">
        <x:v>中证500</x:v>
      </x:c>
      <x:c r="C887" s="1" t="str">
        <x:v>2020-09</x:v>
      </x:c>
      <x:c r="D887" s="1" t="str">
        <x:v>2020-08-31</x:v>
      </x:c>
      <x:c r="E887" s="5" t="n">
        <x:v>6668.43</x:v>
      </x:c>
      <x:c r="F887" s="6" t="str">
        <x:v>2020-09-30</x:v>
      </x:c>
      <x:c r="G887" s="5" t="n">
        <x:v>6192.5</x:v>
      </x:c>
      <x:c r="H887" s="7" t="n">
        <x:f>G887/E887-1</x:f>
        <x:v>-0.07137062247035664</x:v>
      </x:c>
      <x:c r="I887" s="1" t="n">
        <x:v>1</x:v>
      </x:c>
      <x:c r="J887" s="1" t="n">
        <x:v>1</x:v>
      </x:c>
      <x:c r="K887" s="1" t="str">
        <x:v>中证官方优先</x:v>
      </x:c>
    </x:row>
    <x:row r="888" ht="25" customHeight="1">
      <x:c r="A888" s="1" t="str">
        <x:v>sh000905</x:v>
      </x:c>
      <x:c r="B888" s="1" t="str">
        <x:v>中证500</x:v>
      </x:c>
      <x:c r="C888" s="1" t="str">
        <x:v>2020-10</x:v>
      </x:c>
      <x:c r="D888" s="1" t="str">
        <x:v>2020-09-30</x:v>
      </x:c>
      <x:c r="E888" s="5" t="n">
        <x:v>6192.5</x:v>
      </x:c>
      <x:c r="F888" s="6" t="str">
        <x:v>2020-10-30</x:v>
      </x:c>
      <x:c r="G888" s="5" t="n">
        <x:v>6111.48</x:v>
      </x:c>
      <x:c r="H888" s="7" t="n">
        <x:f>G888/E888-1</x:f>
        <x:v>-0.013083568833266113</x:v>
      </x:c>
      <x:c r="I888" s="1" t="n">
        <x:v>1</x:v>
      </x:c>
      <x:c r="J888" s="1" t="n">
        <x:v>1</x:v>
      </x:c>
      <x:c r="K888" s="1" t="str">
        <x:v>中证官方优先</x:v>
      </x:c>
    </x:row>
    <x:row r="889" ht="25" customHeight="1">
      <x:c r="A889" s="1" t="str">
        <x:v>sh000905</x:v>
      </x:c>
      <x:c r="B889" s="1" t="str">
        <x:v>中证500</x:v>
      </x:c>
      <x:c r="C889" s="1" t="str">
        <x:v>2020-11</x:v>
      </x:c>
      <x:c r="D889" s="1" t="str">
        <x:v>2020-10-30</x:v>
      </x:c>
      <x:c r="E889" s="5" t="n">
        <x:v>6111.48</x:v>
      </x:c>
      <x:c r="F889" s="6" t="str">
        <x:v>2020-11-30</x:v>
      </x:c>
      <x:c r="G889" s="5" t="n">
        <x:v>6320.94</x:v>
      </x:c>
      <x:c r="H889" s="7" t="n">
        <x:f>G889/E889-1</x:f>
        <x:v>0.034273203872057234</x:v>
      </x:c>
      <x:c r="I889" s="1" t="n">
        <x:v>1</x:v>
      </x:c>
      <x:c r="J889" s="1" t="n">
        <x:v>1</x:v>
      </x:c>
      <x:c r="K889" s="1" t="str">
        <x:v>中证官方优先</x:v>
      </x:c>
    </x:row>
    <x:row r="890" ht="25" customHeight="1">
      <x:c r="A890" s="1" t="str">
        <x:v>sh000905</x:v>
      </x:c>
      <x:c r="B890" s="1" t="str">
        <x:v>中证500</x:v>
      </x:c>
      <x:c r="C890" s="1" t="str">
        <x:v>2020-12</x:v>
      </x:c>
      <x:c r="D890" s="1" t="str">
        <x:v>2020-11-30</x:v>
      </x:c>
      <x:c r="E890" s="5" t="n">
        <x:v>6320.94</x:v>
      </x:c>
      <x:c r="F890" s="6" t="str">
        <x:v>2020-12-31</x:v>
      </x:c>
      <x:c r="G890" s="5" t="n">
        <x:v>6367.11</x:v>
      </x:c>
      <x:c r="H890" s="7" t="n">
        <x:f>G890/E890-1</x:f>
        <x:v>0.007304293348774138</x:v>
      </x:c>
      <x:c r="I890" s="1" t="n">
        <x:v>1</x:v>
      </x:c>
      <x:c r="J890" s="1" t="n">
        <x:v>1</x:v>
      </x:c>
      <x:c r="K890" s="1" t="str">
        <x:v>中证官方优先</x:v>
      </x:c>
    </x:row>
    <x:row r="891" ht="25" customHeight="1">
      <x:c r="A891" s="1" t="str">
        <x:v>sh000905</x:v>
      </x:c>
      <x:c r="B891" s="1" t="str">
        <x:v>中证500</x:v>
      </x:c>
      <x:c r="C891" s="1" t="str">
        <x:v>2021-01</x:v>
      </x:c>
      <x:c r="D891" s="1" t="str">
        <x:v>2020-12-31</x:v>
      </x:c>
      <x:c r="E891" s="5" t="n">
        <x:v>6367.11</x:v>
      </x:c>
      <x:c r="F891" s="6" t="str">
        <x:v>2021-01-29</x:v>
      </x:c>
      <x:c r="G891" s="5" t="n">
        <x:v>6346.14</x:v>
      </x:c>
      <x:c r="H891" s="7" t="n">
        <x:f>G891/E891-1</x:f>
        <x:v>-0.0032934879403684336</x:v>
      </x:c>
      <x:c r="I891" s="1" t="n">
        <x:v>1</x:v>
      </x:c>
      <x:c r="J891" s="1" t="n">
        <x:v>1</x:v>
      </x:c>
      <x:c r="K891" s="1" t="str">
        <x:v>中证官方优先</x:v>
      </x:c>
    </x:row>
    <x:row r="892" ht="25" customHeight="1">
      <x:c r="A892" s="1" t="str">
        <x:v>sh000905</x:v>
      </x:c>
      <x:c r="B892" s="1" t="str">
        <x:v>中证500</x:v>
      </x:c>
      <x:c r="C892" s="1" t="str">
        <x:v>2021-02</x:v>
      </x:c>
      <x:c r="D892" s="1" t="str">
        <x:v>2021-01-29</x:v>
      </x:c>
      <x:c r="E892" s="5" t="n">
        <x:v>6346.14</x:v>
      </x:c>
      <x:c r="F892" s="6" t="str">
        <x:v>2021-02-26</x:v>
      </x:c>
      <x:c r="G892" s="5" t="n">
        <x:v>6364.35</x:v>
      </x:c>
      <x:c r="H892" s="7" t="n">
        <x:f>G892/E892-1</x:f>
        <x:v>0.002869460806096402</x:v>
      </x:c>
      <x:c r="I892" s="1" t="n">
        <x:v>1</x:v>
      </x:c>
      <x:c r="J892" s="1" t="n">
        <x:v>1</x:v>
      </x:c>
      <x:c r="K892" s="1" t="str">
        <x:v>中证官方优先</x:v>
      </x:c>
    </x:row>
    <x:row r="893" ht="25" customHeight="1">
      <x:c r="A893" s="1" t="str">
        <x:v>sh000905</x:v>
      </x:c>
      <x:c r="B893" s="1" t="str">
        <x:v>中证500</x:v>
      </x:c>
      <x:c r="C893" s="1" t="str">
        <x:v>2021-03</x:v>
      </x:c>
      <x:c r="D893" s="1" t="str">
        <x:v>2021-02-26</x:v>
      </x:c>
      <x:c r="E893" s="5" t="n">
        <x:v>6364.35</x:v>
      </x:c>
      <x:c r="F893" s="6" t="str">
        <x:v>2021-03-31</x:v>
      </x:c>
      <x:c r="G893" s="5" t="n">
        <x:v>6254.07</x:v>
      </x:c>
      <x:c r="H893" s="7" t="n">
        <x:f>G893/E893-1</x:f>
        <x:v>-0.017327771099955314</x:v>
      </x:c>
      <x:c r="I893" s="1" t="n">
        <x:v>1</x:v>
      </x:c>
      <x:c r="J893" s="1" t="n">
        <x:v>1</x:v>
      </x:c>
      <x:c r="K893" s="1" t="str">
        <x:v>中证官方优先</x:v>
      </x:c>
    </x:row>
    <x:row r="894" ht="25" customHeight="1">
      <x:c r="A894" s="1" t="str">
        <x:v>sh000905</x:v>
      </x:c>
      <x:c r="B894" s="1" t="str">
        <x:v>中证500</x:v>
      </x:c>
      <x:c r="C894" s="1" t="str">
        <x:v>2021-04</x:v>
      </x:c>
      <x:c r="D894" s="1" t="str">
        <x:v>2021-03-31</x:v>
      </x:c>
      <x:c r="E894" s="5" t="n">
        <x:v>6254.07</x:v>
      </x:c>
      <x:c r="F894" s="6" t="str">
        <x:v>2021-04-30</x:v>
      </x:c>
      <x:c r="G894" s="5" t="n">
        <x:v>6485.71</x:v>
      </x:c>
      <x:c r="H894" s="7" t="n">
        <x:f>G894/E894-1</x:f>
        <x:v>0.03703828067162673</x:v>
      </x:c>
      <x:c r="I894" s="1" t="n">
        <x:v>1</x:v>
      </x:c>
      <x:c r="J894" s="1" t="n">
        <x:v>1</x:v>
      </x:c>
      <x:c r="K894" s="1" t="str">
        <x:v>中证官方优先</x:v>
      </x:c>
    </x:row>
    <x:row r="895" ht="25" customHeight="1">
      <x:c r="A895" s="1" t="str">
        <x:v>sh000905</x:v>
      </x:c>
      <x:c r="B895" s="1" t="str">
        <x:v>中证500</x:v>
      </x:c>
      <x:c r="C895" s="1" t="str">
        <x:v>2021-05</x:v>
      </x:c>
      <x:c r="D895" s="1" t="str">
        <x:v>2021-04-30</x:v>
      </x:c>
      <x:c r="E895" s="5" t="n">
        <x:v>6485.71</x:v>
      </x:c>
      <x:c r="F895" s="6" t="str">
        <x:v>2021-05-31</x:v>
      </x:c>
      <x:c r="G895" s="5" t="n">
        <x:v>6728.99</x:v>
      </x:c>
      <x:c r="H895" s="7" t="n">
        <x:f>G895/E895-1</x:f>
        <x:v>0.037510156945037565</x:v>
      </x:c>
      <x:c r="I895" s="1" t="n">
        <x:v>1</x:v>
      </x:c>
      <x:c r="J895" s="1" t="n">
        <x:v>1</x:v>
      </x:c>
      <x:c r="K895" s="1" t="str">
        <x:v>中证官方优先</x:v>
      </x:c>
    </x:row>
    <x:row r="896" ht="25" customHeight="1">
      <x:c r="A896" s="1" t="str">
        <x:v>sh000905</x:v>
      </x:c>
      <x:c r="B896" s="1" t="str">
        <x:v>中证500</x:v>
      </x:c>
      <x:c r="C896" s="1" t="str">
        <x:v>2021-06</x:v>
      </x:c>
      <x:c r="D896" s="1" t="str">
        <x:v>2021-05-31</x:v>
      </x:c>
      <x:c r="E896" s="5" t="n">
        <x:v>6728.99</x:v>
      </x:c>
      <x:c r="F896" s="6" t="str">
        <x:v>2021-06-30</x:v>
      </x:c>
      <x:c r="G896" s="5" t="n">
        <x:v>6808.18</x:v>
      </x:c>
      <x:c r="H896" s="7" t="n">
        <x:f>G896/E896-1</x:f>
        <x:v>0.011768482342818132</x:v>
      </x:c>
      <x:c r="I896" s="1" t="n">
        <x:v>1</x:v>
      </x:c>
      <x:c r="J896" s="1" t="n">
        <x:v>1</x:v>
      </x:c>
      <x:c r="K896" s="1" t="str">
        <x:v>中证官方优先</x:v>
      </x:c>
    </x:row>
    <x:row r="897" ht="25" customHeight="1">
      <x:c r="A897" s="1" t="str">
        <x:v>sh000905</x:v>
      </x:c>
      <x:c r="B897" s="1" t="str">
        <x:v>中证500</x:v>
      </x:c>
      <x:c r="C897" s="1" t="str">
        <x:v>2021-07</x:v>
      </x:c>
      <x:c r="D897" s="1" t="str">
        <x:v>2021-06-30</x:v>
      </x:c>
      <x:c r="E897" s="5" t="n">
        <x:v>6808.18</x:v>
      </x:c>
      <x:c r="F897" s="6" t="str">
        <x:v>2021-07-30</x:v>
      </x:c>
      <x:c r="G897" s="5" t="n">
        <x:v>6767.32</x:v>
      </x:c>
      <x:c r="H897" s="7" t="n">
        <x:f>G897/E897-1</x:f>
        <x:v>-0.006001603952892065</x:v>
      </x:c>
      <x:c r="I897" s="1" t="n">
        <x:v>1</x:v>
      </x:c>
      <x:c r="J897" s="1" t="n">
        <x:v>1</x:v>
      </x:c>
      <x:c r="K897" s="1" t="str">
        <x:v>中证官方优先</x:v>
      </x:c>
    </x:row>
    <x:row r="898" ht="25" customHeight="1">
      <x:c r="A898" s="1" t="str">
        <x:v>sh000905</x:v>
      </x:c>
      <x:c r="B898" s="1" t="str">
        <x:v>中证500</x:v>
      </x:c>
      <x:c r="C898" s="1" t="str">
        <x:v>2021-08</x:v>
      </x:c>
      <x:c r="D898" s="1" t="str">
        <x:v>2021-07-30</x:v>
      </x:c>
      <x:c r="E898" s="5" t="n">
        <x:v>6767.32</x:v>
      </x:c>
      <x:c r="F898" s="6" t="str">
        <x:v>2021-08-31</x:v>
      </x:c>
      <x:c r="G898" s="5" t="n">
        <x:v>7255.34</x:v>
      </x:c>
      <x:c r="H898" s="7" t="n">
        <x:f>G898/E898-1</x:f>
        <x:v>0.07211421951378094</x:v>
      </x:c>
      <x:c r="I898" s="1" t="n">
        <x:v>1</x:v>
      </x:c>
      <x:c r="J898" s="1" t="n">
        <x:v>1</x:v>
      </x:c>
      <x:c r="K898" s="1" t="str">
        <x:v>中证官方优先</x:v>
      </x:c>
    </x:row>
    <x:row r="899" ht="25" customHeight="1">
      <x:c r="A899" s="1" t="str">
        <x:v>sh000905</x:v>
      </x:c>
      <x:c r="B899" s="1" t="str">
        <x:v>中证500</x:v>
      </x:c>
      <x:c r="C899" s="1" t="str">
        <x:v>2021-09</x:v>
      </x:c>
      <x:c r="D899" s="1" t="str">
        <x:v>2021-08-31</x:v>
      </x:c>
      <x:c r="E899" s="5" t="n">
        <x:v>7255.34</x:v>
      </x:c>
      <x:c r="F899" s="6" t="str">
        <x:v>2021-09-30</x:v>
      </x:c>
      <x:c r="G899" s="5" t="n">
        <x:v>7103.61</x:v>
      </x:c>
      <x:c r="H899" s="7" t="n">
        <x:f>G899/E899-1</x:f>
        <x:v>-0.02091287244980944</x:v>
      </x:c>
      <x:c r="I899" s="1" t="n">
        <x:v>1</x:v>
      </x:c>
      <x:c r="J899" s="1" t="n">
        <x:v>1</x:v>
      </x:c>
      <x:c r="K899" s="1" t="str">
        <x:v>中证官方优先</x:v>
      </x:c>
    </x:row>
    <x:row r="900" ht="25" customHeight="1">
      <x:c r="A900" s="1" t="str">
        <x:v>sh000905</x:v>
      </x:c>
      <x:c r="B900" s="1" t="str">
        <x:v>中证500</x:v>
      </x:c>
      <x:c r="C900" s="1" t="str">
        <x:v>2021-10</x:v>
      </x:c>
      <x:c r="D900" s="1" t="str">
        <x:v>2021-09-30</x:v>
      </x:c>
      <x:c r="E900" s="5" t="n">
        <x:v>7103.61</x:v>
      </x:c>
      <x:c r="F900" s="6" t="str">
        <x:v>2021-10-29</x:v>
      </x:c>
      <x:c r="G900" s="5" t="n">
        <x:v>7022.5</x:v>
      </x:c>
      <x:c r="H900" s="7" t="n">
        <x:f>G900/E900-1</x:f>
        <x:v>-0.011418138101613073</x:v>
      </x:c>
      <x:c r="I900" s="1" t="n">
        <x:v>1</x:v>
      </x:c>
      <x:c r="J900" s="1" t="n">
        <x:v>1</x:v>
      </x:c>
      <x:c r="K900" s="1" t="str">
        <x:v>中证官方优先</x:v>
      </x:c>
    </x:row>
    <x:row r="901" ht="25" customHeight="1">
      <x:c r="A901" s="1" t="str">
        <x:v>sh000905</x:v>
      </x:c>
      <x:c r="B901" s="1" t="str">
        <x:v>中证500</x:v>
      </x:c>
      <x:c r="C901" s="1" t="str">
        <x:v>2021-11</x:v>
      </x:c>
      <x:c r="D901" s="1" t="str">
        <x:v>2021-10-29</x:v>
      </x:c>
      <x:c r="E901" s="5" t="n">
        <x:v>7022.5</x:v>
      </x:c>
      <x:c r="F901" s="6" t="str">
        <x:v>2021-11-30</x:v>
      </x:c>
      <x:c r="G901" s="5" t="n">
        <x:v>7252.76</x:v>
      </x:c>
      <x:c r="H901" s="7" t="n">
        <x:f>G901/E901-1</x:f>
        <x:v>0.03278889284442865</x:v>
      </x:c>
      <x:c r="I901" s="1" t="n">
        <x:v>1</x:v>
      </x:c>
      <x:c r="J901" s="1" t="n">
        <x:v>1</x:v>
      </x:c>
      <x:c r="K901" s="1" t="str">
        <x:v>中证官方优先</x:v>
      </x:c>
    </x:row>
    <x:row r="902" ht="25" customHeight="1">
      <x:c r="A902" s="1" t="str">
        <x:v>sh000905</x:v>
      </x:c>
      <x:c r="B902" s="1" t="str">
        <x:v>中证500</x:v>
      </x:c>
      <x:c r="C902" s="1" t="str">
        <x:v>2021-12</x:v>
      </x:c>
      <x:c r="D902" s="1" t="str">
        <x:v>2021-11-30</x:v>
      </x:c>
      <x:c r="E902" s="5" t="n">
        <x:v>7252.76</x:v>
      </x:c>
      <x:c r="F902" s="6" t="str">
        <x:v>2021-12-31</x:v>
      </x:c>
      <x:c r="G902" s="5" t="n">
        <x:v>7359.4</x:v>
      </x:c>
      <x:c r="H902" s="7" t="n">
        <x:f>G902/E902-1</x:f>
        <x:v>0.01470336809711048</x:v>
      </x:c>
      <x:c r="I902" s="1" t="n">
        <x:v>1</x:v>
      </x:c>
      <x:c r="J902" s="1" t="n">
        <x:v>1</x:v>
      </x:c>
      <x:c r="K902" s="1" t="str">
        <x:v>中证官方优先</x:v>
      </x:c>
    </x:row>
    <x:row r="903" ht="25" customHeight="1">
      <x:c r="A903" s="1" t="str">
        <x:v>sh000905</x:v>
      </x:c>
      <x:c r="B903" s="1" t="str">
        <x:v>中证500</x:v>
      </x:c>
      <x:c r="C903" s="1" t="str">
        <x:v>2022-01</x:v>
      </x:c>
      <x:c r="D903" s="1" t="str">
        <x:v>2021-12-31</x:v>
      </x:c>
      <x:c r="E903" s="5" t="n">
        <x:v>7359.4</x:v>
      </x:c>
      <x:c r="F903" s="6" t="str">
        <x:v>2022-01-28</x:v>
      </x:c>
      <x:c r="G903" s="5" t="n">
        <x:v>6580.53</x:v>
      </x:c>
      <x:c r="H903" s="7" t="n">
        <x:f>G903/E903-1</x:f>
        <x:v>-0.10583335598010701</x:v>
      </x:c>
      <x:c r="I903" s="1" t="n">
        <x:v>1</x:v>
      </x:c>
      <x:c r="J903" s="1" t="n">
        <x:v>1</x:v>
      </x:c>
      <x:c r="K903" s="1" t="str">
        <x:v>中证官方优先</x:v>
      </x:c>
    </x:row>
    <x:row r="904" ht="25" customHeight="1">
      <x:c r="A904" s="1" t="str">
        <x:v>sh000905</x:v>
      </x:c>
      <x:c r="B904" s="1" t="str">
        <x:v>中证500</x:v>
      </x:c>
      <x:c r="C904" s="1" t="str">
        <x:v>2022-02</x:v>
      </x:c>
      <x:c r="D904" s="1" t="str">
        <x:v>2022-01-28</x:v>
      </x:c>
      <x:c r="E904" s="5" t="n">
        <x:v>6580.53</x:v>
      </x:c>
      <x:c r="F904" s="6" t="str">
        <x:v>2022-02-28</x:v>
      </x:c>
      <x:c r="G904" s="5" t="n">
        <x:v>6853.31</x:v>
      </x:c>
      <x:c r="H904" s="7" t="n">
        <x:f>G904/E904-1</x:f>
        <x:v>0.0414525881653911</x:v>
      </x:c>
      <x:c r="I904" s="1" t="n">
        <x:v>1</x:v>
      </x:c>
      <x:c r="J904" s="1" t="n">
        <x:v>1</x:v>
      </x:c>
      <x:c r="K904" s="1" t="str">
        <x:v>中证官方优先</x:v>
      </x:c>
    </x:row>
    <x:row r="905" ht="25" customHeight="1">
      <x:c r="A905" s="1" t="str">
        <x:v>sh000905</x:v>
      </x:c>
      <x:c r="B905" s="1" t="str">
        <x:v>中证500</x:v>
      </x:c>
      <x:c r="C905" s="1" t="str">
        <x:v>2022-03</x:v>
      </x:c>
      <x:c r="D905" s="1" t="str">
        <x:v>2022-02-28</x:v>
      </x:c>
      <x:c r="E905" s="5" t="n">
        <x:v>6853.31</x:v>
      </x:c>
      <x:c r="F905" s="6" t="str">
        <x:v>2022-03-31</x:v>
      </x:c>
      <x:c r="G905" s="5" t="n">
        <x:v>6324.96</x:v>
      </x:c>
      <x:c r="H905" s="7" t="n">
        <x:f>G905/E905-1</x:f>
        <x:v>-0.07709413407535926</x:v>
      </x:c>
      <x:c r="I905" s="1" t="n">
        <x:v>1</x:v>
      </x:c>
      <x:c r="J905" s="1" t="n">
        <x:v>1</x:v>
      </x:c>
      <x:c r="K905" s="1" t="str">
        <x:v>中证官方优先</x:v>
      </x:c>
    </x:row>
    <x:row r="906" ht="25" customHeight="1">
      <x:c r="A906" s="1" t="str">
        <x:v>sh000905</x:v>
      </x:c>
      <x:c r="B906" s="1" t="str">
        <x:v>中证500</x:v>
      </x:c>
      <x:c r="C906" s="1" t="str">
        <x:v>2022-04</x:v>
      </x:c>
      <x:c r="D906" s="1" t="str">
        <x:v>2022-03-31</x:v>
      </x:c>
      <x:c r="E906" s="5" t="n">
        <x:v>6324.96</x:v>
      </x:c>
      <x:c r="F906" s="6" t="str">
        <x:v>2022-04-29</x:v>
      </x:c>
      <x:c r="G906" s="5" t="n">
        <x:v>5627.9</x:v>
      </x:c>
      <x:c r="H906" s="7" t="n">
        <x:f>G906/E906-1</x:f>
        <x:v>-0.11020781159090343</x:v>
      </x:c>
      <x:c r="I906" s="1" t="n">
        <x:v>1</x:v>
      </x:c>
      <x:c r="J906" s="1" t="n">
        <x:v>1</x:v>
      </x:c>
      <x:c r="K906" s="1" t="str">
        <x:v>中证官方优先</x:v>
      </x:c>
    </x:row>
    <x:row r="907" ht="25" customHeight="1">
      <x:c r="A907" s="1" t="str">
        <x:v>sh000905</x:v>
      </x:c>
      <x:c r="B907" s="1" t="str">
        <x:v>中证500</x:v>
      </x:c>
      <x:c r="C907" s="1" t="str">
        <x:v>2022-05</x:v>
      </x:c>
      <x:c r="D907" s="1" t="str">
        <x:v>2022-04-29</x:v>
      </x:c>
      <x:c r="E907" s="5" t="n">
        <x:v>5627.9</x:v>
      </x:c>
      <x:c r="F907" s="6" t="str">
        <x:v>2022-05-31</x:v>
      </x:c>
      <x:c r="G907" s="5" t="n">
        <x:v>6026.24</x:v>
      </x:c>
      <x:c r="H907" s="7" t="n">
        <x:f>G907/E907-1</x:f>
        <x:v>0.07077950923079657</x:v>
      </x:c>
      <x:c r="I907" s="1" t="n">
        <x:v>1</x:v>
      </x:c>
      <x:c r="J907" s="1" t="n">
        <x:v>1</x:v>
      </x:c>
      <x:c r="K907" s="1" t="str">
        <x:v>中证官方优先</x:v>
      </x:c>
    </x:row>
    <x:row r="908" ht="25" customHeight="1">
      <x:c r="A908" s="1" t="str">
        <x:v>sh000905</x:v>
      </x:c>
      <x:c r="B908" s="1" t="str">
        <x:v>中证500</x:v>
      </x:c>
      <x:c r="C908" s="1" t="str">
        <x:v>2022-06</x:v>
      </x:c>
      <x:c r="D908" s="1" t="str">
        <x:v>2022-05-31</x:v>
      </x:c>
      <x:c r="E908" s="5" t="n">
        <x:v>6026.24</x:v>
      </x:c>
      <x:c r="F908" s="6" t="str">
        <x:v>2022-06-30</x:v>
      </x:c>
      <x:c r="G908" s="5" t="n">
        <x:v>6454.08</x:v>
      </x:c>
      <x:c r="H908" s="7" t="n">
        <x:f>G908/E908-1</x:f>
        <x:v>0.07099617672047587</x:v>
      </x:c>
      <x:c r="I908" s="1" t="n">
        <x:v>1</x:v>
      </x:c>
      <x:c r="J908" s="1" t="n">
        <x:v>1</x:v>
      </x:c>
      <x:c r="K908" s="1" t="str">
        <x:v>中证官方优先</x:v>
      </x:c>
    </x:row>
    <x:row r="909" ht="25" customHeight="1">
      <x:c r="A909" s="1" t="str">
        <x:v>sh000905</x:v>
      </x:c>
      <x:c r="B909" s="1" t="str">
        <x:v>中证500</x:v>
      </x:c>
      <x:c r="C909" s="1" t="str">
        <x:v>2022-07</x:v>
      </x:c>
      <x:c r="D909" s="1" t="str">
        <x:v>2022-06-30</x:v>
      </x:c>
      <x:c r="E909" s="5" t="n">
        <x:v>6454.08</x:v>
      </x:c>
      <x:c r="F909" s="6" t="str">
        <x:v>2022-07-29</x:v>
      </x:c>
      <x:c r="G909" s="5" t="n">
        <x:v>6294.11</x:v>
      </x:c>
      <x:c r="H909" s="7" t="n">
        <x:f>G909/E909-1</x:f>
        <x:v>-0.02478587188259218</x:v>
      </x:c>
      <x:c r="I909" s="1" t="n">
        <x:v>1</x:v>
      </x:c>
      <x:c r="J909" s="1" t="n">
        <x:v>1</x:v>
      </x:c>
      <x:c r="K909" s="1" t="str">
        <x:v>中证官方优先</x:v>
      </x:c>
    </x:row>
    <x:row r="910" ht="25" customHeight="1">
      <x:c r="A910" s="1" t="str">
        <x:v>sh000905</x:v>
      </x:c>
      <x:c r="B910" s="1" t="str">
        <x:v>中证500</x:v>
      </x:c>
      <x:c r="C910" s="1" t="str">
        <x:v>2022-08</x:v>
      </x:c>
      <x:c r="D910" s="1" t="str">
        <x:v>2022-07-29</x:v>
      </x:c>
      <x:c r="E910" s="5" t="n">
        <x:v>6294.11</x:v>
      </x:c>
      <x:c r="F910" s="6" t="str">
        <x:v>2022-08-31</x:v>
      </x:c>
      <x:c r="G910" s="5" t="n">
        <x:v>6155.75</x:v>
      </x:c>
      <x:c r="H910" s="7" t="n">
        <x:f>G910/E910-1</x:f>
        <x:v>-0.02198245661419962</x:v>
      </x:c>
      <x:c r="I910" s="1" t="n">
        <x:v>1</x:v>
      </x:c>
      <x:c r="J910" s="1" t="n">
        <x:v>1</x:v>
      </x:c>
      <x:c r="K910" s="1" t="str">
        <x:v>中证官方优先</x:v>
      </x:c>
    </x:row>
    <x:row r="911" ht="25" customHeight="1">
      <x:c r="A911" s="1" t="str">
        <x:v>sh000905</x:v>
      </x:c>
      <x:c r="B911" s="1" t="str">
        <x:v>中证500</x:v>
      </x:c>
      <x:c r="C911" s="1" t="str">
        <x:v>2022-09</x:v>
      </x:c>
      <x:c r="D911" s="1" t="str">
        <x:v>2022-08-31</x:v>
      </x:c>
      <x:c r="E911" s="5" t="n">
        <x:v>6155.75</x:v>
      </x:c>
      <x:c r="F911" s="6" t="str">
        <x:v>2022-09-30</x:v>
      </x:c>
      <x:c r="G911" s="5" t="n">
        <x:v>5714.06</x:v>
      </x:c>
      <x:c r="H911" s="7" t="n">
        <x:f>G911/E911-1</x:f>
        <x:v>-0.07175242659302272</x:v>
      </x:c>
      <x:c r="I911" s="1" t="n">
        <x:v>1</x:v>
      </x:c>
      <x:c r="J911" s="1" t="n">
        <x:v>1</x:v>
      </x:c>
      <x:c r="K911" s="1" t="str">
        <x:v>中证官方优先</x:v>
      </x:c>
    </x:row>
    <x:row r="912" ht="25" customHeight="1">
      <x:c r="A912" s="1" t="str">
        <x:v>sh000905</x:v>
      </x:c>
      <x:c r="B912" s="1" t="str">
        <x:v>中证500</x:v>
      </x:c>
      <x:c r="C912" s="1" t="str">
        <x:v>2022-10</x:v>
      </x:c>
      <x:c r="D912" s="1" t="str">
        <x:v>2022-09-30</x:v>
      </x:c>
      <x:c r="E912" s="5" t="n">
        <x:v>5714.06</x:v>
      </x:c>
      <x:c r="F912" s="6" t="str">
        <x:v>2022-10-31</x:v>
      </x:c>
      <x:c r="G912" s="5" t="n">
        <x:v>5807.11</x:v>
      </x:c>
      <x:c r="H912" s="7" t="n">
        <x:f>G912/E912-1</x:f>
        <x:v>0.01628439323353259</x:v>
      </x:c>
      <x:c r="I912" s="1" t="n">
        <x:v>1</x:v>
      </x:c>
      <x:c r="J912" s="1" t="n">
        <x:v>1</x:v>
      </x:c>
      <x:c r="K912" s="1" t="str">
        <x:v>中证官方优先</x:v>
      </x:c>
    </x:row>
    <x:row r="913" ht="25" customHeight="1">
      <x:c r="A913" s="1" t="str">
        <x:v>sh000905</x:v>
      </x:c>
      <x:c r="B913" s="1" t="str">
        <x:v>中证500</x:v>
      </x:c>
      <x:c r="C913" s="1" t="str">
        <x:v>2022-11</x:v>
      </x:c>
      <x:c r="D913" s="1" t="str">
        <x:v>2022-10-31</x:v>
      </x:c>
      <x:c r="E913" s="5" t="n">
        <x:v>5807.11</x:v>
      </x:c>
      <x:c r="F913" s="6" t="str">
        <x:v>2022-11-30</x:v>
      </x:c>
      <x:c r="G913" s="5" t="n">
        <x:v>6156.15</x:v>
      </x:c>
      <x:c r="H913" s="7" t="n">
        <x:f>G913/E913-1</x:f>
        <x:v>0.06010562913394102</x:v>
      </x:c>
      <x:c r="I913" s="1" t="n">
        <x:v>1</x:v>
      </x:c>
      <x:c r="J913" s="1" t="n">
        <x:v>1</x:v>
      </x:c>
      <x:c r="K913" s="1" t="str">
        <x:v>中证官方优先</x:v>
      </x:c>
    </x:row>
    <x:row r="914" ht="25" customHeight="1">
      <x:c r="A914" s="1" t="str">
        <x:v>sh000905</x:v>
      </x:c>
      <x:c r="B914" s="1" t="str">
        <x:v>中证500</x:v>
      </x:c>
      <x:c r="C914" s="1" t="str">
        <x:v>2022-12</x:v>
      </x:c>
      <x:c r="D914" s="1" t="str">
        <x:v>2022-11-30</x:v>
      </x:c>
      <x:c r="E914" s="5" t="n">
        <x:v>6156.15</x:v>
      </x:c>
      <x:c r="F914" s="6" t="str">
        <x:v>2022-12-30</x:v>
      </x:c>
      <x:c r="G914" s="5" t="n">
        <x:v>5864.47</x:v>
      </x:c>
      <x:c r="H914" s="7" t="n">
        <x:f>G914/E914-1</x:f>
        <x:v>-0.04738026201440826</x:v>
      </x:c>
      <x:c r="I914" s="1" t="n">
        <x:v>1</x:v>
      </x:c>
      <x:c r="J914" s="1" t="n">
        <x:v>1</x:v>
      </x:c>
      <x:c r="K914" s="1" t="str">
        <x:v>中证官方优先</x:v>
      </x:c>
    </x:row>
    <x:row r="915" ht="25" customHeight="1">
      <x:c r="A915" s="1" t="str">
        <x:v>sh000905</x:v>
      </x:c>
      <x:c r="B915" s="1" t="str">
        <x:v>中证500</x:v>
      </x:c>
      <x:c r="C915" s="1" t="str">
        <x:v>2023-01</x:v>
      </x:c>
      <x:c r="D915" s="1" t="str">
        <x:v>2022-12-30</x:v>
      </x:c>
      <x:c r="E915" s="5" t="n">
        <x:v>5864.47</x:v>
      </x:c>
      <x:c r="F915" s="6" t="str">
        <x:v>2023-01-31</x:v>
      </x:c>
      <x:c r="G915" s="5" t="n">
        <x:v>6289.15</x:v>
      </x:c>
      <x:c r="H915" s="7" t="n">
        <x:f>G915/E915-1</x:f>
        <x:v>0.07241575112499499</x:v>
      </x:c>
      <x:c r="I915" s="1" t="n">
        <x:v>1</x:v>
      </x:c>
      <x:c r="J915" s="1" t="n">
        <x:v>1</x:v>
      </x:c>
      <x:c r="K915" s="1" t="str">
        <x:v>中证官方优先</x:v>
      </x:c>
    </x:row>
    <x:row r="916" ht="25" customHeight="1">
      <x:c r="A916" s="1" t="str">
        <x:v>sh000905</x:v>
      </x:c>
      <x:c r="B916" s="1" t="str">
        <x:v>中证500</x:v>
      </x:c>
      <x:c r="C916" s="1" t="str">
        <x:v>2023-02</x:v>
      </x:c>
      <x:c r="D916" s="1" t="str">
        <x:v>2023-01-31</x:v>
      </x:c>
      <x:c r="E916" s="5" t="n">
        <x:v>6289.15</x:v>
      </x:c>
      <x:c r="F916" s="6" t="str">
        <x:v>2023-02-28</x:v>
      </x:c>
      <x:c r="G916" s="5" t="n">
        <x:v>6357.54</x:v>
      </x:c>
      <x:c r="H916" s="7" t="n">
        <x:f>G916/E916-1</x:f>
        <x:v>0.01087428348822983</x:v>
      </x:c>
      <x:c r="I916" s="1" t="n">
        <x:v>1</x:v>
      </x:c>
      <x:c r="J916" s="1" t="n">
        <x:v>1</x:v>
      </x:c>
      <x:c r="K916" s="1" t="str">
        <x:v>中证官方优先</x:v>
      </x:c>
    </x:row>
    <x:row r="917" ht="25" customHeight="1">
      <x:c r="A917" s="1" t="str">
        <x:v>sh000905</x:v>
      </x:c>
      <x:c r="B917" s="1" t="str">
        <x:v>中证500</x:v>
      </x:c>
      <x:c r="C917" s="1" t="str">
        <x:v>2023-03</x:v>
      </x:c>
      <x:c r="D917" s="1" t="str">
        <x:v>2023-02-28</x:v>
      </x:c>
      <x:c r="E917" s="5" t="n">
        <x:v>6357.54</x:v>
      </x:c>
      <x:c r="F917" s="6" t="str">
        <x:v>2023-03-31</x:v>
      </x:c>
      <x:c r="G917" s="5" t="n">
        <x:v>6339.82</x:v>
      </x:c>
      <x:c r="H917" s="7" t="n">
        <x:f>G917/E917-1</x:f>
        <x:v>-0.0027872416060300553</x:v>
      </x:c>
      <x:c r="I917" s="1" t="n">
        <x:v>1</x:v>
      </x:c>
      <x:c r="J917" s="1" t="n">
        <x:v>1</x:v>
      </x:c>
      <x:c r="K917" s="1" t="str">
        <x:v>中证官方优先</x:v>
      </x:c>
    </x:row>
    <x:row r="918" ht="25" customHeight="1">
      <x:c r="A918" s="1" t="str">
        <x:v>sh000905</x:v>
      </x:c>
      <x:c r="B918" s="1" t="str">
        <x:v>中证500</x:v>
      </x:c>
      <x:c r="C918" s="1" t="str">
        <x:v>2023-04</x:v>
      </x:c>
      <x:c r="D918" s="1" t="str">
        <x:v>2023-03-31</x:v>
      </x:c>
      <x:c r="E918" s="5" t="n">
        <x:v>6339.82</x:v>
      </x:c>
      <x:c r="F918" s="6" t="str">
        <x:v>2023-04-28</x:v>
      </x:c>
      <x:c r="G918" s="5" t="n">
        <x:v>6241.24</x:v>
      </x:c>
      <x:c r="H918" s="7" t="n">
        <x:f>G918/E918-1</x:f>
        <x:v>-0.015549337362890436</x:v>
      </x:c>
      <x:c r="I918" s="1" t="n">
        <x:v>1</x:v>
      </x:c>
      <x:c r="J918" s="1" t="n">
        <x:v>1</x:v>
      </x:c>
      <x:c r="K918" s="1" t="str">
        <x:v>中证官方优先</x:v>
      </x:c>
    </x:row>
    <x:row r="919" ht="25" customHeight="1">
      <x:c r="A919" s="1" t="str">
        <x:v>sh000905</x:v>
      </x:c>
      <x:c r="B919" s="1" t="str">
        <x:v>中证500</x:v>
      </x:c>
      <x:c r="C919" s="1" t="str">
        <x:v>2023-05</x:v>
      </x:c>
      <x:c r="D919" s="1" t="str">
        <x:v>2023-04-28</x:v>
      </x:c>
      <x:c r="E919" s="5" t="n">
        <x:v>6241.24</x:v>
      </x:c>
      <x:c r="F919" s="6" t="str">
        <x:v>2023-05-31</x:v>
      </x:c>
      <x:c r="G919" s="5" t="n">
        <x:v>6047.8</x:v>
      </x:c>
      <x:c r="H919" s="7" t="n">
        <x:f>G919/E919-1</x:f>
        <x:v>-0.03099384096750002</x:v>
      </x:c>
      <x:c r="I919" s="1" t="n">
        <x:v>1</x:v>
      </x:c>
      <x:c r="J919" s="1" t="n">
        <x:v>1</x:v>
      </x:c>
      <x:c r="K919" s="1" t="str">
        <x:v>中证官方优先</x:v>
      </x:c>
    </x:row>
    <x:row r="920" ht="25" customHeight="1">
      <x:c r="A920" s="1" t="str">
        <x:v>sh000905</x:v>
      </x:c>
      <x:c r="B920" s="1" t="str">
        <x:v>中证500</x:v>
      </x:c>
      <x:c r="C920" s="1" t="str">
        <x:v>2023-06</x:v>
      </x:c>
      <x:c r="D920" s="1" t="str">
        <x:v>2023-05-31</x:v>
      </x:c>
      <x:c r="E920" s="5" t="n">
        <x:v>6047.8</x:v>
      </x:c>
      <x:c r="F920" s="6" t="str">
        <x:v>2023-06-30</x:v>
      </x:c>
      <x:c r="G920" s="5" t="n">
        <x:v>5998.73</x:v>
      </x:c>
      <x:c r="H920" s="7" t="n">
        <x:f>G920/E920-1</x:f>
        <x:v>-0.008113694235920565</x:v>
      </x:c>
      <x:c r="I920" s="1" t="n">
        <x:v>1</x:v>
      </x:c>
      <x:c r="J920" s="1" t="n">
        <x:v>1</x:v>
      </x:c>
      <x:c r="K920" s="1" t="str">
        <x:v>中证官方优先</x:v>
      </x:c>
    </x:row>
    <x:row r="921" ht="25" customHeight="1">
      <x:c r="A921" s="1" t="str">
        <x:v>sh000905</x:v>
      </x:c>
      <x:c r="B921" s="1" t="str">
        <x:v>中证500</x:v>
      </x:c>
      <x:c r="C921" s="1" t="str">
        <x:v>2023-07</x:v>
      </x:c>
      <x:c r="D921" s="1" t="str">
        <x:v>2023-06-30</x:v>
      </x:c>
      <x:c r="E921" s="5" t="n">
        <x:v>5998.73</x:v>
      </x:c>
      <x:c r="F921" s="6" t="str">
        <x:v>2023-07-31</x:v>
      </x:c>
      <x:c r="G921" s="5" t="n">
        <x:v>6088.24</x:v>
      </x:c>
      <x:c r="H921" s="7" t="n">
        <x:f>G921/E921-1</x:f>
        <x:v>0.014921491715746527</x:v>
      </x:c>
      <x:c r="I921" s="1" t="n">
        <x:v>1</x:v>
      </x:c>
      <x:c r="J921" s="1" t="n">
        <x:v>1</x:v>
      </x:c>
      <x:c r="K921" s="1" t="str">
        <x:v>中证官方优先</x:v>
      </x:c>
    </x:row>
    <x:row r="922" ht="25" customHeight="1">
      <x:c r="A922" s="1" t="str">
        <x:v>sh000905</x:v>
      </x:c>
      <x:c r="B922" s="1" t="str">
        <x:v>中证500</x:v>
      </x:c>
      <x:c r="C922" s="1" t="str">
        <x:v>2023-08</x:v>
      </x:c>
      <x:c r="D922" s="1" t="str">
        <x:v>2023-07-31</x:v>
      </x:c>
      <x:c r="E922" s="5" t="n">
        <x:v>6088.24</x:v>
      </x:c>
      <x:c r="F922" s="6" t="str">
        <x:v>2023-08-31</x:v>
      </x:c>
      <x:c r="G922" s="5" t="n">
        <x:v>5739.4</x:v>
      </x:c>
      <x:c r="H922" s="7" t="n">
        <x:f>G922/E922-1</x:f>
        <x:v>-0.05729734701654343</x:v>
      </x:c>
      <x:c r="I922" s="1" t="n">
        <x:v>1</x:v>
      </x:c>
      <x:c r="J922" s="1" t="n">
        <x:v>1</x:v>
      </x:c>
      <x:c r="K922" s="1" t="str">
        <x:v>中证官方优先</x:v>
      </x:c>
    </x:row>
    <x:row r="923" ht="25" customHeight="1">
      <x:c r="A923" s="1" t="str">
        <x:v>sh000905</x:v>
      </x:c>
      <x:c r="B923" s="1" t="str">
        <x:v>中证500</x:v>
      </x:c>
      <x:c r="C923" s="1" t="str">
        <x:v>2023-09</x:v>
      </x:c>
      <x:c r="D923" s="1" t="str">
        <x:v>2023-08-31</x:v>
      </x:c>
      <x:c r="E923" s="5" t="n">
        <x:v>5739.4</x:v>
      </x:c>
      <x:c r="F923" s="6" t="str">
        <x:v>2023-09-28</x:v>
      </x:c>
      <x:c r="G923" s="5" t="n">
        <x:v>5690.77</x:v>
      </x:c>
      <x:c r="H923" s="7" t="n">
        <x:f>G923/E923-1</x:f>
        <x:v>-0.008473011116144402</x:v>
      </x:c>
      <x:c r="I923" s="1" t="n">
        <x:v>1</x:v>
      </x:c>
      <x:c r="J923" s="1" t="n">
        <x:v>1</x:v>
      </x:c>
      <x:c r="K923" s="1" t="str">
        <x:v>中证官方优先</x:v>
      </x:c>
    </x:row>
    <x:row r="924" ht="25" customHeight="1">
      <x:c r="A924" s="1" t="str">
        <x:v>sh000905</x:v>
      </x:c>
      <x:c r="B924" s="1" t="str">
        <x:v>中证500</x:v>
      </x:c>
      <x:c r="C924" s="1" t="str">
        <x:v>2023-10</x:v>
      </x:c>
      <x:c r="D924" s="1" t="str">
        <x:v>2023-09-28</x:v>
      </x:c>
      <x:c r="E924" s="5" t="n">
        <x:v>5690.77</x:v>
      </x:c>
      <x:c r="F924" s="6" t="str">
        <x:v>2023-10-31</x:v>
      </x:c>
      <x:c r="G924" s="5" t="n">
        <x:v>5528.24</x:v>
      </x:c>
      <x:c r="H924" s="7" t="n">
        <x:f>G924/E924-1</x:f>
        <x:v>-0.02856028270339528</x:v>
      </x:c>
      <x:c r="I924" s="1" t="n">
        <x:v>1</x:v>
      </x:c>
      <x:c r="J924" s="1" t="n">
        <x:v>1</x:v>
      </x:c>
      <x:c r="K924" s="1" t="str">
        <x:v>中证官方优先</x:v>
      </x:c>
    </x:row>
    <x:row r="925" ht="25" customHeight="1">
      <x:c r="A925" s="1" t="str">
        <x:v>sh000905</x:v>
      </x:c>
      <x:c r="B925" s="1" t="str">
        <x:v>中证500</x:v>
      </x:c>
      <x:c r="C925" s="1" t="str">
        <x:v>2023-11</x:v>
      </x:c>
      <x:c r="D925" s="1" t="str">
        <x:v>2023-10-31</x:v>
      </x:c>
      <x:c r="E925" s="5" t="n">
        <x:v>5528.24</x:v>
      </x:c>
      <x:c r="F925" s="6" t="str">
        <x:v>2023-11-30</x:v>
      </x:c>
      <x:c r="G925" s="5" t="n">
        <x:v>5545.05</x:v>
      </x:c>
      <x:c r="H925" s="7" t="n">
        <x:f>G925/E925-1</x:f>
        <x:v>0.003040750763353417</x:v>
      </x:c>
      <x:c r="I925" s="1" t="n">
        <x:v>1</x:v>
      </x:c>
      <x:c r="J925" s="1" t="n">
        <x:v>1</x:v>
      </x:c>
      <x:c r="K925" s="1" t="str">
        <x:v>中证官方优先</x:v>
      </x:c>
    </x:row>
    <x:row r="926" ht="25" customHeight="1">
      <x:c r="A926" s="1" t="str">
        <x:v>sh000905</x:v>
      </x:c>
      <x:c r="B926" s="1" t="str">
        <x:v>中证500</x:v>
      </x:c>
      <x:c r="C926" s="1" t="str">
        <x:v>2023-12</x:v>
      </x:c>
      <x:c r="D926" s="1" t="str">
        <x:v>2023-11-30</x:v>
      </x:c>
      <x:c r="E926" s="5" t="n">
        <x:v>5545.05</x:v>
      </x:c>
      <x:c r="F926" s="6" t="str">
        <x:v>2023-12-29</x:v>
      </x:c>
      <x:c r="G926" s="5" t="n">
        <x:v>5429.23</x:v>
      </x:c>
      <x:c r="H926" s="7" t="n">
        <x:f>G926/E926-1</x:f>
        <x:v>-0.020887097501375185</x:v>
      </x:c>
      <x:c r="I926" s="1" t="n">
        <x:v>1</x:v>
      </x:c>
      <x:c r="J926" s="1" t="n">
        <x:v>1</x:v>
      </x:c>
      <x:c r="K926" s="1" t="str">
        <x:v>中证官方优先</x:v>
      </x:c>
    </x:row>
    <x:row r="927" ht="25" customHeight="1">
      <x:c r="A927" s="1" t="str">
        <x:v>sh000905</x:v>
      </x:c>
      <x:c r="B927" s="1" t="str">
        <x:v>中证500</x:v>
      </x:c>
      <x:c r="C927" s="1" t="str">
        <x:v>2024-01</x:v>
      </x:c>
      <x:c r="D927" s="1" t="str">
        <x:v>2023-12-29</x:v>
      </x:c>
      <x:c r="E927" s="5" t="n">
        <x:v>5429.23</x:v>
      </x:c>
      <x:c r="F927" s="6" t="str">
        <x:v>2024-01-31</x:v>
      </x:c>
      <x:c r="G927" s="5" t="n">
        <x:v>4696.98</x:v>
      </x:c>
      <x:c r="H927" s="7" t="n">
        <x:f>G927/E927-1</x:f>
        <x:v>-0.13487179581634967</x:v>
      </x:c>
      <x:c r="I927" s="1" t="n">
        <x:v>1</x:v>
      </x:c>
      <x:c r="J927" s="1" t="n">
        <x:v>1</x:v>
      </x:c>
      <x:c r="K927" s="1" t="str">
        <x:v>中证官方优先</x:v>
      </x:c>
    </x:row>
    <x:row r="928" ht="25" customHeight="1">
      <x:c r="A928" s="1" t="str">
        <x:v>sh000905</x:v>
      </x:c>
      <x:c r="B928" s="1" t="str">
        <x:v>中证500</x:v>
      </x:c>
      <x:c r="C928" s="1" t="str">
        <x:v>2024-02</x:v>
      </x:c>
      <x:c r="D928" s="1" t="str">
        <x:v>2024-01-31</x:v>
      </x:c>
      <x:c r="E928" s="5" t="n">
        <x:v>4696.98</x:v>
      </x:c>
      <x:c r="F928" s="6" t="str">
        <x:v>2024-02-29</x:v>
      </x:c>
      <x:c r="G928" s="5" t="n">
        <x:v>5346.79</x:v>
      </x:c>
      <x:c r="H928" s="7" t="n">
        <x:f>G928/E928-1</x:f>
        <x:v>0.13834634169189575</x:v>
      </x:c>
      <x:c r="I928" s="1" t="n">
        <x:v>1</x:v>
      </x:c>
      <x:c r="J928" s="1" t="n">
        <x:v>1</x:v>
      </x:c>
      <x:c r="K928" s="1" t="str">
        <x:v>中证官方优先</x:v>
      </x:c>
    </x:row>
    <x:row r="929" ht="25" customHeight="1">
      <x:c r="A929" s="1" t="str">
        <x:v>sh000905</x:v>
      </x:c>
      <x:c r="B929" s="1" t="str">
        <x:v>中证500</x:v>
      </x:c>
      <x:c r="C929" s="1" t="str">
        <x:v>2024-03</x:v>
      </x:c>
      <x:c r="D929" s="1" t="str">
        <x:v>2024-02-29</x:v>
      </x:c>
      <x:c r="E929" s="5" t="n">
        <x:v>5346.79</x:v>
      </x:c>
      <x:c r="F929" s="6" t="str">
        <x:v>2024-03-29</x:v>
      </x:c>
      <x:c r="G929" s="5" t="n">
        <x:v>5286.16</x:v>
      </x:c>
      <x:c r="H929" s="7" t="n">
        <x:f>G929/E929-1</x:f>
        <x:v>-0.011339513988767091</x:v>
      </x:c>
      <x:c r="I929" s="1" t="n">
        <x:v>1</x:v>
      </x:c>
      <x:c r="J929" s="1" t="n">
        <x:v>1</x:v>
      </x:c>
      <x:c r="K929" s="1" t="str">
        <x:v>中证官方优先</x:v>
      </x:c>
    </x:row>
    <x:row r="930" ht="25" customHeight="1">
      <x:c r="A930" s="1" t="str">
        <x:v>sh000905</x:v>
      </x:c>
      <x:c r="B930" s="1" t="str">
        <x:v>中证500</x:v>
      </x:c>
      <x:c r="C930" s="1" t="str">
        <x:v>2024-04</x:v>
      </x:c>
      <x:c r="D930" s="1" t="str">
        <x:v>2024-03-29</x:v>
      </x:c>
      <x:c r="E930" s="5" t="n">
        <x:v>5286.16</x:v>
      </x:c>
      <x:c r="F930" s="6" t="str">
        <x:v>2024-04-30</x:v>
      </x:c>
      <x:c r="G930" s="5" t="n">
        <x:v>5441.14</x:v>
      </x:c>
      <x:c r="H930" s="7" t="n">
        <x:f>G930/E930-1</x:f>
        <x:v>0.029318068314239554</x:v>
      </x:c>
      <x:c r="I930" s="1" t="n">
        <x:v>1</x:v>
      </x:c>
      <x:c r="J930" s="1" t="n">
        <x:v>1</x:v>
      </x:c>
      <x:c r="K930" s="1" t="str">
        <x:v>中证官方优先</x:v>
      </x:c>
    </x:row>
    <x:row r="931" ht="25" customHeight="1">
      <x:c r="A931" s="1" t="str">
        <x:v>sh000905</x:v>
      </x:c>
      <x:c r="B931" s="1" t="str">
        <x:v>中证500</x:v>
      </x:c>
      <x:c r="C931" s="1" t="str">
        <x:v>2024-05</x:v>
      </x:c>
      <x:c r="D931" s="1" t="str">
        <x:v>2024-04-30</x:v>
      </x:c>
      <x:c r="E931" s="5" t="n">
        <x:v>5441.14</x:v>
      </x:c>
      <x:c r="F931" s="6" t="str">
        <x:v>2024-05-31</x:v>
      </x:c>
      <x:c r="G931" s="5" t="n">
        <x:v>5308.54</x:v>
      </x:c>
      <x:c r="H931" s="7" t="n">
        <x:f>G931/E931-1</x:f>
        <x:v>-0.024369893073877935</x:v>
      </x:c>
      <x:c r="I931" s="1" t="n">
        <x:v>1</x:v>
      </x:c>
      <x:c r="J931" s="1" t="n">
        <x:v>1</x:v>
      </x:c>
      <x:c r="K931" s="1" t="str">
        <x:v>中证官方优先</x:v>
      </x:c>
    </x:row>
    <x:row r="932" ht="25" customHeight="1">
      <x:c r="A932" s="1" t="str">
        <x:v>sh000905</x:v>
      </x:c>
      <x:c r="B932" s="1" t="str">
        <x:v>中证500</x:v>
      </x:c>
      <x:c r="C932" s="1" t="str">
        <x:v>2024-06</x:v>
      </x:c>
      <x:c r="D932" s="1" t="str">
        <x:v>2024-05-31</x:v>
      </x:c>
      <x:c r="E932" s="5" t="n">
        <x:v>5308.54</x:v>
      </x:c>
      <x:c r="F932" s="6" t="str">
        <x:v>2024-06-28</x:v>
      </x:c>
      <x:c r="G932" s="5" t="n">
        <x:v>4942.78</x:v>
      </x:c>
      <x:c r="H932" s="7" t="n">
        <x:f>G932/E932-1</x:f>
        <x:v>-0.06890030027088434</x:v>
      </x:c>
      <x:c r="I932" s="1" t="n">
        <x:v>1</x:v>
      </x:c>
      <x:c r="J932" s="1" t="n">
        <x:v>1</x:v>
      </x:c>
      <x:c r="K932" s="1" t="str">
        <x:v>中证官方优先</x:v>
      </x:c>
    </x:row>
    <x:row r="933" ht="25" customHeight="1">
      <x:c r="A933" s="1" t="str">
        <x:v>sh000905</x:v>
      </x:c>
      <x:c r="B933" s="1" t="str">
        <x:v>中证500</x:v>
      </x:c>
      <x:c r="C933" s="1" t="str">
        <x:v>2024-07</x:v>
      </x:c>
      <x:c r="D933" s="1" t="str">
        <x:v>2024-06-28</x:v>
      </x:c>
      <x:c r="E933" s="5" t="n">
        <x:v>4942.78</x:v>
      </x:c>
      <x:c r="F933" s="6" t="str">
        <x:v>2024-07-31</x:v>
      </x:c>
      <x:c r="G933" s="5" t="n">
        <x:v>4886.41</x:v>
      </x:c>
      <x:c r="H933" s="7" t="n">
        <x:f>G933/E933-1</x:f>
        <x:v>-0.011404513249628767</x:v>
      </x:c>
      <x:c r="I933" s="1" t="n">
        <x:v>1</x:v>
      </x:c>
      <x:c r="J933" s="1" t="n">
        <x:v>1</x:v>
      </x:c>
      <x:c r="K933" s="1" t="str">
        <x:v>中证官方优先</x:v>
      </x:c>
    </x:row>
    <x:row r="934" ht="25" customHeight="1">
      <x:c r="A934" s="1" t="str">
        <x:v>sh000905</x:v>
      </x:c>
      <x:c r="B934" s="1" t="str">
        <x:v>中证500</x:v>
      </x:c>
      <x:c r="C934" s="1" t="str">
        <x:v>2024-08</x:v>
      </x:c>
      <x:c r="D934" s="1" t="str">
        <x:v>2024-07-31</x:v>
      </x:c>
      <x:c r="E934" s="5" t="n">
        <x:v>4886.41</x:v>
      </x:c>
      <x:c r="F934" s="6" t="str">
        <x:v>2024-08-30</x:v>
      </x:c>
      <x:c r="G934" s="5" t="n">
        <x:v>4639.11</x:v>
      </x:c>
      <x:c r="H934" s="7" t="n">
        <x:f>G934/E934-1</x:f>
        <x:v>-0.05060975235397769</x:v>
      </x:c>
      <x:c r="I934" s="1" t="n">
        <x:v>1</x:v>
      </x:c>
      <x:c r="J934" s="1" t="n">
        <x:v>1</x:v>
      </x:c>
      <x:c r="K934" s="1" t="str">
        <x:v>中证官方优先</x:v>
      </x:c>
    </x:row>
    <x:row r="935" ht="25" customHeight="1">
      <x:c r="A935" s="1" t="str">
        <x:v>sh000905</x:v>
      </x:c>
      <x:c r="B935" s="1" t="str">
        <x:v>中证500</x:v>
      </x:c>
      <x:c r="C935" s="1" t="str">
        <x:v>2024-09</x:v>
      </x:c>
      <x:c r="D935" s="1" t="str">
        <x:v>2024-08-30</x:v>
      </x:c>
      <x:c r="E935" s="5" t="n">
        <x:v>4639.11</x:v>
      </x:c>
      <x:c r="F935" s="6" t="str">
        <x:v>2024-09-30</x:v>
      </x:c>
      <x:c r="G935" s="5" t="n">
        <x:v>5743.22</x:v>
      </x:c>
      <x:c r="H935" s="7" t="n">
        <x:f>G935/E935-1</x:f>
        <x:v>0.23800039231662984</x:v>
      </x:c>
      <x:c r="I935" s="1" t="n">
        <x:v>1</x:v>
      </x:c>
      <x:c r="J935" s="1" t="n">
        <x:v>1</x:v>
      </x:c>
      <x:c r="K935" s="1" t="str">
        <x:v>中证官方优先</x:v>
      </x:c>
    </x:row>
    <x:row r="936" ht="25" customHeight="1">
      <x:c r="A936" s="1" t="str">
        <x:v>sh000905</x:v>
      </x:c>
      <x:c r="B936" s="1" t="str">
        <x:v>中证500</x:v>
      </x:c>
      <x:c r="C936" s="1" t="str">
        <x:v>2024-10</x:v>
      </x:c>
      <x:c r="D936" s="1" t="str">
        <x:v>2024-09-30</x:v>
      </x:c>
      <x:c r="E936" s="5" t="n">
        <x:v>5743.22</x:v>
      </x:c>
      <x:c r="F936" s="6" t="str">
        <x:v>2024-10-31</x:v>
      </x:c>
      <x:c r="G936" s="5" t="n">
        <x:v>5901.29</x:v>
      </x:c>
      <x:c r="H936" s="7" t="n">
        <x:f>G936/E936-1</x:f>
        <x:v>0.027522887857334366</x:v>
      </x:c>
      <x:c r="I936" s="1" t="n">
        <x:v>1</x:v>
      </x:c>
      <x:c r="J936" s="1" t="n">
        <x:v>1</x:v>
      </x:c>
      <x:c r="K936" s="1" t="str">
        <x:v>中证官方优先</x:v>
      </x:c>
    </x:row>
    <x:row r="937" ht="25" customHeight="1">
      <x:c r="A937" s="1" t="str">
        <x:v>sh000905</x:v>
      </x:c>
      <x:c r="B937" s="1" t="str">
        <x:v>中证500</x:v>
      </x:c>
      <x:c r="C937" s="1" t="str">
        <x:v>2024-11</x:v>
      </x:c>
      <x:c r="D937" s="1" t="str">
        <x:v>2024-10-31</x:v>
      </x:c>
      <x:c r="E937" s="5" t="n">
        <x:v>5901.29</x:v>
      </x:c>
      <x:c r="F937" s="6" t="str">
        <x:v>2024-11-29</x:v>
      </x:c>
      <x:c r="G937" s="5" t="n">
        <x:v>5851.94</x:v>
      </x:c>
      <x:c r="H937" s="7" t="n">
        <x:f>G937/E937-1</x:f>
        <x:v>-0.008362578351512995</x:v>
      </x:c>
      <x:c r="I937" s="1" t="n">
        <x:v>1</x:v>
      </x:c>
      <x:c r="J937" s="1" t="n">
        <x:v>1</x:v>
      </x:c>
      <x:c r="K937" s="1" t="str">
        <x:v>中证官方优先</x:v>
      </x:c>
    </x:row>
    <x:row r="938" ht="25" customHeight="1">
      <x:c r="A938" s="1" t="str">
        <x:v>sh000905</x:v>
      </x:c>
      <x:c r="B938" s="1" t="str">
        <x:v>中证500</x:v>
      </x:c>
      <x:c r="C938" s="1" t="str">
        <x:v>2024-12</x:v>
      </x:c>
      <x:c r="D938" s="1" t="str">
        <x:v>2024-11-29</x:v>
      </x:c>
      <x:c r="E938" s="5" t="n">
        <x:v>5851.94</x:v>
      </x:c>
      <x:c r="F938" s="6" t="str">
        <x:v>2024-12-31</x:v>
      </x:c>
      <x:c r="G938" s="5" t="n">
        <x:v>5725.73</x:v>
      </x:c>
      <x:c r="H938" s="7" t="n">
        <x:f>G938/E938-1</x:f>
        <x:v>-0.02156720677245494</x:v>
      </x:c>
      <x:c r="I938" s="1" t="n">
        <x:v>1</x:v>
      </x:c>
      <x:c r="J938" s="1" t="n">
        <x:v>1</x:v>
      </x:c>
      <x:c r="K938" s="1" t="str">
        <x:v>中证官方优先</x:v>
      </x:c>
    </x:row>
    <x:row r="939" ht="25" customHeight="1">
      <x:c r="A939" s="1" t="str">
        <x:v>sh000905</x:v>
      </x:c>
      <x:c r="B939" s="1" t="str">
        <x:v>中证500</x:v>
      </x:c>
      <x:c r="C939" s="1" t="str">
        <x:v>2025-01</x:v>
      </x:c>
      <x:c r="D939" s="1" t="str">
        <x:v>2024-12-31</x:v>
      </x:c>
      <x:c r="E939" s="5" t="n">
        <x:v>5725.73</x:v>
      </x:c>
      <x:c r="F939" s="6" t="str">
        <x:v>2025-01-27</x:v>
      </x:c>
      <x:c r="G939" s="5" t="n">
        <x:v>5589.34</x:v>
      </x:c>
      <x:c r="H939" s="7" t="n">
        <x:f>G939/E939-1</x:f>
        <x:v>-0.023820543406692152</x:v>
      </x:c>
      <x:c r="I939" s="1" t="n">
        <x:v>1</x:v>
      </x:c>
      <x:c r="J939" s="1" t="n">
        <x:v>1</x:v>
      </x:c>
      <x:c r="K939" s="1" t="str">
        <x:v>中证官方优先</x:v>
      </x:c>
    </x:row>
    <x:row r="940" ht="25" customHeight="1">
      <x:c r="A940" s="1" t="str">
        <x:v>sh000905</x:v>
      </x:c>
      <x:c r="B940" s="1" t="str">
        <x:v>中证500</x:v>
      </x:c>
      <x:c r="C940" s="1" t="str">
        <x:v>2025-02</x:v>
      </x:c>
      <x:c r="D940" s="1" t="str">
        <x:v>2025-01-27</x:v>
      </x:c>
      <x:c r="E940" s="5" t="n">
        <x:v>5589.34</x:v>
      </x:c>
      <x:c r="F940" s="6" t="str">
        <x:v>2025-02-28</x:v>
      </x:c>
      <x:c r="G940" s="5" t="n">
        <x:v>5859.87</x:v>
      </x:c>
      <x:c r="H940" s="7" t="n">
        <x:f>G940/E940-1</x:f>
        <x:v>0.04840106345292994</x:v>
      </x:c>
      <x:c r="I940" s="1" t="n">
        <x:v>1</x:v>
      </x:c>
      <x:c r="J940" s="1" t="n">
        <x:v>1</x:v>
      </x:c>
      <x:c r="K940" s="1" t="str">
        <x:v>中证官方优先</x:v>
      </x:c>
    </x:row>
    <x:row r="941" ht="25" customHeight="1">
      <x:c r="A941" s="1" t="str">
        <x:v>sh000905</x:v>
      </x:c>
      <x:c r="B941" s="1" t="str">
        <x:v>中证500</x:v>
      </x:c>
      <x:c r="C941" s="1" t="str">
        <x:v>2025-03</x:v>
      </x:c>
      <x:c r="D941" s="1" t="str">
        <x:v>2025-02-28</x:v>
      </x:c>
      <x:c r="E941" s="5" t="n">
        <x:v>5859.87</x:v>
      </x:c>
      <x:c r="F941" s="6" t="str">
        <x:v>2025-03-31</x:v>
      </x:c>
      <x:c r="G941" s="5" t="n">
        <x:v>5857.77</x:v>
      </x:c>
      <x:c r="H941" s="7" t="n">
        <x:f>G941/E941-1</x:f>
        <x:v>-0.00035836972492553354</x:v>
      </x:c>
      <x:c r="I941" s="1" t="n">
        <x:v>1</x:v>
      </x:c>
      <x:c r="J941" s="1" t="n">
        <x:v>1</x:v>
      </x:c>
      <x:c r="K941" s="1" t="str">
        <x:v>中证官方优先</x:v>
      </x:c>
    </x:row>
    <x:row r="942" ht="25" customHeight="1">
      <x:c r="A942" s="1" t="str">
        <x:v>sh000905</x:v>
      </x:c>
      <x:c r="B942" s="1" t="str">
        <x:v>中证500</x:v>
      </x:c>
      <x:c r="C942" s="1" t="str">
        <x:v>2025-04</x:v>
      </x:c>
      <x:c r="D942" s="1" t="str">
        <x:v>2025-03-31</x:v>
      </x:c>
      <x:c r="E942" s="5" t="n">
        <x:v>5857.77</x:v>
      </x:c>
      <x:c r="F942" s="6" t="str">
        <x:v>2025-04-30</x:v>
      </x:c>
      <x:c r="G942" s="5" t="n">
        <x:v>5631.82</x:v>
      </x:c>
      <x:c r="H942" s="7" t="n">
        <x:f>G942/E942-1</x:f>
        <x:v>-0.038572699167089275</x:v>
      </x:c>
      <x:c r="I942" s="1" t="n">
        <x:v>1</x:v>
      </x:c>
      <x:c r="J942" s="1" t="n">
        <x:v>1</x:v>
      </x:c>
      <x:c r="K942" s="1" t="str">
        <x:v>中证官方优先</x:v>
      </x:c>
    </x:row>
    <x:row r="943" ht="25" customHeight="1">
      <x:c r="A943" s="1" t="str">
        <x:v>sh000905</x:v>
      </x:c>
      <x:c r="B943" s="1" t="str">
        <x:v>中证500</x:v>
      </x:c>
      <x:c r="C943" s="1" t="str">
        <x:v>2025-05</x:v>
      </x:c>
      <x:c r="D943" s="1" t="str">
        <x:v>2025-04-30</x:v>
      </x:c>
      <x:c r="E943" s="5" t="n">
        <x:v>5631.82</x:v>
      </x:c>
      <x:c r="F943" s="6" t="str">
        <x:v>2025-05-30</x:v>
      </x:c>
      <x:c r="G943" s="5" t="n">
        <x:v>5671.07</x:v>
      </x:c>
      <x:c r="H943" s="7" t="n">
        <x:f>G943/E943-1</x:f>
        <x:v>0.006969327854938534</x:v>
      </x:c>
      <x:c r="I943" s="1" t="n">
        <x:v>1</x:v>
      </x:c>
      <x:c r="J943" s="1" t="n">
        <x:v>1</x:v>
      </x:c>
      <x:c r="K943" s="1" t="str">
        <x:v>中证官方优先</x:v>
      </x:c>
    </x:row>
    <x:row r="944" ht="25" customHeight="1">
      <x:c r="A944" s="1" t="str">
        <x:v>sh000905</x:v>
      </x:c>
      <x:c r="B944" s="1" t="str">
        <x:v>中证500</x:v>
      </x:c>
      <x:c r="C944" s="1" t="str">
        <x:v>2025-06</x:v>
      </x:c>
      <x:c r="D944" s="1" t="str">
        <x:v>2025-05-30</x:v>
      </x:c>
      <x:c r="E944" s="5" t="n">
        <x:v>5671.07</x:v>
      </x:c>
      <x:c r="F944" s="6" t="str">
        <x:v>2025-06-30</x:v>
      </x:c>
      <x:c r="G944" s="5" t="n">
        <x:v>5915.39</x:v>
      </x:c>
      <x:c r="H944" s="7" t="n">
        <x:f>G944/E944-1</x:f>
        <x:v>0.04308181701160452</x:v>
      </x:c>
      <x:c r="I944" s="1" t="n">
        <x:v>1</x:v>
      </x:c>
      <x:c r="J944" s="1" t="n">
        <x:v>1</x:v>
      </x:c>
      <x:c r="K944" s="1" t="str">
        <x:v>中证官方优先</x:v>
      </x:c>
    </x:row>
    <x:row r="945" ht="25" customHeight="1">
      <x:c r="A945" s="1" t="str">
        <x:v>sh000905</x:v>
      </x:c>
      <x:c r="B945" s="1" t="str">
        <x:v>中证500</x:v>
      </x:c>
      <x:c r="C945" s="1" t="str">
        <x:v>2025-07</x:v>
      </x:c>
      <x:c r="D945" s="1" t="str">
        <x:v>2025-06-30</x:v>
      </x:c>
      <x:c r="E945" s="5" t="n">
        <x:v>5915.39</x:v>
      </x:c>
      <x:c r="F945" s="6" t="str">
        <x:v>2025-07-31</x:v>
      </x:c>
      <x:c r="G945" s="5" t="n">
        <x:v>6226.34</x:v>
      </x:c>
      <x:c r="H945" s="7" t="n">
        <x:f>G945/E945-1</x:f>
        <x:v>0.05256627204630626</x:v>
      </x:c>
      <x:c r="I945" s="1" t="n">
        <x:v>1</x:v>
      </x:c>
      <x:c r="J945" s="1" t="n">
        <x:v>1</x:v>
      </x:c>
      <x:c r="K945" s="1" t="str">
        <x:v>中证官方优先</x:v>
      </x:c>
    </x:row>
    <x:row r="946" ht="25" customHeight="1">
      <x:c r="A946" s="1" t="str">
        <x:v>sh000905</x:v>
      </x:c>
      <x:c r="B946" s="1" t="str">
        <x:v>中证500</x:v>
      </x:c>
      <x:c r="C946" s="1" t="str">
        <x:v>2025-08</x:v>
      </x:c>
      <x:c r="D946" s="1" t="str">
        <x:v>2025-07-31</x:v>
      </x:c>
      <x:c r="E946" s="5" t="n">
        <x:v>6226.34</x:v>
      </x:c>
      <x:c r="F946" s="6" t="str">
        <x:v>2025-08-29</x:v>
      </x:c>
      <x:c r="G946" s="5" t="n">
        <x:v>7043.94</x:v>
      </x:c>
      <x:c r="H946" s="7" t="n">
        <x:f>G946/E946-1</x:f>
        <x:v>0.131313098867071</x:v>
      </x:c>
      <x:c r="I946" s="1" t="n">
        <x:v>1</x:v>
      </x:c>
      <x:c r="J946" s="1" t="n">
        <x:v>1</x:v>
      </x:c>
      <x:c r="K946" s="1" t="str">
        <x:v>中证官方优先</x:v>
      </x:c>
    </x:row>
    <x:row r="947" ht="25" customHeight="1">
      <x:c r="A947" s="1" t="str">
        <x:v>sh000905</x:v>
      </x:c>
      <x:c r="B947" s="1" t="str">
        <x:v>中证500</x:v>
      </x:c>
      <x:c r="C947" s="1" t="str">
        <x:v>2025-09</x:v>
      </x:c>
      <x:c r="D947" s="1" t="str">
        <x:v>2025-08-29</x:v>
      </x:c>
      <x:c r="E947" s="5" t="n">
        <x:v>7043.94</x:v>
      </x:c>
      <x:c r="F947" s="6" t="str">
        <x:v>2025-09-30</x:v>
      </x:c>
      <x:c r="G947" s="5" t="n">
        <x:v>7412.37</x:v>
      </x:c>
      <x:c r="H947" s="7" t="n">
        <x:f>G947/E947-1</x:f>
        <x:v>0.05230453411017133</x:v>
      </x:c>
      <x:c r="I947" s="1" t="n">
        <x:v>1</x:v>
      </x:c>
      <x:c r="J947" s="1" t="n">
        <x:v>1</x:v>
      </x:c>
      <x:c r="K947" s="1" t="str">
        <x:v>中证官方优先</x:v>
      </x:c>
    </x:row>
    <x:row r="948" ht="25" customHeight="1">
      <x:c r="A948" s="1" t="str">
        <x:v>sh000905</x:v>
      </x:c>
      <x:c r="B948" s="1" t="str">
        <x:v>中证500</x:v>
      </x:c>
      <x:c r="C948" s="1" t="str">
        <x:v>2025-10</x:v>
      </x:c>
      <x:c r="D948" s="1" t="str">
        <x:v>2025-09-30</x:v>
      </x:c>
      <x:c r="E948" s="5" t="n">
        <x:v>7412.37</x:v>
      </x:c>
      <x:c r="F948" s="6" t="str">
        <x:v>2025-10-31</x:v>
      </x:c>
      <x:c r="G948" s="5" t="n">
        <x:v>7331</x:v>
      </x:c>
      <x:c r="H948" s="7" t="n">
        <x:f>G948/E948-1</x:f>
        <x:v>-0.01097759555985467</x:v>
      </x:c>
      <x:c r="I948" s="1" t="n">
        <x:v>1</x:v>
      </x:c>
      <x:c r="J948" s="1" t="n">
        <x:v>1</x:v>
      </x:c>
      <x:c r="K948" s="1" t="str">
        <x:v>中证官方优先</x:v>
      </x:c>
    </x:row>
    <x:row r="949" ht="25" customHeight="1">
      <x:c r="A949" s="1" t="str">
        <x:v>sh000905</x:v>
      </x:c>
      <x:c r="B949" s="1" t="str">
        <x:v>中证500</x:v>
      </x:c>
      <x:c r="C949" s="1" t="str">
        <x:v>2025-11</x:v>
      </x:c>
      <x:c r="D949" s="1" t="str">
        <x:v>2025-10-31</x:v>
      </x:c>
      <x:c r="E949" s="5" t="n">
        <x:v>7331</x:v>
      </x:c>
      <x:c r="F949" s="6" t="str">
        <x:v>2025-11-28</x:v>
      </x:c>
      <x:c r="G949" s="5" t="n">
        <x:v>7031.55</x:v>
      </x:c>
      <x:c r="H949" s="7" t="n">
        <x:f>G949/E949-1</x:f>
        <x:v>-0.04084708770972578</x:v>
      </x:c>
      <x:c r="I949" s="1" t="n">
        <x:v>1</x:v>
      </x:c>
      <x:c r="J949" s="1" t="n">
        <x:v>1</x:v>
      </x:c>
      <x:c r="K949" s="1" t="str">
        <x:v>中证官方优先</x:v>
      </x:c>
    </x:row>
    <x:row r="950" ht="25" customHeight="1">
      <x:c r="A950" s="1" t="str">
        <x:v>sh000905</x:v>
      </x:c>
      <x:c r="B950" s="1" t="str">
        <x:v>中证500</x:v>
      </x:c>
      <x:c r="C950" s="1" t="str">
        <x:v>2025-12</x:v>
      </x:c>
      <x:c r="D950" s="1" t="str">
        <x:v>2025-11-28</x:v>
      </x:c>
      <x:c r="E950" s="5" t="n">
        <x:v>7031.55</x:v>
      </x:c>
      <x:c r="F950" s="6" t="str">
        <x:v>2025-12-31</x:v>
      </x:c>
      <x:c r="G950" s="5" t="n">
        <x:v>7465.57</x:v>
      </x:c>
      <x:c r="H950" s="7" t="n">
        <x:f>G950/E950-1</x:f>
        <x:v>0.06172465530359594</x:v>
      </x:c>
      <x:c r="I950" s="1" t="n">
        <x:v>1</x:v>
      </x:c>
      <x:c r="J950" s="1" t="n">
        <x:v>1</x:v>
      </x:c>
      <x:c r="K950" s="1" t="str">
        <x:v>中证官方优先</x:v>
      </x:c>
    </x:row>
    <x:row r="951" ht="25" customHeight="1">
      <x:c r="A951" s="1" t="str">
        <x:v>sh000905</x:v>
      </x:c>
      <x:c r="B951" s="1" t="str">
        <x:v>中证500</x:v>
      </x:c>
      <x:c r="C951" s="1" t="str">
        <x:v>2026-01</x:v>
      </x:c>
      <x:c r="D951" s="1" t="str">
        <x:v>2025-12-31</x:v>
      </x:c>
      <x:c r="E951" s="5" t="n">
        <x:v>7465.57</x:v>
      </x:c>
      <x:c r="F951" s="6" t="str">
        <x:v>2026-01-30</x:v>
      </x:c>
      <x:c r="G951" s="5" t="n">
        <x:v>8370.52</x:v>
      </x:c>
      <x:c r="H951" s="7" t="n">
        <x:f>G951/E951-1</x:f>
        <x:v>0.121216464382492</x:v>
      </x:c>
      <x:c r="I951" s="1" t="n">
        <x:v>1</x:v>
      </x:c>
      <x:c r="J951" s="1" t="n">
        <x:v>1</x:v>
      </x:c>
      <x:c r="K951" s="1" t="str">
        <x:v>中证官方优先</x:v>
      </x:c>
    </x:row>
    <x:row r="952" ht="25" customHeight="1">
      <x:c r="A952" s="1" t="str">
        <x:v>sh000905</x:v>
      </x:c>
      <x:c r="B952" s="1" t="str">
        <x:v>中证500</x:v>
      </x:c>
      <x:c r="C952" s="1" t="str">
        <x:v>2026-02</x:v>
      </x:c>
      <x:c r="D952" s="1" t="str">
        <x:v>2026-01-30</x:v>
      </x:c>
      <x:c r="E952" s="5" t="n">
        <x:v>8370.52</x:v>
      </x:c>
      <x:c r="F952" s="6" t="str">
        <x:v>2026-02-27</x:v>
      </x:c>
      <x:c r="G952" s="5" t="n">
        <x:v>8658.45</x:v>
      </x:c>
      <x:c r="H952" s="7" t="n">
        <x:f>G952/E952-1</x:f>
        <x:v>0.03439810191003678</x:v>
      </x:c>
      <x:c r="I952" s="1" t="n">
        <x:v>1</x:v>
      </x:c>
      <x:c r="J952" s="1" t="n">
        <x:v>1</x:v>
      </x:c>
      <x:c r="K952" s="1" t="str">
        <x:v>中证官方优先</x:v>
      </x:c>
    </x:row>
    <x:row r="953" ht="25" customHeight="1">
      <x:c r="A953" s="1" t="str">
        <x:v>sh000905</x:v>
      </x:c>
      <x:c r="B953" s="1" t="str">
        <x:v>中证500</x:v>
      </x:c>
      <x:c r="C953" s="1" t="str">
        <x:v>2026-03</x:v>
      </x:c>
      <x:c r="D953" s="1" t="str">
        <x:v>2026-02-27</x:v>
      </x:c>
      <x:c r="E953" s="5" t="n">
        <x:v>8658.45</x:v>
      </x:c>
      <x:c r="F953" s="6" t="str">
        <x:v>2026-03-31</x:v>
      </x:c>
      <x:c r="G953" s="5" t="n">
        <x:v>7617.33</x:v>
      </x:c>
      <x:c r="H953" s="7" t="n">
        <x:f>G953/E953-1</x:f>
        <x:v>-0.12024323060132014</x:v>
      </x:c>
      <x:c r="I953" s="1" t="n">
        <x:v>1</x:v>
      </x:c>
      <x:c r="J953" s="1" t="n">
        <x:v>1</x:v>
      </x:c>
      <x:c r="K953" s="1" t="str">
        <x:v>中证官方优先</x:v>
      </x:c>
    </x:row>
    <x:row r="954" ht="25" customHeight="1">
      <x:c r="A954" s="1" t="str">
        <x:v>sh000905</x:v>
      </x:c>
      <x:c r="B954" s="1" t="str">
        <x:v>中证500</x:v>
      </x:c>
      <x:c r="C954" s="1" t="str">
        <x:v>2026-04</x:v>
      </x:c>
      <x:c r="D954" s="1" t="str">
        <x:v>2026-03-31</x:v>
      </x:c>
      <x:c r="E954" s="5" t="n">
        <x:v>7617.33</x:v>
      </x:c>
      <x:c r="F954" s="6" t="str">
        <x:v>2026-04-30</x:v>
      </x:c>
      <x:c r="G954" s="5" t="n">
        <x:v>8349.51</x:v>
      </x:c>
      <x:c r="H954" s="7" t="n">
        <x:f>G954/E954-1</x:f>
        <x:v>0.09612029411880552</x:v>
      </x:c>
      <x:c r="I954" s="1" t="n">
        <x:v>1</x:v>
      </x:c>
      <x:c r="J954" s="1" t="n">
        <x:v>1</x:v>
      </x:c>
      <x:c r="K954" s="1" t="str">
        <x:v>中证官方优先</x:v>
      </x:c>
    </x:row>
    <x:row r="955" ht="25" customHeight="1">
      <x:c r="A955" s="1" t="str">
        <x:v>sh000905</x:v>
      </x:c>
      <x:c r="B955" s="1" t="str">
        <x:v>中证500</x:v>
      </x:c>
      <x:c r="C955" s="1" t="str">
        <x:v>2026-05</x:v>
      </x:c>
      <x:c r="D955" s="1" t="str">
        <x:v>2026-04-30</x:v>
      </x:c>
      <x:c r="E955" s="5" t="n">
        <x:v>8349.51</x:v>
      </x:c>
      <x:c r="F955" s="6" t="str">
        <x:v>2026-05-29</x:v>
      </x:c>
      <x:c r="G955" s="5" t="n">
        <x:v>8359.56</x:v>
      </x:c>
      <x:c r="H955" s="7" t="n">
        <x:f>G955/E955-1</x:f>
        <x:v>0.0012036634485137476</x:v>
      </x:c>
      <x:c r="I955" s="1" t="n">
        <x:v>1</x:v>
      </x:c>
      <x:c r="J955" s="1" t="n">
        <x:v>1</x:v>
      </x:c>
      <x:c r="K955" s="1" t="str">
        <x:v>中证官方优先</x:v>
      </x:c>
    </x:row>
    <x:row r="956" ht="25" customHeight="1">
      <x:c r="A956" s="1" t="str">
        <x:v>sh000905</x:v>
      </x:c>
      <x:c r="B956" s="1" t="str">
        <x:v>中证500</x:v>
      </x:c>
      <x:c r="C956" s="1" t="str">
        <x:v>2026-06</x:v>
      </x:c>
      <x:c r="D956" s="1" t="str">
        <x:v>2026-05-29</x:v>
      </x:c>
      <x:c r="E956" s="5" t="n">
        <x:v>8359.56</x:v>
      </x:c>
      <x:c r="F956" s="6" t="str">
        <x:v>2026-06-30</x:v>
      </x:c>
      <x:c r="G956" s="5" t="n">
        <x:v>9031.38</x:v>
      </x:c>
      <x:c r="H956" s="7" t="n">
        <x:f>G956/E956-1</x:f>
        <x:v>0.08036547378091674</x:v>
      </x:c>
      <x:c r="I956" s="1" t="n">
        <x:v>1</x:v>
      </x:c>
      <x:c r="J956" s="1" t="n">
        <x:v>1</x:v>
      </x:c>
      <x:c r="K956" s="1" t="str">
        <x:v>中证官方优先</x:v>
      </x:c>
    </x:row>
    <x:row r="957" ht="25" customHeight="1">
      <x:c r="A957" s="1" t="str">
        <x:v>sh000905</x:v>
      </x:c>
      <x:c r="B957" s="1" t="str">
        <x:v>中证500</x:v>
      </x:c>
      <x:c r="C957" s="1" t="str">
        <x:v>2026-07</x:v>
      </x:c>
      <x:c r="D957" s="1" t="str">
        <x:v>2026-06-30</x:v>
      </x:c>
      <x:c r="E957" s="5" t="n">
        <x:v>9031.38</x:v>
      </x:c>
      <x:c r="F957" s="6" t="str">
        <x:v>2026-07-31</x:v>
      </x:c>
      <x:c r="G957" s="5" t="n">
        <x:v>7493.99</x:v>
      </x:c>
      <x:c r="H957" s="7" t="n">
        <x:f>G957/E957-1</x:f>
        <x:v>-0.17022758426729911</x:v>
      </x:c>
      <x:c r="I957" s="1" t="n">
        <x:v>1</x:v>
      </x:c>
      <x:c r="J957" s="1" t="n">
        <x:v>1</x:v>
      </x:c>
      <x:c r="K957" s="1" t="str">
        <x:v>中证官方优先</x:v>
      </x:c>
    </x:row>
    <x:row r="958" ht="25" customHeight="1">
      <x:c r="A958" s="1" t="str">
        <x:v>sh000905</x:v>
      </x:c>
      <x:c r="B958" s="1" t="str">
        <x:v>中证500</x:v>
      </x:c>
      <x:c r="C958" s="1" t="str">
        <x:v>2026-08</x:v>
      </x:c>
      <x:c r="D958" s="1" t="str">
        <x:v>2026-07-31</x:v>
      </x:c>
      <x:c r="E958" s="5" t="n">
        <x:v>7493.99</x:v>
      </x:c>
      <x:c r="F958" s="6" t="str">
        <x:v>2026-08-31</x:v>
      </x:c>
      <x:c r="G958" s="5" t="n">
        <x:v>7952.1</x:v>
      </x:c>
      <x:c r="H958" s="7" t="n">
        <x:f>G958/E958-1</x:f>
        <x:v>0.06113031909570221</x:v>
      </x:c>
      <x:c r="I958" s="1" t="n">
        <x:v>1</x:v>
      </x:c>
      <x:c r="J958" s="1" t="n">
        <x:v>1</x:v>
      </x:c>
      <x:c r="K958" s="1" t="str">
        <x:v>中证官方优先</x:v>
      </x:c>
    </x:row>
    <x:row r="959" ht="25" customHeight="1">
      <x:c r="A959" s="1" t="str">
        <x:v>sh000905</x:v>
      </x:c>
      <x:c r="B959" s="1" t="str">
        <x:v>中证500</x:v>
      </x:c>
      <x:c r="C959" s="1" t="str">
        <x:v>2026-09</x:v>
      </x:c>
      <x:c r="D959" s="1" t="str">
        <x:v>2026-08-31</x:v>
      </x:c>
      <x:c r="E959" s="5" t="n">
        <x:v>7952.1</x:v>
      </x:c>
      <x:c r="F959" s="6" t="str">
        <x:v>2026-09-30</x:v>
      </x:c>
      <x:c r="G959" s="5" t="n">
        <x:v>7435.16</x:v>
      </x:c>
      <x:c r="H959" s="7" t="n">
        <x:f>G959/E959-1</x:f>
        <x:v>-0.06500672778259842</x:v>
      </x:c>
      <x:c r="I959" s="1" t="n">
        <x:v>1</x:v>
      </x:c>
      <x:c r="J959" s="1" t="n">
        <x:v>1</x:v>
      </x:c>
      <x:c r="K959" s="1" t="str">
        <x:v>中证官方优先</x:v>
      </x:c>
    </x:row>
    <x:row r="960" ht="25" customHeight="1">
      <x:c r="A960" s="1" t="str">
        <x:v>sh000905</x:v>
      </x:c>
      <x:c r="B960" s="1" t="str">
        <x:v>中证500</x:v>
      </x:c>
      <x:c r="C960" s="1" t="str">
        <x:v>2026-10</x:v>
      </x:c>
      <x:c r="D960" s="1" t="str">
        <x:v>2026-09-30</x:v>
      </x:c>
      <x:c r="E960" s="5" t="n">
        <x:v>7435.16</x:v>
      </x:c>
      <x:c r="F960" s="6" t="str">
        <x:v>2026-10-09</x:v>
      </x:c>
      <x:c r="G960" s="5" t="n">
        <x:v>7251.01</x:v>
      </x:c>
      <x:c r="H960" s="7" t="n">
        <x:f>G960/E960-1</x:f>
        <x:v>-0.024767456248419584</x:v>
      </x:c>
      <x:c r="I960" s="1" t="n">
        <x:v>0</x:v>
      </x:c>
      <x:c r="J960" s="1" t="n">
        <x:v>1</x:v>
      </x:c>
      <x:c r="K960" s="1" t="str">
        <x:v>中证官方优先</x:v>
      </x:c>
    </x:row>
    <x:row r="961" ht="25" customHeight="1">
      <x:c r="A961" s="1" t="str">
        <x:v>sh000852</x:v>
      </x:c>
      <x:c r="B961" s="1" t="str">
        <x:v>中证1000</x:v>
      </x:c>
      <x:c r="C961" s="1" t="str">
        <x:v>2005-01</x:v>
      </x:c>
      <x:c r="D961" s="1"/>
      <x:c r="E961" s="5"/>
      <x:c r="F961" s="6" t="str">
        <x:v>2005-01-31</x:v>
      </x:c>
      <x:c r="G961" s="5" t="n">
        <x:v>924.17</x:v>
      </x:c>
      <x:c r="H961" s="7" t="str">
        <x:f>"n.a."</x:f>
        <x:v>n.a.</x:v>
      </x:c>
      <x:c r="I961" s="1" t="n">
        <x:v>1</x:v>
      </x:c>
      <x:c r="J961" s="1" t="n">
        <x:v>0</x:v>
      </x:c>
      <x:c r="K961" s="1" t="str">
        <x:v>中证官方优先</x:v>
      </x:c>
    </x:row>
    <x:row r="962" ht="25" customHeight="1">
      <x:c r="A962" s="1" t="str">
        <x:v>sh000852</x:v>
      </x:c>
      <x:c r="B962" s="1" t="str">
        <x:v>中证1000</x:v>
      </x:c>
      <x:c r="C962" s="1" t="str">
        <x:v>2005-02</x:v>
      </x:c>
      <x:c r="D962" s="1" t="str">
        <x:v>2005-01-31</x:v>
      </x:c>
      <x:c r="E962" s="5" t="n">
        <x:v>924.17</x:v>
      </x:c>
      <x:c r="F962" s="6" t="str">
        <x:v>2005-02-28</x:v>
      </x:c>
      <x:c r="G962" s="5" t="n">
        <x:v>1029.38</x:v>
      </x:c>
      <x:c r="H962" s="7" t="n">
        <x:f>G962/E962-1</x:f>
        <x:v>0.113842691279743</x:v>
      </x:c>
      <x:c r="I962" s="1" t="n">
        <x:v>1</x:v>
      </x:c>
      <x:c r="J962" s="1" t="n">
        <x:v>0</x:v>
      </x:c>
      <x:c r="K962" s="1" t="str">
        <x:v>中证官方优先</x:v>
      </x:c>
    </x:row>
    <x:row r="963" ht="25" customHeight="1">
      <x:c r="A963" s="1" t="str">
        <x:v>sh000852</x:v>
      </x:c>
      <x:c r="B963" s="1" t="str">
        <x:v>中证1000</x:v>
      </x:c>
      <x:c r="C963" s="1" t="str">
        <x:v>2005-03</x:v>
      </x:c>
      <x:c r="D963" s="1" t="str">
        <x:v>2005-02-28</x:v>
      </x:c>
      <x:c r="E963" s="5" t="n">
        <x:v>1029.38</x:v>
      </x:c>
      <x:c r="F963" s="6" t="str">
        <x:v>2005-03-31</x:v>
      </x:c>
      <x:c r="G963" s="5" t="n">
        <x:v>880.9</x:v>
      </x:c>
      <x:c r="H963" s="7" t="n">
        <x:f>G963/E963-1</x:f>
        <x:v>-0.14424216518681154</x:v>
      </x:c>
      <x:c r="I963" s="1" t="n">
        <x:v>1</x:v>
      </x:c>
      <x:c r="J963" s="1" t="n">
        <x:v>0</x:v>
      </x:c>
      <x:c r="K963" s="1" t="str">
        <x:v>中证官方优先</x:v>
      </x:c>
    </x:row>
    <x:row r="964" ht="25" customHeight="1">
      <x:c r="A964" s="1" t="str">
        <x:v>sh000852</x:v>
      </x:c>
      <x:c r="B964" s="1" t="str">
        <x:v>中证1000</x:v>
      </x:c>
      <x:c r="C964" s="1" t="str">
        <x:v>2005-04</x:v>
      </x:c>
      <x:c r="D964" s="1" t="str">
        <x:v>2005-03-31</x:v>
      </x:c>
      <x:c r="E964" s="5" t="n">
        <x:v>880.9</x:v>
      </x:c>
      <x:c r="F964" s="6" t="str">
        <x:v>2005-04-29</x:v>
      </x:c>
      <x:c r="G964" s="5" t="n">
        <x:v>802.28</x:v>
      </x:c>
      <x:c r="H964" s="7" t="n">
        <x:f>G964/E964-1</x:f>
        <x:v>-0.08924963105914407</x:v>
      </x:c>
      <x:c r="I964" s="1" t="n">
        <x:v>1</x:v>
      </x:c>
      <x:c r="J964" s="1" t="n">
        <x:v>0</x:v>
      </x:c>
      <x:c r="K964" s="1" t="str">
        <x:v>中证官方优先</x:v>
      </x:c>
    </x:row>
    <x:row r="965" ht="25" customHeight="1">
      <x:c r="A965" s="1" t="str">
        <x:v>sh000852</x:v>
      </x:c>
      <x:c r="B965" s="1" t="str">
        <x:v>中证1000</x:v>
      </x:c>
      <x:c r="C965" s="1" t="str">
        <x:v>2005-05</x:v>
      </x:c>
      <x:c r="D965" s="1" t="str">
        <x:v>2005-04-29</x:v>
      </x:c>
      <x:c r="E965" s="5" t="n">
        <x:v>802.28</x:v>
      </x:c>
      <x:c r="F965" s="6" t="str">
        <x:v>2005-05-31</x:v>
      </x:c>
      <x:c r="G965" s="5" t="n">
        <x:v>775.74</x:v>
      </x:c>
      <x:c r="H965" s="7" t="n">
        <x:f>G965/E965-1</x:f>
        <x:v>-0.03308071994814776</x:v>
      </x:c>
      <x:c r="I965" s="1" t="n">
        <x:v>1</x:v>
      </x:c>
      <x:c r="J965" s="1" t="n">
        <x:v>0</x:v>
      </x:c>
      <x:c r="K965" s="1" t="str">
        <x:v>中证官方优先</x:v>
      </x:c>
    </x:row>
    <x:row r="966" ht="25" customHeight="1">
      <x:c r="A966" s="1" t="str">
        <x:v>sh000852</x:v>
      </x:c>
      <x:c r="B966" s="1" t="str">
        <x:v>中证1000</x:v>
      </x:c>
      <x:c r="C966" s="1" t="str">
        <x:v>2005-06</x:v>
      </x:c>
      <x:c r="D966" s="1" t="str">
        <x:v>2005-05-31</x:v>
      </x:c>
      <x:c r="E966" s="5" t="n">
        <x:v>775.74</x:v>
      </x:c>
      <x:c r="F966" s="6" t="str">
        <x:v>2005-06-30</x:v>
      </x:c>
      <x:c r="G966" s="5" t="n">
        <x:v>781.83</x:v>
      </x:c>
      <x:c r="H966" s="7" t="n">
        <x:f>G966/E966-1</x:f>
        <x:v>0.007850568489442322</x:v>
      </x:c>
      <x:c r="I966" s="1" t="n">
        <x:v>1</x:v>
      </x:c>
      <x:c r="J966" s="1" t="n">
        <x:v>0</x:v>
      </x:c>
      <x:c r="K966" s="1" t="str">
        <x:v>中证官方优先</x:v>
      </x:c>
    </x:row>
    <x:row r="967" ht="25" customHeight="1">
      <x:c r="A967" s="1" t="str">
        <x:v>sh000852</x:v>
      </x:c>
      <x:c r="B967" s="1" t="str">
        <x:v>中证1000</x:v>
      </x:c>
      <x:c r="C967" s="1" t="str">
        <x:v>2005-07</x:v>
      </x:c>
      <x:c r="D967" s="1" t="str">
        <x:v>2005-06-30</x:v>
      </x:c>
      <x:c r="E967" s="5" t="n">
        <x:v>781.83</x:v>
      </x:c>
      <x:c r="F967" s="6" t="str">
        <x:v>2005-07-29</x:v>
      </x:c>
      <x:c r="G967" s="5" t="n">
        <x:v>722.87</x:v>
      </x:c>
      <x:c r="H967" s="7" t="n">
        <x:f>G967/E967-1</x:f>
        <x:v>-0.07541281352723739</x:v>
      </x:c>
      <x:c r="I967" s="1" t="n">
        <x:v>1</x:v>
      </x:c>
      <x:c r="J967" s="1" t="n">
        <x:v>0</x:v>
      </x:c>
      <x:c r="K967" s="1" t="str">
        <x:v>中证官方优先</x:v>
      </x:c>
    </x:row>
    <x:row r="968" ht="25" customHeight="1">
      <x:c r="A968" s="1" t="str">
        <x:v>sh000852</x:v>
      </x:c>
      <x:c r="B968" s="1" t="str">
        <x:v>中证1000</x:v>
      </x:c>
      <x:c r="C968" s="1" t="str">
        <x:v>2005-08</x:v>
      </x:c>
      <x:c r="D968" s="1" t="str">
        <x:v>2005-07-29</x:v>
      </x:c>
      <x:c r="E968" s="5" t="n">
        <x:v>722.87</x:v>
      </x:c>
      <x:c r="F968" s="6" t="str">
        <x:v>2005-08-31</x:v>
      </x:c>
      <x:c r="G968" s="5" t="n">
        <x:v>850.73</x:v>
      </x:c>
      <x:c r="H968" s="7" t="n">
        <x:f>G968/E968-1</x:f>
        <x:v>0.17687827686859325</x:v>
      </x:c>
      <x:c r="I968" s="1" t="n">
        <x:v>1</x:v>
      </x:c>
      <x:c r="J968" s="1" t="n">
        <x:v>0</x:v>
      </x:c>
      <x:c r="K968" s="1" t="str">
        <x:v>中证官方优先</x:v>
      </x:c>
    </x:row>
    <x:row r="969" ht="25" customHeight="1">
      <x:c r="A969" s="1" t="str">
        <x:v>sh000852</x:v>
      </x:c>
      <x:c r="B969" s="1" t="str">
        <x:v>中证1000</x:v>
      </x:c>
      <x:c r="C969" s="1" t="str">
        <x:v>2005-09</x:v>
      </x:c>
      <x:c r="D969" s="1" t="str">
        <x:v>2005-08-31</x:v>
      </x:c>
      <x:c r="E969" s="5" t="n">
        <x:v>850.73</x:v>
      </x:c>
      <x:c r="F969" s="6" t="str">
        <x:v>2005-09-30</x:v>
      </x:c>
      <x:c r="G969" s="5" t="n">
        <x:v>870.96</x:v>
      </x:c>
      <x:c r="H969" s="7" t="n">
        <x:f>G969/E969-1</x:f>
        <x:v>0.02377957753928972</x:v>
      </x:c>
      <x:c r="I969" s="1" t="n">
        <x:v>1</x:v>
      </x:c>
      <x:c r="J969" s="1" t="n">
        <x:v>0</x:v>
      </x:c>
      <x:c r="K969" s="1" t="str">
        <x:v>中证官方优先</x:v>
      </x:c>
    </x:row>
    <x:row r="970" ht="25" customHeight="1">
      <x:c r="A970" s="1" t="str">
        <x:v>sh000852</x:v>
      </x:c>
      <x:c r="B970" s="1" t="str">
        <x:v>中证1000</x:v>
      </x:c>
      <x:c r="C970" s="1" t="str">
        <x:v>2005-10</x:v>
      </x:c>
      <x:c r="D970" s="1" t="str">
        <x:v>2005-09-30</x:v>
      </x:c>
      <x:c r="E970" s="5" t="n">
        <x:v>870.96</x:v>
      </x:c>
      <x:c r="F970" s="6" t="str">
        <x:v>2005-10-31</x:v>
      </x:c>
      <x:c r="G970" s="5" t="n">
        <x:v>812.45</x:v>
      </x:c>
      <x:c r="H970" s="7" t="n">
        <x:f>G970/E970-1</x:f>
        <x:v>-0.06717874529255075</x:v>
      </x:c>
      <x:c r="I970" s="1" t="n">
        <x:v>1</x:v>
      </x:c>
      <x:c r="J970" s="1" t="n">
        <x:v>0</x:v>
      </x:c>
      <x:c r="K970" s="1" t="str">
        <x:v>中证官方优先</x:v>
      </x:c>
    </x:row>
    <x:row r="971" ht="25" customHeight="1">
      <x:c r="A971" s="1" t="str">
        <x:v>sh000852</x:v>
      </x:c>
      <x:c r="B971" s="1" t="str">
        <x:v>中证1000</x:v>
      </x:c>
      <x:c r="C971" s="1" t="str">
        <x:v>2005-11</x:v>
      </x:c>
      <x:c r="D971" s="1" t="str">
        <x:v>2005-10-31</x:v>
      </x:c>
      <x:c r="E971" s="5" t="n">
        <x:v>812.45</x:v>
      </x:c>
      <x:c r="F971" s="6" t="str">
        <x:v>2005-11-30</x:v>
      </x:c>
      <x:c r="G971" s="5" t="n">
        <x:v>839.24</x:v>
      </x:c>
      <x:c r="H971" s="7" t="n">
        <x:f>G971/E971-1</x:f>
        <x:v>0.032974336882269695</x:v>
      </x:c>
      <x:c r="I971" s="1" t="n">
        <x:v>1</x:v>
      </x:c>
      <x:c r="J971" s="1" t="n">
        <x:v>0</x:v>
      </x:c>
      <x:c r="K971" s="1" t="str">
        <x:v>中证官方优先</x:v>
      </x:c>
    </x:row>
    <x:row r="972" ht="25" customHeight="1">
      <x:c r="A972" s="1" t="str">
        <x:v>sh000852</x:v>
      </x:c>
      <x:c r="B972" s="1" t="str">
        <x:v>中证1000</x:v>
      </x:c>
      <x:c r="C972" s="1" t="str">
        <x:v>2005-12</x:v>
      </x:c>
      <x:c r="D972" s="1" t="str">
        <x:v>2005-11-30</x:v>
      </x:c>
      <x:c r="E972" s="5" t="n">
        <x:v>839.24</x:v>
      </x:c>
      <x:c r="F972" s="6" t="str">
        <x:v>2005-12-30</x:v>
      </x:c>
      <x:c r="G972" s="5" t="n">
        <x:v>842.74</x:v>
      </x:c>
      <x:c r="H972" s="7" t="n">
        <x:f>G972/E972-1</x:f>
        <x:v>0.004170439921834079</x:v>
      </x:c>
      <x:c r="I972" s="1" t="n">
        <x:v>1</x:v>
      </x:c>
      <x:c r="J972" s="1" t="n">
        <x:v>0</x:v>
      </x:c>
      <x:c r="K972" s="1" t="str">
        <x:v>中证官方优先</x:v>
      </x:c>
    </x:row>
    <x:row r="973" ht="25" customHeight="1">
      <x:c r="A973" s="1" t="str">
        <x:v>sh000852</x:v>
      </x:c>
      <x:c r="B973" s="1" t="str">
        <x:v>中证1000</x:v>
      </x:c>
      <x:c r="C973" s="1" t="str">
        <x:v>2006-01</x:v>
      </x:c>
      <x:c r="D973" s="1" t="str">
        <x:v>2005-12-30</x:v>
      </x:c>
      <x:c r="E973" s="5" t="n">
        <x:v>842.74</x:v>
      </x:c>
      <x:c r="F973" s="6" t="str">
        <x:v>2006-01-25</x:v>
      </x:c>
      <x:c r="G973" s="5" t="n">
        <x:v>887.72</x:v>
      </x:c>
      <x:c r="H973" s="7" t="n">
        <x:f>G973/E973-1</x:f>
        <x:v>0.05337351970951887</x:v>
      </x:c>
      <x:c r="I973" s="1" t="n">
        <x:v>1</x:v>
      </x:c>
      <x:c r="J973" s="1" t="n">
        <x:v>0</x:v>
      </x:c>
      <x:c r="K973" s="1" t="str">
        <x:v>中证官方优先</x:v>
      </x:c>
    </x:row>
    <x:row r="974" ht="25" customHeight="1">
      <x:c r="A974" s="1" t="str">
        <x:v>sh000852</x:v>
      </x:c>
      <x:c r="B974" s="1" t="str">
        <x:v>中证1000</x:v>
      </x:c>
      <x:c r="C974" s="1" t="str">
        <x:v>2006-02</x:v>
      </x:c>
      <x:c r="D974" s="1" t="str">
        <x:v>2006-01-25</x:v>
      </x:c>
      <x:c r="E974" s="5" t="n">
        <x:v>887.72</x:v>
      </x:c>
      <x:c r="F974" s="6" t="str">
        <x:v>2006-02-28</x:v>
      </x:c>
      <x:c r="G974" s="5" t="n">
        <x:v>929.38</x:v>
      </x:c>
      <x:c r="H974" s="7" t="n">
        <x:f>G974/E974-1</x:f>
        <x:v>0.04692921191366639</x:v>
      </x:c>
      <x:c r="I974" s="1" t="n">
        <x:v>1</x:v>
      </x:c>
      <x:c r="J974" s="1" t="n">
        <x:v>0</x:v>
      </x:c>
      <x:c r="K974" s="1" t="str">
        <x:v>中证官方优先</x:v>
      </x:c>
    </x:row>
    <x:row r="975" ht="25" customHeight="1">
      <x:c r="A975" s="1" t="str">
        <x:v>sh000852</x:v>
      </x:c>
      <x:c r="B975" s="1" t="str">
        <x:v>中证1000</x:v>
      </x:c>
      <x:c r="C975" s="1" t="str">
        <x:v>2006-03</x:v>
      </x:c>
      <x:c r="D975" s="1" t="str">
        <x:v>2006-02-28</x:v>
      </x:c>
      <x:c r="E975" s="5" t="n">
        <x:v>929.38</x:v>
      </x:c>
      <x:c r="F975" s="6" t="str">
        <x:v>2006-03-31</x:v>
      </x:c>
      <x:c r="G975" s="5" t="n">
        <x:v>923.19</x:v>
      </x:c>
      <x:c r="H975" s="7" t="n">
        <x:f>G975/E975-1</x:f>
        <x:v>-0.0066603542146376205</x:v>
      </x:c>
      <x:c r="I975" s="1" t="n">
        <x:v>1</x:v>
      </x:c>
      <x:c r="J975" s="1" t="n">
        <x:v>0</x:v>
      </x:c>
      <x:c r="K975" s="1" t="str">
        <x:v>中证官方优先</x:v>
      </x:c>
    </x:row>
    <x:row r="976" ht="25" customHeight="1">
      <x:c r="A976" s="1" t="str">
        <x:v>sh000852</x:v>
      </x:c>
      <x:c r="B976" s="1" t="str">
        <x:v>中证1000</x:v>
      </x:c>
      <x:c r="C976" s="1" t="str">
        <x:v>2006-04</x:v>
      </x:c>
      <x:c r="D976" s="1" t="str">
        <x:v>2006-03-31</x:v>
      </x:c>
      <x:c r="E976" s="5" t="n">
        <x:v>923.19</x:v>
      </x:c>
      <x:c r="F976" s="6" t="str">
        <x:v>2006-04-28</x:v>
      </x:c>
      <x:c r="G976" s="5" t="n">
        <x:v>965.29</x:v>
      </x:c>
      <x:c r="H976" s="7" t="n">
        <x:f>G976/E976-1</x:f>
        <x:v>0.04560274699682609</x:v>
      </x:c>
      <x:c r="I976" s="1" t="n">
        <x:v>1</x:v>
      </x:c>
      <x:c r="J976" s="1" t="n">
        <x:v>0</x:v>
      </x:c>
      <x:c r="K976" s="1" t="str">
        <x:v>中证官方优先</x:v>
      </x:c>
    </x:row>
    <x:row r="977" ht="25" customHeight="1">
      <x:c r="A977" s="1" t="str">
        <x:v>sh000852</x:v>
      </x:c>
      <x:c r="B977" s="1" t="str">
        <x:v>中证1000</x:v>
      </x:c>
      <x:c r="C977" s="1" t="str">
        <x:v>2006-05</x:v>
      </x:c>
      <x:c r="D977" s="1" t="str">
        <x:v>2006-04-28</x:v>
      </x:c>
      <x:c r="E977" s="5" t="n">
        <x:v>965.29</x:v>
      </x:c>
      <x:c r="F977" s="6" t="str">
        <x:v>2006-05-31</x:v>
      </x:c>
      <x:c r="G977" s="5" t="n">
        <x:v>1224.03</x:v>
      </x:c>
      <x:c r="H977" s="7" t="n">
        <x:f>G977/E977-1</x:f>
        <x:v>0.26804380030871555</x:v>
      </x:c>
      <x:c r="I977" s="1" t="n">
        <x:v>1</x:v>
      </x:c>
      <x:c r="J977" s="1" t="n">
        <x:v>0</x:v>
      </x:c>
      <x:c r="K977" s="1" t="str">
        <x:v>中证官方优先</x:v>
      </x:c>
    </x:row>
    <x:row r="978" ht="25" customHeight="1">
      <x:c r="A978" s="1" t="str">
        <x:v>sh000852</x:v>
      </x:c>
      <x:c r="B978" s="1" t="str">
        <x:v>中证1000</x:v>
      </x:c>
      <x:c r="C978" s="1" t="str">
        <x:v>2006-06</x:v>
      </x:c>
      <x:c r="D978" s="1" t="str">
        <x:v>2006-05-31</x:v>
      </x:c>
      <x:c r="E978" s="5" t="n">
        <x:v>1224.03</x:v>
      </x:c>
      <x:c r="F978" s="6" t="str">
        <x:v>2006-06-30</x:v>
      </x:c>
      <x:c r="G978" s="5" t="n">
        <x:v>1336.66</x:v>
      </x:c>
      <x:c r="H978" s="7" t="n">
        <x:f>G978/E978-1</x:f>
        <x:v>0.09201571856898938</x:v>
      </x:c>
      <x:c r="I978" s="1" t="n">
        <x:v>1</x:v>
      </x:c>
      <x:c r="J978" s="1" t="n">
        <x:v>0</x:v>
      </x:c>
      <x:c r="K978" s="1" t="str">
        <x:v>中证官方优先</x:v>
      </x:c>
    </x:row>
    <x:row r="979" ht="25" customHeight="1">
      <x:c r="A979" s="1" t="str">
        <x:v>sh000852</x:v>
      </x:c>
      <x:c r="B979" s="1" t="str">
        <x:v>中证1000</x:v>
      </x:c>
      <x:c r="C979" s="1" t="str">
        <x:v>2006-07</x:v>
      </x:c>
      <x:c r="D979" s="1" t="str">
        <x:v>2006-06-30</x:v>
      </x:c>
      <x:c r="E979" s="5" t="n">
        <x:v>1336.66</x:v>
      </x:c>
      <x:c r="F979" s="6" t="str">
        <x:v>2006-07-31</x:v>
      </x:c>
      <x:c r="G979" s="5" t="n">
        <x:v>1309.66</x:v>
      </x:c>
      <x:c r="H979" s="7" t="n">
        <x:f>G979/E979-1</x:f>
        <x:v>-0.020199601993027394</x:v>
      </x:c>
      <x:c r="I979" s="1" t="n">
        <x:v>1</x:v>
      </x:c>
      <x:c r="J979" s="1" t="n">
        <x:v>0</x:v>
      </x:c>
      <x:c r="K979" s="1" t="str">
        <x:v>中证官方优先</x:v>
      </x:c>
    </x:row>
    <x:row r="980" ht="25" customHeight="1">
      <x:c r="A980" s="1" t="str">
        <x:v>sh000852</x:v>
      </x:c>
      <x:c r="B980" s="1" t="str">
        <x:v>中证1000</x:v>
      </x:c>
      <x:c r="C980" s="1" t="str">
        <x:v>2006-08</x:v>
      </x:c>
      <x:c r="D980" s="1" t="str">
        <x:v>2006-07-31</x:v>
      </x:c>
      <x:c r="E980" s="5" t="n">
        <x:v>1309.66</x:v>
      </x:c>
      <x:c r="F980" s="6" t="str">
        <x:v>2006-08-31</x:v>
      </x:c>
      <x:c r="G980" s="5" t="n">
        <x:v>1336.31</x:v>
      </x:c>
      <x:c r="H980" s="7" t="n">
        <x:f>G980/E980-1</x:f>
        <x:v>0.020348792816456074</x:v>
      </x:c>
      <x:c r="I980" s="1" t="n">
        <x:v>1</x:v>
      </x:c>
      <x:c r="J980" s="1" t="n">
        <x:v>0</x:v>
      </x:c>
      <x:c r="K980" s="1" t="str">
        <x:v>中证官方优先</x:v>
      </x:c>
    </x:row>
    <x:row r="981" ht="25" customHeight="1">
      <x:c r="A981" s="1" t="str">
        <x:v>sh000852</x:v>
      </x:c>
      <x:c r="B981" s="1" t="str">
        <x:v>中证1000</x:v>
      </x:c>
      <x:c r="C981" s="1" t="str">
        <x:v>2006-09</x:v>
      </x:c>
      <x:c r="D981" s="1" t="str">
        <x:v>2006-08-31</x:v>
      </x:c>
      <x:c r="E981" s="5" t="n">
        <x:v>1336.31</x:v>
      </x:c>
      <x:c r="F981" s="6" t="str">
        <x:v>2006-09-29</x:v>
      </x:c>
      <x:c r="G981" s="5" t="n">
        <x:v>1411.51</x:v>
      </x:c>
      <x:c r="H981" s="7" t="n">
        <x:f>G981/E981-1</x:f>
        <x:v>0.056274367474612896</x:v>
      </x:c>
      <x:c r="I981" s="1" t="n">
        <x:v>1</x:v>
      </x:c>
      <x:c r="J981" s="1" t="n">
        <x:v>0</x:v>
      </x:c>
      <x:c r="K981" s="1" t="str">
        <x:v>中证官方优先</x:v>
      </x:c>
    </x:row>
    <x:row r="982" ht="25" customHeight="1">
      <x:c r="A982" s="1" t="str">
        <x:v>sh000852</x:v>
      </x:c>
      <x:c r="B982" s="1" t="str">
        <x:v>中证1000</x:v>
      </x:c>
      <x:c r="C982" s="1" t="str">
        <x:v>2006-10</x:v>
      </x:c>
      <x:c r="D982" s="1" t="str">
        <x:v>2006-09-29</x:v>
      </x:c>
      <x:c r="E982" s="5" t="n">
        <x:v>1411.51</x:v>
      </x:c>
      <x:c r="F982" s="6" t="str">
        <x:v>2006-10-31</x:v>
      </x:c>
      <x:c r="G982" s="5" t="n">
        <x:v>1396.96</x:v>
      </x:c>
      <x:c r="H982" s="7" t="n">
        <x:f>G982/E982-1</x:f>
        <x:v>-0.010308109754801564</x:v>
      </x:c>
      <x:c r="I982" s="1" t="n">
        <x:v>1</x:v>
      </x:c>
      <x:c r="J982" s="1" t="n">
        <x:v>0</x:v>
      </x:c>
      <x:c r="K982" s="1" t="str">
        <x:v>中证官方优先</x:v>
      </x:c>
    </x:row>
    <x:row r="983" ht="25" customHeight="1">
      <x:c r="A983" s="1" t="str">
        <x:v>sh000852</x:v>
      </x:c>
      <x:c r="B983" s="1" t="str">
        <x:v>中证1000</x:v>
      </x:c>
      <x:c r="C983" s="1" t="str">
        <x:v>2006-11</x:v>
      </x:c>
      <x:c r="D983" s="1" t="str">
        <x:v>2006-10-31</x:v>
      </x:c>
      <x:c r="E983" s="5" t="n">
        <x:v>1396.96</x:v>
      </x:c>
      <x:c r="F983" s="6" t="str">
        <x:v>2006-11-30</x:v>
      </x:c>
      <x:c r="G983" s="5" t="n">
        <x:v>1421.48</x:v>
      </x:c>
      <x:c r="H983" s="7" t="n">
        <x:f>G983/E983-1</x:f>
        <x:v>0.017552399496048476</x:v>
      </x:c>
      <x:c r="I983" s="1" t="n">
        <x:v>1</x:v>
      </x:c>
      <x:c r="J983" s="1" t="n">
        <x:v>0</x:v>
      </x:c>
      <x:c r="K983" s="1" t="str">
        <x:v>中证官方优先</x:v>
      </x:c>
    </x:row>
    <x:row r="984" ht="25" customHeight="1">
      <x:c r="A984" s="1" t="str">
        <x:v>sh000852</x:v>
      </x:c>
      <x:c r="B984" s="1" t="str">
        <x:v>中证1000</x:v>
      </x:c>
      <x:c r="C984" s="1" t="str">
        <x:v>2006-12</x:v>
      </x:c>
      <x:c r="D984" s="1" t="str">
        <x:v>2006-11-30</x:v>
      </x:c>
      <x:c r="E984" s="5" t="n">
        <x:v>1421.48</x:v>
      </x:c>
      <x:c r="F984" s="6" t="str">
        <x:v>2006-12-29</x:v>
      </x:c>
      <x:c r="G984" s="5" t="n">
        <x:v>1485.1</x:v>
      </x:c>
      <x:c r="H984" s="7" t="n">
        <x:f>G984/E984-1</x:f>
        <x:v>0.04475616962602347</x:v>
      </x:c>
      <x:c r="I984" s="1" t="n">
        <x:v>1</x:v>
      </x:c>
      <x:c r="J984" s="1" t="n">
        <x:v>0</x:v>
      </x:c>
      <x:c r="K984" s="1" t="str">
        <x:v>中证官方优先</x:v>
      </x:c>
    </x:row>
    <x:row r="985" ht="25" customHeight="1">
      <x:c r="A985" s="1" t="str">
        <x:v>sh000852</x:v>
      </x:c>
      <x:c r="B985" s="1" t="str">
        <x:v>中证1000</x:v>
      </x:c>
      <x:c r="C985" s="1" t="str">
        <x:v>2007-01</x:v>
      </x:c>
      <x:c r="D985" s="1" t="str">
        <x:v>2006-12-29</x:v>
      </x:c>
      <x:c r="E985" s="5" t="n">
        <x:v>1485.1</x:v>
      </x:c>
      <x:c r="F985" s="6" t="str">
        <x:v>2007-01-31</x:v>
      </x:c>
      <x:c r="G985" s="5" t="n">
        <x:v>1830.29</x:v>
      </x:c>
      <x:c r="H985" s="7" t="n">
        <x:f>G985/E985-1</x:f>
        <x:v>0.23243552622719021</x:v>
      </x:c>
      <x:c r="I985" s="1" t="n">
        <x:v>1</x:v>
      </x:c>
      <x:c r="J985" s="1" t="n">
        <x:v>0</x:v>
      </x:c>
      <x:c r="K985" s="1" t="str">
        <x:v>中证官方优先</x:v>
      </x:c>
    </x:row>
    <x:row r="986" ht="25" customHeight="1">
      <x:c r="A986" s="1" t="str">
        <x:v>sh000852</x:v>
      </x:c>
      <x:c r="B986" s="1" t="str">
        <x:v>中证1000</x:v>
      </x:c>
      <x:c r="C986" s="1" t="str">
        <x:v>2007-02</x:v>
      </x:c>
      <x:c r="D986" s="1" t="str">
        <x:v>2007-01-31</x:v>
      </x:c>
      <x:c r="E986" s="5" t="n">
        <x:v>1830.29</x:v>
      </x:c>
      <x:c r="F986" s="6" t="str">
        <x:v>2007-02-28</x:v>
      </x:c>
      <x:c r="G986" s="5" t="n">
        <x:v>2199.83</x:v>
      </x:c>
      <x:c r="H986" s="7" t="n">
        <x:f>G986/E986-1</x:f>
        <x:v>0.20190243076233827</x:v>
      </x:c>
      <x:c r="I986" s="1" t="n">
        <x:v>1</x:v>
      </x:c>
      <x:c r="J986" s="1" t="n">
        <x:v>0</x:v>
      </x:c>
      <x:c r="K986" s="1" t="str">
        <x:v>中证官方优先</x:v>
      </x:c>
    </x:row>
    <x:row r="987" ht="25" customHeight="1">
      <x:c r="A987" s="1" t="str">
        <x:v>sh000852</x:v>
      </x:c>
      <x:c r="B987" s="1" t="str">
        <x:v>中证1000</x:v>
      </x:c>
      <x:c r="C987" s="1" t="str">
        <x:v>2007-03</x:v>
      </x:c>
      <x:c r="D987" s="1" t="str">
        <x:v>2007-02-28</x:v>
      </x:c>
      <x:c r="E987" s="5" t="n">
        <x:v>2199.83</x:v>
      </x:c>
      <x:c r="F987" s="6" t="str">
        <x:v>2007-03-30</x:v>
      </x:c>
      <x:c r="G987" s="5" t="n">
        <x:v>2731.19</x:v>
      </x:c>
      <x:c r="H987" s="7" t="n">
        <x:f>G987/E987-1</x:f>
        <x:v>0.24154593764063592</x:v>
      </x:c>
      <x:c r="I987" s="1" t="n">
        <x:v>1</x:v>
      </x:c>
      <x:c r="J987" s="1" t="n">
        <x:v>0</x:v>
      </x:c>
      <x:c r="K987" s="1" t="str">
        <x:v>中证官方优先</x:v>
      </x:c>
    </x:row>
    <x:row r="988" ht="25" customHeight="1">
      <x:c r="A988" s="1" t="str">
        <x:v>sh000852</x:v>
      </x:c>
      <x:c r="B988" s="1" t="str">
        <x:v>中证1000</x:v>
      </x:c>
      <x:c r="C988" s="1" t="str">
        <x:v>2007-04</x:v>
      </x:c>
      <x:c r="D988" s="1" t="str">
        <x:v>2007-03-30</x:v>
      </x:c>
      <x:c r="E988" s="5" t="n">
        <x:v>2731.19</x:v>
      </x:c>
      <x:c r="F988" s="6" t="str">
        <x:v>2007-04-30</x:v>
      </x:c>
      <x:c r="G988" s="5" t="n">
        <x:v>3654.97</x:v>
      </x:c>
      <x:c r="H988" s="7" t="n">
        <x:f>G988/E988-1</x:f>
        <x:v>0.33823351725804485</x:v>
      </x:c>
      <x:c r="I988" s="1" t="n">
        <x:v>1</x:v>
      </x:c>
      <x:c r="J988" s="1" t="n">
        <x:v>0</x:v>
      </x:c>
      <x:c r="K988" s="1" t="str">
        <x:v>中证官方优先</x:v>
      </x:c>
    </x:row>
    <x:row r="989" ht="25" customHeight="1">
      <x:c r="A989" s="1" t="str">
        <x:v>sh000852</x:v>
      </x:c>
      <x:c r="B989" s="1" t="str">
        <x:v>中证1000</x:v>
      </x:c>
      <x:c r="C989" s="1" t="str">
        <x:v>2007-05</x:v>
      </x:c>
      <x:c r="D989" s="1" t="str">
        <x:v>2007-04-30</x:v>
      </x:c>
      <x:c r="E989" s="5" t="n">
        <x:v>3654.97</x:v>
      </x:c>
      <x:c r="F989" s="6" t="str">
        <x:v>2007-05-31</x:v>
      </x:c>
      <x:c r="G989" s="5" t="n">
        <x:v>3894.68</x:v>
      </x:c>
      <x:c r="H989" s="7" t="n">
        <x:f>G989/E989-1</x:f>
        <x:v>0.06558466964161136</x:v>
      </x:c>
      <x:c r="I989" s="1" t="n">
        <x:v>1</x:v>
      </x:c>
      <x:c r="J989" s="1" t="n">
        <x:v>0</x:v>
      </x:c>
      <x:c r="K989" s="1" t="str">
        <x:v>中证官方优先</x:v>
      </x:c>
    </x:row>
    <x:row r="990" ht="25" customHeight="1">
      <x:c r="A990" s="1" t="str">
        <x:v>sh000852</x:v>
      </x:c>
      <x:c r="B990" s="1" t="str">
        <x:v>中证1000</x:v>
      </x:c>
      <x:c r="C990" s="1" t="str">
        <x:v>2007-06</x:v>
      </x:c>
      <x:c r="D990" s="1" t="str">
        <x:v>2007-05-31</x:v>
      </x:c>
      <x:c r="E990" s="5" t="n">
        <x:v>3894.68</x:v>
      </x:c>
      <x:c r="F990" s="6" t="str">
        <x:v>2007-06-29</x:v>
      </x:c>
      <x:c r="G990" s="5" t="n">
        <x:v>3152.37</x:v>
      </x:c>
      <x:c r="H990" s="7" t="n">
        <x:f>G990/E990-1</x:f>
        <x:v>-0.1905958897778508</x:v>
      </x:c>
      <x:c r="I990" s="1" t="n">
        <x:v>1</x:v>
      </x:c>
      <x:c r="J990" s="1" t="n">
        <x:v>0</x:v>
      </x:c>
      <x:c r="K990" s="1" t="str">
        <x:v>中证官方优先</x:v>
      </x:c>
    </x:row>
    <x:row r="991" ht="25" customHeight="1">
      <x:c r="A991" s="1" t="str">
        <x:v>sh000852</x:v>
      </x:c>
      <x:c r="B991" s="1" t="str">
        <x:v>中证1000</x:v>
      </x:c>
      <x:c r="C991" s="1" t="str">
        <x:v>2007-07</x:v>
      </x:c>
      <x:c r="D991" s="1" t="str">
        <x:v>2007-06-29</x:v>
      </x:c>
      <x:c r="E991" s="5" t="n">
        <x:v>3152.37</x:v>
      </x:c>
      <x:c r="F991" s="6" t="str">
        <x:v>2007-07-31</x:v>
      </x:c>
      <x:c r="G991" s="5" t="n">
        <x:v>4005.34</x:v>
      </x:c>
      <x:c r="H991" s="7" t="n">
        <x:f>G991/E991-1</x:f>
        <x:v>0.270580547334228</x:v>
      </x:c>
      <x:c r="I991" s="1" t="n">
        <x:v>1</x:v>
      </x:c>
      <x:c r="J991" s="1" t="n">
        <x:v>0</x:v>
      </x:c>
      <x:c r="K991" s="1" t="str">
        <x:v>中证官方优先</x:v>
      </x:c>
    </x:row>
    <x:row r="992" ht="25" customHeight="1">
      <x:c r="A992" s="1" t="str">
        <x:v>sh000852</x:v>
      </x:c>
      <x:c r="B992" s="1" t="str">
        <x:v>中证1000</x:v>
      </x:c>
      <x:c r="C992" s="1" t="str">
        <x:v>2007-08</x:v>
      </x:c>
      <x:c r="D992" s="1" t="str">
        <x:v>2007-07-31</x:v>
      </x:c>
      <x:c r="E992" s="5" t="n">
        <x:v>4005.34</x:v>
      </x:c>
      <x:c r="F992" s="6" t="str">
        <x:v>2007-08-31</x:v>
      </x:c>
      <x:c r="G992" s="5" t="n">
        <x:v>4515.24</x:v>
      </x:c>
      <x:c r="H992" s="7" t="n">
        <x:f>G992/E992-1</x:f>
        <x:v>0.12730504776123874</x:v>
      </x:c>
      <x:c r="I992" s="1" t="n">
        <x:v>1</x:v>
      </x:c>
      <x:c r="J992" s="1" t="n">
        <x:v>0</x:v>
      </x:c>
      <x:c r="K992" s="1" t="str">
        <x:v>中证官方优先</x:v>
      </x:c>
    </x:row>
    <x:row r="993" ht="25" customHeight="1">
      <x:c r="A993" s="1" t="str">
        <x:v>sh000852</x:v>
      </x:c>
      <x:c r="B993" s="1" t="str">
        <x:v>中证1000</x:v>
      </x:c>
      <x:c r="C993" s="1" t="str">
        <x:v>2007-09</x:v>
      </x:c>
      <x:c r="D993" s="1" t="str">
        <x:v>2007-08-31</x:v>
      </x:c>
      <x:c r="E993" s="5" t="n">
        <x:v>4515.24</x:v>
      </x:c>
      <x:c r="F993" s="6" t="str">
        <x:v>2007-09-28</x:v>
      </x:c>
      <x:c r="G993" s="5" t="n">
        <x:v>4582.44</x:v>
      </x:c>
      <x:c r="H993" s="7" t="n">
        <x:f>G993/E993-1</x:f>
        <x:v>0.014882929811040002</x:v>
      </x:c>
      <x:c r="I993" s="1" t="n">
        <x:v>1</x:v>
      </x:c>
      <x:c r="J993" s="1" t="n">
        <x:v>0</x:v>
      </x:c>
      <x:c r="K993" s="1" t="str">
        <x:v>中证官方优先</x:v>
      </x:c>
    </x:row>
    <x:row r="994" ht="25" customHeight="1">
      <x:c r="A994" s="1" t="str">
        <x:v>sh000852</x:v>
      </x:c>
      <x:c r="B994" s="1" t="str">
        <x:v>中证1000</x:v>
      </x:c>
      <x:c r="C994" s="1" t="str">
        <x:v>2007-10</x:v>
      </x:c>
      <x:c r="D994" s="1" t="str">
        <x:v>2007-09-28</x:v>
      </x:c>
      <x:c r="E994" s="5" t="n">
        <x:v>4582.44</x:v>
      </x:c>
      <x:c r="F994" s="6" t="str">
        <x:v>2007-10-31</x:v>
      </x:c>
      <x:c r="G994" s="5" t="n">
        <x:v>4009.75</x:v>
      </x:c>
      <x:c r="H994" s="7" t="n">
        <x:f>G994/E994-1</x:f>
        <x:v>-0.1249749041995094</x:v>
      </x:c>
      <x:c r="I994" s="1" t="n">
        <x:v>1</x:v>
      </x:c>
      <x:c r="J994" s="1" t="n">
        <x:v>0</x:v>
      </x:c>
      <x:c r="K994" s="1" t="str">
        <x:v>中证官方优先</x:v>
      </x:c>
    </x:row>
    <x:row r="995" ht="25" customHeight="1">
      <x:c r="A995" s="1" t="str">
        <x:v>sh000852</x:v>
      </x:c>
      <x:c r="B995" s="1" t="str">
        <x:v>中证1000</x:v>
      </x:c>
      <x:c r="C995" s="1" t="str">
        <x:v>2007-11</x:v>
      </x:c>
      <x:c r="D995" s="1" t="str">
        <x:v>2007-10-31</x:v>
      </x:c>
      <x:c r="E995" s="5" t="n">
        <x:v>4009.75</x:v>
      </x:c>
      <x:c r="F995" s="6" t="str">
        <x:v>2007-11-30</x:v>
      </x:c>
      <x:c r="G995" s="5" t="n">
        <x:v>3733.48</x:v>
      </x:c>
      <x:c r="H995" s="7" t="n">
        <x:f>G995/E995-1</x:f>
        <x:v>-0.06889955732901054</x:v>
      </x:c>
      <x:c r="I995" s="1" t="n">
        <x:v>1</x:v>
      </x:c>
      <x:c r="J995" s="1" t="n">
        <x:v>0</x:v>
      </x:c>
      <x:c r="K995" s="1" t="str">
        <x:v>中证官方优先</x:v>
      </x:c>
    </x:row>
    <x:row r="996" ht="25" customHeight="1">
      <x:c r="A996" s="1" t="str">
        <x:v>sh000852</x:v>
      </x:c>
      <x:c r="B996" s="1" t="str">
        <x:v>中证1000</x:v>
      </x:c>
      <x:c r="C996" s="1" t="str">
        <x:v>2007-12</x:v>
      </x:c>
      <x:c r="D996" s="1" t="str">
        <x:v>2007-11-30</x:v>
      </x:c>
      <x:c r="E996" s="5" t="n">
        <x:v>3733.48</x:v>
      </x:c>
      <x:c r="F996" s="6" t="str">
        <x:v>2007-12-28</x:v>
      </x:c>
      <x:c r="G996" s="5" t="n">
        <x:v>4493.42</x:v>
      </x:c>
      <x:c r="H996" s="7" t="n">
        <x:f>G996/E996-1</x:f>
        <x:v>0.20354736063940337</x:v>
      </x:c>
      <x:c r="I996" s="1" t="n">
        <x:v>1</x:v>
      </x:c>
      <x:c r="J996" s="1" t="n">
        <x:v>0</x:v>
      </x:c>
      <x:c r="K996" s="1" t="str">
        <x:v>中证官方优先</x:v>
      </x:c>
    </x:row>
    <x:row r="997" ht="25" customHeight="1">
      <x:c r="A997" s="1" t="str">
        <x:v>sh000852</x:v>
      </x:c>
      <x:c r="B997" s="1" t="str">
        <x:v>中证1000</x:v>
      </x:c>
      <x:c r="C997" s="1" t="str">
        <x:v>2008-01</x:v>
      </x:c>
      <x:c r="D997" s="1" t="str">
        <x:v>2007-12-28</x:v>
      </x:c>
      <x:c r="E997" s="5" t="n">
        <x:v>4493.42</x:v>
      </x:c>
      <x:c r="F997" s="6" t="str">
        <x:v>2008-01-31</x:v>
      </x:c>
      <x:c r="G997" s="5" t="n">
        <x:v>4215.11</x:v>
      </x:c>
      <x:c r="H997" s="7" t="n">
        <x:f>G997/E997-1</x:f>
        <x:v>-0.06193723266465201</x:v>
      </x:c>
      <x:c r="I997" s="1" t="n">
        <x:v>1</x:v>
      </x:c>
      <x:c r="J997" s="1" t="n">
        <x:v>0</x:v>
      </x:c>
      <x:c r="K997" s="1" t="str">
        <x:v>中证官方优先</x:v>
      </x:c>
    </x:row>
    <x:row r="998" ht="25" customHeight="1">
      <x:c r="A998" s="1" t="str">
        <x:v>sh000852</x:v>
      </x:c>
      <x:c r="B998" s="1" t="str">
        <x:v>中证1000</x:v>
      </x:c>
      <x:c r="C998" s="1" t="str">
        <x:v>2008-02</x:v>
      </x:c>
      <x:c r="D998" s="1" t="str">
        <x:v>2008-01-31</x:v>
      </x:c>
      <x:c r="E998" s="5" t="n">
        <x:v>4215.11</x:v>
      </x:c>
      <x:c r="F998" s="6" t="str">
        <x:v>2008-02-29</x:v>
      </x:c>
      <x:c r="G998" s="5" t="n">
        <x:v>4646.54</x:v>
      </x:c>
      <x:c r="H998" s="7" t="n">
        <x:f>G998/E998-1</x:f>
        <x:v>0.10235320074683707</x:v>
      </x:c>
      <x:c r="I998" s="1" t="n">
        <x:v>1</x:v>
      </x:c>
      <x:c r="J998" s="1" t="n">
        <x:v>0</x:v>
      </x:c>
      <x:c r="K998" s="1" t="str">
        <x:v>中证官方优先</x:v>
      </x:c>
    </x:row>
    <x:row r="999" ht="25" customHeight="1">
      <x:c r="A999" s="1" t="str">
        <x:v>sh000852</x:v>
      </x:c>
      <x:c r="B999" s="1" t="str">
        <x:v>中证1000</x:v>
      </x:c>
      <x:c r="C999" s="1" t="str">
        <x:v>2008-03</x:v>
      </x:c>
      <x:c r="D999" s="1" t="str">
        <x:v>2008-02-29</x:v>
      </x:c>
      <x:c r="E999" s="5" t="n">
        <x:v>4646.54</x:v>
      </x:c>
      <x:c r="F999" s="6" t="str">
        <x:v>2008-03-31</x:v>
      </x:c>
      <x:c r="G999" s="5" t="n">
        <x:v>3861.6</x:v>
      </x:c>
      <x:c r="H999" s="7" t="n">
        <x:f>G999/E999-1</x:f>
        <x:v>-0.16892999952652943</x:v>
      </x:c>
      <x:c r="I999" s="1" t="n">
        <x:v>1</x:v>
      </x:c>
      <x:c r="J999" s="1" t="n">
        <x:v>0</x:v>
      </x:c>
      <x:c r="K999" s="1" t="str">
        <x:v>中证官方优先</x:v>
      </x:c>
    </x:row>
    <x:row r="1000" ht="25" customHeight="1">
      <x:c r="A1000" s="1" t="str">
        <x:v>sh000852</x:v>
      </x:c>
      <x:c r="B1000" s="1" t="str">
        <x:v>中证1000</x:v>
      </x:c>
      <x:c r="C1000" s="1" t="str">
        <x:v>2008-04</x:v>
      </x:c>
      <x:c r="D1000" s="1" t="str">
        <x:v>2008-03-31</x:v>
      </x:c>
      <x:c r="E1000" s="5" t="n">
        <x:v>3861.6</x:v>
      </x:c>
      <x:c r="F1000" s="6" t="str">
        <x:v>2008-04-30</x:v>
      </x:c>
      <x:c r="G1000" s="5" t="n">
        <x:v>3584.35</x:v>
      </x:c>
      <x:c r="H1000" s="7" t="n">
        <x:f>G1000/E1000-1</x:f>
        <x:v>-0.07179666459498657</x:v>
      </x:c>
      <x:c r="I1000" s="1" t="n">
        <x:v>1</x:v>
      </x:c>
      <x:c r="J1000" s="1" t="n">
        <x:v>0</x:v>
      </x:c>
      <x:c r="K1000" s="1" t="str">
        <x:v>中证官方优先</x:v>
      </x:c>
    </x:row>
    <x:row r="1001" ht="25" customHeight="1">
      <x:c r="A1001" s="1" t="str">
        <x:v>sh000852</x:v>
      </x:c>
      <x:c r="B1001" s="1" t="str">
        <x:v>中证1000</x:v>
      </x:c>
      <x:c r="C1001" s="1" t="str">
        <x:v>2008-05</x:v>
      </x:c>
      <x:c r="D1001" s="1" t="str">
        <x:v>2008-04-30</x:v>
      </x:c>
      <x:c r="E1001" s="5" t="n">
        <x:v>3584.35</x:v>
      </x:c>
      <x:c r="F1001" s="6" t="str">
        <x:v>2008-05-30</x:v>
      </x:c>
      <x:c r="G1001" s="5" t="n">
        <x:v>3506.84</x:v>
      </x:c>
      <x:c r="H1001" s="7" t="n">
        <x:f>G1001/E1001-1</x:f>
        <x:v>-0.021624562333477426</x:v>
      </x:c>
      <x:c r="I1001" s="1" t="n">
        <x:v>1</x:v>
      </x:c>
      <x:c r="J1001" s="1" t="n">
        <x:v>0</x:v>
      </x:c>
      <x:c r="K1001" s="1" t="str">
        <x:v>中证官方优先</x:v>
      </x:c>
    </x:row>
    <x:row r="1002" ht="25" customHeight="1">
      <x:c r="A1002" s="1" t="str">
        <x:v>sh000852</x:v>
      </x:c>
      <x:c r="B1002" s="1" t="str">
        <x:v>中证1000</x:v>
      </x:c>
      <x:c r="C1002" s="1" t="str">
        <x:v>2008-06</x:v>
      </x:c>
      <x:c r="D1002" s="1" t="str">
        <x:v>2008-05-30</x:v>
      </x:c>
      <x:c r="E1002" s="5" t="n">
        <x:v>3506.84</x:v>
      </x:c>
      <x:c r="F1002" s="6" t="str">
        <x:v>2008-06-30</x:v>
      </x:c>
      <x:c r="G1002" s="5" t="n">
        <x:v>2579.61</x:v>
      </x:c>
      <x:c r="H1002" s="7" t="n">
        <x:f>G1002/E1002-1</x:f>
        <x:v>-0.26440613201628815</x:v>
      </x:c>
      <x:c r="I1002" s="1" t="n">
        <x:v>1</x:v>
      </x:c>
      <x:c r="J1002" s="1" t="n">
        <x:v>0</x:v>
      </x:c>
      <x:c r="K1002" s="1" t="str">
        <x:v>中证官方优先</x:v>
      </x:c>
    </x:row>
    <x:row r="1003" ht="25" customHeight="1">
      <x:c r="A1003" s="1" t="str">
        <x:v>sh000852</x:v>
      </x:c>
      <x:c r="B1003" s="1" t="str">
        <x:v>中证1000</x:v>
      </x:c>
      <x:c r="C1003" s="1" t="str">
        <x:v>2008-07</x:v>
      </x:c>
      <x:c r="D1003" s="1" t="str">
        <x:v>2008-06-30</x:v>
      </x:c>
      <x:c r="E1003" s="5" t="n">
        <x:v>2579.61</x:v>
      </x:c>
      <x:c r="F1003" s="6" t="str">
        <x:v>2008-07-31</x:v>
      </x:c>
      <x:c r="G1003" s="5" t="n">
        <x:v>2834.1</x:v>
      </x:c>
      <x:c r="H1003" s="7" t="n">
        <x:f>G1003/E1003-1</x:f>
        <x:v>0.0986544477653597</x:v>
      </x:c>
      <x:c r="I1003" s="1" t="n">
        <x:v>1</x:v>
      </x:c>
      <x:c r="J1003" s="1" t="n">
        <x:v>0</x:v>
      </x:c>
      <x:c r="K1003" s="1" t="str">
        <x:v>中证官方优先</x:v>
      </x:c>
    </x:row>
    <x:row r="1004" ht="25" customHeight="1">
      <x:c r="A1004" s="1" t="str">
        <x:v>sh000852</x:v>
      </x:c>
      <x:c r="B1004" s="1" t="str">
        <x:v>中证1000</x:v>
      </x:c>
      <x:c r="C1004" s="1" t="str">
        <x:v>2008-08</x:v>
      </x:c>
      <x:c r="D1004" s="1" t="str">
        <x:v>2008-07-31</x:v>
      </x:c>
      <x:c r="E1004" s="5" t="n">
        <x:v>2834.1</x:v>
      </x:c>
      <x:c r="F1004" s="6" t="str">
        <x:v>2008-08-29</x:v>
      </x:c>
      <x:c r="G1004" s="5" t="n">
        <x:v>2105.88</x:v>
      </x:c>
      <x:c r="H1004" s="7" t="n">
        <x:f>G1004/E1004-1</x:f>
        <x:v>-0.25694929607282724</x:v>
      </x:c>
      <x:c r="I1004" s="1" t="n">
        <x:v>1</x:v>
      </x:c>
      <x:c r="J1004" s="1" t="n">
        <x:v>0</x:v>
      </x:c>
      <x:c r="K1004" s="1" t="str">
        <x:v>中证官方优先</x:v>
      </x:c>
    </x:row>
    <x:row r="1005" ht="25" customHeight="1">
      <x:c r="A1005" s="1" t="str">
        <x:v>sh000852</x:v>
      </x:c>
      <x:c r="B1005" s="1" t="str">
        <x:v>中证1000</x:v>
      </x:c>
      <x:c r="C1005" s="1" t="str">
        <x:v>2008-09</x:v>
      </x:c>
      <x:c r="D1005" s="1" t="str">
        <x:v>2008-08-29</x:v>
      </x:c>
      <x:c r="E1005" s="5" t="n">
        <x:v>2105.88</x:v>
      </x:c>
      <x:c r="F1005" s="6" t="str">
        <x:v>2008-09-26</x:v>
      </x:c>
      <x:c r="G1005" s="5" t="n">
        <x:v>1917.37</x:v>
      </x:c>
      <x:c r="H1005" s="7" t="n">
        <x:f>G1005/E1005-1</x:f>
        <x:v>-0.08951602180561102</x:v>
      </x:c>
      <x:c r="I1005" s="1" t="n">
        <x:v>1</x:v>
      </x:c>
      <x:c r="J1005" s="1" t="n">
        <x:v>0</x:v>
      </x:c>
      <x:c r="K1005" s="1" t="str">
        <x:v>中证官方优先</x:v>
      </x:c>
    </x:row>
    <x:row r="1006" ht="25" customHeight="1">
      <x:c r="A1006" s="1" t="str">
        <x:v>sh000852</x:v>
      </x:c>
      <x:c r="B1006" s="1" t="str">
        <x:v>中证1000</x:v>
      </x:c>
      <x:c r="C1006" s="1" t="str">
        <x:v>2008-10</x:v>
      </x:c>
      <x:c r="D1006" s="1" t="str">
        <x:v>2008-09-26</x:v>
      </x:c>
      <x:c r="E1006" s="5" t="n">
        <x:v>1917.37</x:v>
      </x:c>
      <x:c r="F1006" s="6" t="str">
        <x:v>2008-10-31</x:v>
      </x:c>
      <x:c r="G1006" s="5" t="n">
        <x:v>1406.76</x:v>
      </x:c>
      <x:c r="H1006" s="7" t="n">
        <x:f>G1006/E1006-1</x:f>
        <x:v>-0.2663074941195491</x:v>
      </x:c>
      <x:c r="I1006" s="1" t="n">
        <x:v>1</x:v>
      </x:c>
      <x:c r="J1006" s="1" t="n">
        <x:v>0</x:v>
      </x:c>
      <x:c r="K1006" s="1" t="str">
        <x:v>中证官方优先</x:v>
      </x:c>
    </x:row>
    <x:row r="1007" ht="25" customHeight="1">
      <x:c r="A1007" s="1" t="str">
        <x:v>sh000852</x:v>
      </x:c>
      <x:c r="B1007" s="1" t="str">
        <x:v>中证1000</x:v>
      </x:c>
      <x:c r="C1007" s="1" t="str">
        <x:v>2008-11</x:v>
      </x:c>
      <x:c r="D1007" s="1" t="str">
        <x:v>2008-10-31</x:v>
      </x:c>
      <x:c r="E1007" s="5" t="n">
        <x:v>1406.76</x:v>
      </x:c>
      <x:c r="F1007" s="6" t="str">
        <x:v>2008-11-28</x:v>
      </x:c>
      <x:c r="G1007" s="5" t="n">
        <x:v>1719.43</x:v>
      </x:c>
      <x:c r="H1007" s="7" t="n">
        <x:f>G1007/E1007-1</x:f>
        <x:v>0.22226250390969327</x:v>
      </x:c>
      <x:c r="I1007" s="1" t="n">
        <x:v>1</x:v>
      </x:c>
      <x:c r="J1007" s="1" t="n">
        <x:v>0</x:v>
      </x:c>
      <x:c r="K1007" s="1" t="str">
        <x:v>中证官方优先</x:v>
      </x:c>
    </x:row>
    <x:row r="1008" ht="25" customHeight="1">
      <x:c r="A1008" s="1" t="str">
        <x:v>sh000852</x:v>
      </x:c>
      <x:c r="B1008" s="1" t="str">
        <x:v>中证1000</x:v>
      </x:c>
      <x:c r="C1008" s="1" t="str">
        <x:v>2008-12</x:v>
      </x:c>
      <x:c r="D1008" s="1" t="str">
        <x:v>2008-11-28</x:v>
      </x:c>
      <x:c r="E1008" s="5" t="n">
        <x:v>1719.43</x:v>
      </x:c>
      <x:c r="F1008" s="6" t="str">
        <x:v>2008-12-31</x:v>
      </x:c>
      <x:c r="G1008" s="5" t="n">
        <x:v>1830.82</x:v>
      </x:c>
      <x:c r="H1008" s="7" t="n">
        <x:f>G1008/E1008-1</x:f>
        <x:v>0.06478309672391425</x:v>
      </x:c>
      <x:c r="I1008" s="1" t="n">
        <x:v>1</x:v>
      </x:c>
      <x:c r="J1008" s="1" t="n">
        <x:v>0</x:v>
      </x:c>
      <x:c r="K1008" s="1" t="str">
        <x:v>中证官方优先</x:v>
      </x:c>
    </x:row>
    <x:row r="1009" ht="25" customHeight="1">
      <x:c r="A1009" s="1" t="str">
        <x:v>sh000852</x:v>
      </x:c>
      <x:c r="B1009" s="1" t="str">
        <x:v>中证1000</x:v>
      </x:c>
      <x:c r="C1009" s="1" t="str">
        <x:v>2009-01</x:v>
      </x:c>
      <x:c r="D1009" s="1" t="str">
        <x:v>2008-12-31</x:v>
      </x:c>
      <x:c r="E1009" s="5" t="n">
        <x:v>1830.82</x:v>
      </x:c>
      <x:c r="F1009" s="6" t="str">
        <x:v>2009-01-23</x:v>
      </x:c>
      <x:c r="G1009" s="5" t="n">
        <x:v>2122.35</x:v>
      </x:c>
      <x:c r="H1009" s="7" t="n">
        <x:f>G1009/E1009-1</x:f>
        <x:v>0.15923465987917984</x:v>
      </x:c>
      <x:c r="I1009" s="1" t="n">
        <x:v>1</x:v>
      </x:c>
      <x:c r="J1009" s="1" t="n">
        <x:v>0</x:v>
      </x:c>
      <x:c r="K1009" s="1" t="str">
        <x:v>中证官方优先</x:v>
      </x:c>
    </x:row>
    <x:row r="1010" ht="25" customHeight="1">
      <x:c r="A1010" s="1" t="str">
        <x:v>sh000852</x:v>
      </x:c>
      <x:c r="B1010" s="1" t="str">
        <x:v>中证1000</x:v>
      </x:c>
      <x:c r="C1010" s="1" t="str">
        <x:v>2009-02</x:v>
      </x:c>
      <x:c r="D1010" s="1" t="str">
        <x:v>2009-01-23</x:v>
      </x:c>
      <x:c r="E1010" s="5" t="n">
        <x:v>2122.35</x:v>
      </x:c>
      <x:c r="F1010" s="6" t="str">
        <x:v>2009-02-27</x:v>
      </x:c>
      <x:c r="G1010" s="5" t="n">
        <x:v>2302.02</x:v>
      </x:c>
      <x:c r="H1010" s="7" t="n">
        <x:f>G1010/E1010-1</x:f>
        <x:v>0.08465615944589722</x:v>
      </x:c>
      <x:c r="I1010" s="1" t="n">
        <x:v>1</x:v>
      </x:c>
      <x:c r="J1010" s="1" t="n">
        <x:v>0</x:v>
      </x:c>
      <x:c r="K1010" s="1" t="str">
        <x:v>中证官方优先</x:v>
      </x:c>
    </x:row>
    <x:row r="1011" ht="25" customHeight="1">
      <x:c r="A1011" s="1" t="str">
        <x:v>sh000852</x:v>
      </x:c>
      <x:c r="B1011" s="1" t="str">
        <x:v>中证1000</x:v>
      </x:c>
      <x:c r="C1011" s="1" t="str">
        <x:v>2009-03</x:v>
      </x:c>
      <x:c r="D1011" s="1" t="str">
        <x:v>2009-02-27</x:v>
      </x:c>
      <x:c r="E1011" s="5" t="n">
        <x:v>2302.02</x:v>
      </x:c>
      <x:c r="F1011" s="6" t="str">
        <x:v>2009-03-31</x:v>
      </x:c>
      <x:c r="G1011" s="5" t="n">
        <x:v>2814.17</x:v>
      </x:c>
      <x:c r="H1011" s="7" t="n">
        <x:f>G1011/E1011-1</x:f>
        <x:v>0.22247851886603942</x:v>
      </x:c>
      <x:c r="I1011" s="1" t="n">
        <x:v>1</x:v>
      </x:c>
      <x:c r="J1011" s="1" t="n">
        <x:v>0</x:v>
      </x:c>
      <x:c r="K1011" s="1" t="str">
        <x:v>中证官方优先</x:v>
      </x:c>
    </x:row>
    <x:row r="1012" ht="25" customHeight="1">
      <x:c r="A1012" s="1" t="str">
        <x:v>sh000852</x:v>
      </x:c>
      <x:c r="B1012" s="1" t="str">
        <x:v>中证1000</x:v>
      </x:c>
      <x:c r="C1012" s="1" t="str">
        <x:v>2009-04</x:v>
      </x:c>
      <x:c r="D1012" s="1" t="str">
        <x:v>2009-03-31</x:v>
      </x:c>
      <x:c r="E1012" s="5" t="n">
        <x:v>2814.17</x:v>
      </x:c>
      <x:c r="F1012" s="6" t="str">
        <x:v>2009-04-30</x:v>
      </x:c>
      <x:c r="G1012" s="5" t="n">
        <x:v>2971.9</x:v>
      </x:c>
      <x:c r="H1012" s="7" t="n">
        <x:f>G1012/E1012-1</x:f>
        <x:v>0.05604849742552864</x:v>
      </x:c>
      <x:c r="I1012" s="1" t="n">
        <x:v>1</x:v>
      </x:c>
      <x:c r="J1012" s="1" t="n">
        <x:v>0</x:v>
      </x:c>
      <x:c r="K1012" s="1" t="str">
        <x:v>中证官方优先</x:v>
      </x:c>
    </x:row>
    <x:row r="1013" ht="25" customHeight="1">
      <x:c r="A1013" s="1" t="str">
        <x:v>sh000852</x:v>
      </x:c>
      <x:c r="B1013" s="1" t="str">
        <x:v>中证1000</x:v>
      </x:c>
      <x:c r="C1013" s="1" t="str">
        <x:v>2009-05</x:v>
      </x:c>
      <x:c r="D1013" s="1" t="str">
        <x:v>2009-04-30</x:v>
      </x:c>
      <x:c r="E1013" s="5" t="n">
        <x:v>2971.9</x:v>
      </x:c>
      <x:c r="F1013" s="6" t="str">
        <x:v>2009-05-27</x:v>
      </x:c>
      <x:c r="G1013" s="5" t="n">
        <x:v>3179.67</x:v>
      </x:c>
      <x:c r="H1013" s="7" t="n">
        <x:f>G1013/E1013-1</x:f>
        <x:v>0.06991150442477867</x:v>
      </x:c>
      <x:c r="I1013" s="1" t="n">
        <x:v>1</x:v>
      </x:c>
      <x:c r="J1013" s="1" t="n">
        <x:v>0</x:v>
      </x:c>
      <x:c r="K1013" s="1" t="str">
        <x:v>中证官方优先</x:v>
      </x:c>
    </x:row>
    <x:row r="1014" ht="25" customHeight="1">
      <x:c r="A1014" s="1" t="str">
        <x:v>sh000852</x:v>
      </x:c>
      <x:c r="B1014" s="1" t="str">
        <x:v>中证1000</x:v>
      </x:c>
      <x:c r="C1014" s="1" t="str">
        <x:v>2009-06</x:v>
      </x:c>
      <x:c r="D1014" s="1" t="str">
        <x:v>2009-05-27</x:v>
      </x:c>
      <x:c r="E1014" s="5" t="n">
        <x:v>3179.67</x:v>
      </x:c>
      <x:c r="F1014" s="6" t="str">
        <x:v>2009-06-30</x:v>
      </x:c>
      <x:c r="G1014" s="5" t="n">
        <x:v>3335.1</x:v>
      </x:c>
      <x:c r="H1014" s="7" t="n">
        <x:f>G1014/E1014-1</x:f>
        <x:v>0.048882431195690135</x:v>
      </x:c>
      <x:c r="I1014" s="1" t="n">
        <x:v>1</x:v>
      </x:c>
      <x:c r="J1014" s="1" t="n">
        <x:v>0</x:v>
      </x:c>
      <x:c r="K1014" s="1" t="str">
        <x:v>中证官方优先</x:v>
      </x:c>
    </x:row>
    <x:row r="1015" ht="25" customHeight="1">
      <x:c r="A1015" s="1" t="str">
        <x:v>sh000852</x:v>
      </x:c>
      <x:c r="B1015" s="1" t="str">
        <x:v>中证1000</x:v>
      </x:c>
      <x:c r="C1015" s="1" t="str">
        <x:v>2009-07</x:v>
      </x:c>
      <x:c r="D1015" s="1" t="str">
        <x:v>2009-06-30</x:v>
      </x:c>
      <x:c r="E1015" s="5" t="n">
        <x:v>3335.1</x:v>
      </x:c>
      <x:c r="F1015" s="6" t="str">
        <x:v>2009-07-31</x:v>
      </x:c>
      <x:c r="G1015" s="5" t="n">
        <x:v>3771.17</x:v>
      </x:c>
      <x:c r="H1015" s="7" t="n">
        <x:f>G1015/E1015-1</x:f>
        <x:v>0.13075170159815297</x:v>
      </x:c>
      <x:c r="I1015" s="1" t="n">
        <x:v>1</x:v>
      </x:c>
      <x:c r="J1015" s="1" t="n">
        <x:v>0</x:v>
      </x:c>
      <x:c r="K1015" s="1" t="str">
        <x:v>中证官方优先</x:v>
      </x:c>
    </x:row>
    <x:row r="1016" ht="25" customHeight="1">
      <x:c r="A1016" s="1" t="str">
        <x:v>sh000852</x:v>
      </x:c>
      <x:c r="B1016" s="1" t="str">
        <x:v>中证1000</x:v>
      </x:c>
      <x:c r="C1016" s="1" t="str">
        <x:v>2009-08</x:v>
      </x:c>
      <x:c r="D1016" s="1" t="str">
        <x:v>2009-07-31</x:v>
      </x:c>
      <x:c r="E1016" s="5" t="n">
        <x:v>3771.17</x:v>
      </x:c>
      <x:c r="F1016" s="6" t="str">
        <x:v>2009-08-31</x:v>
      </x:c>
      <x:c r="G1016" s="5" t="n">
        <x:v>3163.17</x:v>
      </x:c>
      <x:c r="H1016" s="7" t="n">
        <x:f>G1016/E1016-1</x:f>
        <x:v>-0.16122317477069448</x:v>
      </x:c>
      <x:c r="I1016" s="1" t="n">
        <x:v>1</x:v>
      </x:c>
      <x:c r="J1016" s="1" t="n">
        <x:v>0</x:v>
      </x:c>
      <x:c r="K1016" s="1" t="str">
        <x:v>中证官方优先</x:v>
      </x:c>
    </x:row>
    <x:row r="1017" ht="25" customHeight="1">
      <x:c r="A1017" s="1" t="str">
        <x:v>sh000852</x:v>
      </x:c>
      <x:c r="B1017" s="1" t="str">
        <x:v>中证1000</x:v>
      </x:c>
      <x:c r="C1017" s="1" t="str">
        <x:v>2009-09</x:v>
      </x:c>
      <x:c r="D1017" s="1" t="str">
        <x:v>2009-08-31</x:v>
      </x:c>
      <x:c r="E1017" s="5" t="n">
        <x:v>3163.17</x:v>
      </x:c>
      <x:c r="F1017" s="6" t="str">
        <x:v>2009-09-30</x:v>
      </x:c>
      <x:c r="G1017" s="5" t="n">
        <x:v>3250.4</x:v>
      </x:c>
      <x:c r="H1017" s="7" t="n">
        <x:f>G1017/E1017-1</x:f>
        <x:v>0.027576766345153825</x:v>
      </x:c>
      <x:c r="I1017" s="1" t="n">
        <x:v>1</x:v>
      </x:c>
      <x:c r="J1017" s="1" t="n">
        <x:v>0</x:v>
      </x:c>
      <x:c r="K1017" s="1" t="str">
        <x:v>中证官方优先</x:v>
      </x:c>
    </x:row>
    <x:row r="1018" ht="25" customHeight="1">
      <x:c r="A1018" s="1" t="str">
        <x:v>sh000852</x:v>
      </x:c>
      <x:c r="B1018" s="1" t="str">
        <x:v>中证1000</x:v>
      </x:c>
      <x:c r="C1018" s="1" t="str">
        <x:v>2009-10</x:v>
      </x:c>
      <x:c r="D1018" s="1" t="str">
        <x:v>2009-09-30</x:v>
      </x:c>
      <x:c r="E1018" s="5" t="n">
        <x:v>3250.4</x:v>
      </x:c>
      <x:c r="F1018" s="6" t="str">
        <x:v>2009-10-30</x:v>
      </x:c>
      <x:c r="G1018" s="5" t="n">
        <x:v>3665.99</x:v>
      </x:c>
      <x:c r="H1018" s="7" t="n">
        <x:f>G1018/E1018-1</x:f>
        <x:v>0.1278581097711049</x:v>
      </x:c>
      <x:c r="I1018" s="1" t="n">
        <x:v>1</x:v>
      </x:c>
      <x:c r="J1018" s="1" t="n">
        <x:v>0</x:v>
      </x:c>
      <x:c r="K1018" s="1" t="str">
        <x:v>中证官方优先</x:v>
      </x:c>
    </x:row>
    <x:row r="1019" ht="25" customHeight="1">
      <x:c r="A1019" s="1" t="str">
        <x:v>sh000852</x:v>
      </x:c>
      <x:c r="B1019" s="1" t="str">
        <x:v>中证1000</x:v>
      </x:c>
      <x:c r="C1019" s="1" t="str">
        <x:v>2009-11</x:v>
      </x:c>
      <x:c r="D1019" s="1" t="str">
        <x:v>2009-10-30</x:v>
      </x:c>
      <x:c r="E1019" s="5" t="n">
        <x:v>3665.99</x:v>
      </x:c>
      <x:c r="F1019" s="6" t="str">
        <x:v>2009-11-30</x:v>
      </x:c>
      <x:c r="G1019" s="5" t="n">
        <x:v>4264.05</x:v>
      </x:c>
      <x:c r="H1019" s="7" t="n">
        <x:f>G1019/E1019-1</x:f>
        <x:v>0.1631373789890318</x:v>
      </x:c>
      <x:c r="I1019" s="1" t="n">
        <x:v>1</x:v>
      </x:c>
      <x:c r="J1019" s="1" t="n">
        <x:v>0</x:v>
      </x:c>
      <x:c r="K1019" s="1" t="str">
        <x:v>中证官方优先</x:v>
      </x:c>
    </x:row>
    <x:row r="1020" ht="25" customHeight="1">
      <x:c r="A1020" s="1" t="str">
        <x:v>sh000852</x:v>
      </x:c>
      <x:c r="B1020" s="1" t="str">
        <x:v>中证1000</x:v>
      </x:c>
      <x:c r="C1020" s="1" t="str">
        <x:v>2009-12</x:v>
      </x:c>
      <x:c r="D1020" s="1" t="str">
        <x:v>2009-11-30</x:v>
      </x:c>
      <x:c r="E1020" s="5" t="n">
        <x:v>4264.05</x:v>
      </x:c>
      <x:c r="F1020" s="6" t="str">
        <x:v>2009-12-31</x:v>
      </x:c>
      <x:c r="G1020" s="5" t="n">
        <x:v>4391.28</x:v>
      </x:c>
      <x:c r="H1020" s="7" t="n">
        <x:f>G1020/E1020-1</x:f>
        <x:v>0.02983783023182185</x:v>
      </x:c>
      <x:c r="I1020" s="1" t="n">
        <x:v>1</x:v>
      </x:c>
      <x:c r="J1020" s="1" t="n">
        <x:v>0</x:v>
      </x:c>
      <x:c r="K1020" s="1" t="str">
        <x:v>中证官方优先</x:v>
      </x:c>
    </x:row>
    <x:row r="1021" ht="25" customHeight="1">
      <x:c r="A1021" s="1" t="str">
        <x:v>sh000852</x:v>
      </x:c>
      <x:c r="B1021" s="1" t="str">
        <x:v>中证1000</x:v>
      </x:c>
      <x:c r="C1021" s="1" t="str">
        <x:v>2010-01</x:v>
      </x:c>
      <x:c r="D1021" s="1" t="str">
        <x:v>2009-12-31</x:v>
      </x:c>
      <x:c r="E1021" s="5" t="n">
        <x:v>4391.28</x:v>
      </x:c>
      <x:c r="F1021" s="6" t="str">
        <x:v>2010-01-29</x:v>
      </x:c>
      <x:c r="G1021" s="5" t="n">
        <x:v>4290.32</x:v>
      </x:c>
      <x:c r="H1021" s="7" t="n">
        <x:f>G1021/E1021-1</x:f>
        <x:v>-0.02299101856406338</x:v>
      </x:c>
      <x:c r="I1021" s="1" t="n">
        <x:v>1</x:v>
      </x:c>
      <x:c r="J1021" s="1" t="n">
        <x:v>0</x:v>
      </x:c>
      <x:c r="K1021" s="1" t="str">
        <x:v>中证官方优先</x:v>
      </x:c>
    </x:row>
    <x:row r="1022" ht="25" customHeight="1">
      <x:c r="A1022" s="1" t="str">
        <x:v>sh000852</x:v>
      </x:c>
      <x:c r="B1022" s="1" t="str">
        <x:v>中证1000</x:v>
      </x:c>
      <x:c r="C1022" s="1" t="str">
        <x:v>2010-02</x:v>
      </x:c>
      <x:c r="D1022" s="1" t="str">
        <x:v>2010-01-29</x:v>
      </x:c>
      <x:c r="E1022" s="5" t="n">
        <x:v>4290.32</x:v>
      </x:c>
      <x:c r="F1022" s="6" t="str">
        <x:v>2010-02-26</x:v>
      </x:c>
      <x:c r="G1022" s="5" t="n">
        <x:v>4653.34</x:v>
      </x:c>
      <x:c r="H1022" s="7" t="n">
        <x:f>G1022/E1022-1</x:f>
        <x:v>0.08461373510600612</x:v>
      </x:c>
      <x:c r="I1022" s="1" t="n">
        <x:v>1</x:v>
      </x:c>
      <x:c r="J1022" s="1" t="n">
        <x:v>0</x:v>
      </x:c>
      <x:c r="K1022" s="1" t="str">
        <x:v>中证官方优先</x:v>
      </x:c>
    </x:row>
    <x:row r="1023" ht="25" customHeight="1">
      <x:c r="A1023" s="1" t="str">
        <x:v>sh000852</x:v>
      </x:c>
      <x:c r="B1023" s="1" t="str">
        <x:v>中证1000</x:v>
      </x:c>
      <x:c r="C1023" s="1" t="str">
        <x:v>2010-03</x:v>
      </x:c>
      <x:c r="D1023" s="1" t="str">
        <x:v>2010-02-26</x:v>
      </x:c>
      <x:c r="E1023" s="5" t="n">
        <x:v>4653.34</x:v>
      </x:c>
      <x:c r="F1023" s="6" t="str">
        <x:v>2010-03-31</x:v>
      </x:c>
      <x:c r="G1023" s="5" t="n">
        <x:v>4822.08</x:v>
      </x:c>
      <x:c r="H1023" s="7" t="n">
        <x:f>G1023/E1023-1</x:f>
        <x:v>0.03626212569896037</x:v>
      </x:c>
      <x:c r="I1023" s="1" t="n">
        <x:v>1</x:v>
      </x:c>
      <x:c r="J1023" s="1" t="n">
        <x:v>0</x:v>
      </x:c>
      <x:c r="K1023" s="1" t="str">
        <x:v>中证官方优先</x:v>
      </x:c>
    </x:row>
    <x:row r="1024" ht="25" customHeight="1">
      <x:c r="A1024" s="1" t="str">
        <x:v>sh000852</x:v>
      </x:c>
      <x:c r="B1024" s="1" t="str">
        <x:v>中证1000</x:v>
      </x:c>
      <x:c r="C1024" s="1" t="str">
        <x:v>2010-04</x:v>
      </x:c>
      <x:c r="D1024" s="1" t="str">
        <x:v>2010-03-31</x:v>
      </x:c>
      <x:c r="E1024" s="5" t="n">
        <x:v>4822.08</x:v>
      </x:c>
      <x:c r="F1024" s="6" t="str">
        <x:v>2010-04-30</x:v>
      </x:c>
      <x:c r="G1024" s="5" t="n">
        <x:v>4527.76</x:v>
      </x:c>
      <x:c r="H1024" s="7" t="n">
        <x:f>G1024/E1024-1</x:f>
        <x:v>-0.06103590151967608</x:v>
      </x:c>
      <x:c r="I1024" s="1" t="n">
        <x:v>1</x:v>
      </x:c>
      <x:c r="J1024" s="1" t="n">
        <x:v>0</x:v>
      </x:c>
      <x:c r="K1024" s="1" t="str">
        <x:v>中证官方优先</x:v>
      </x:c>
    </x:row>
    <x:row r="1025" ht="25" customHeight="1">
      <x:c r="A1025" s="1" t="str">
        <x:v>sh000852</x:v>
      </x:c>
      <x:c r="B1025" s="1" t="str">
        <x:v>中证1000</x:v>
      </x:c>
      <x:c r="C1025" s="1" t="str">
        <x:v>2010-05</x:v>
      </x:c>
      <x:c r="D1025" s="1" t="str">
        <x:v>2010-04-30</x:v>
      </x:c>
      <x:c r="E1025" s="5" t="n">
        <x:v>4527.76</x:v>
      </x:c>
      <x:c r="F1025" s="6" t="str">
        <x:v>2010-05-31</x:v>
      </x:c>
      <x:c r="G1025" s="5" t="n">
        <x:v>4149.96</x:v>
      </x:c>
      <x:c r="H1025" s="7" t="n">
        <x:f>G1025/E1025-1</x:f>
        <x:v>-0.08344081841793738</x:v>
      </x:c>
      <x:c r="I1025" s="1" t="n">
        <x:v>1</x:v>
      </x:c>
      <x:c r="J1025" s="1" t="n">
        <x:v>0</x:v>
      </x:c>
      <x:c r="K1025" s="1" t="str">
        <x:v>中证官方优先</x:v>
      </x:c>
    </x:row>
    <x:row r="1026" ht="25" customHeight="1">
      <x:c r="A1026" s="1" t="str">
        <x:v>sh000852</x:v>
      </x:c>
      <x:c r="B1026" s="1" t="str">
        <x:v>中证1000</x:v>
      </x:c>
      <x:c r="C1026" s="1" t="str">
        <x:v>2010-06</x:v>
      </x:c>
      <x:c r="D1026" s="1" t="str">
        <x:v>2010-05-31</x:v>
      </x:c>
      <x:c r="E1026" s="5" t="n">
        <x:v>4149.96</x:v>
      </x:c>
      <x:c r="F1026" s="6" t="str">
        <x:v>2010-06-30</x:v>
      </x:c>
      <x:c r="G1026" s="5" t="n">
        <x:v>3732.65</x:v>
      </x:c>
      <x:c r="H1026" s="7" t="n">
        <x:f>G1026/E1026-1</x:f>
        <x:v>-0.10055759573586254</x:v>
      </x:c>
      <x:c r="I1026" s="1" t="n">
        <x:v>1</x:v>
      </x:c>
      <x:c r="J1026" s="1" t="n">
        <x:v>0</x:v>
      </x:c>
      <x:c r="K1026" s="1" t="str">
        <x:v>中证官方优先</x:v>
      </x:c>
    </x:row>
    <x:row r="1027" ht="25" customHeight="1">
      <x:c r="A1027" s="1" t="str">
        <x:v>sh000852</x:v>
      </x:c>
      <x:c r="B1027" s="1" t="str">
        <x:v>中证1000</x:v>
      </x:c>
      <x:c r="C1027" s="1" t="str">
        <x:v>2010-07</x:v>
      </x:c>
      <x:c r="D1027" s="1" t="str">
        <x:v>2010-06-30</x:v>
      </x:c>
      <x:c r="E1027" s="5" t="n">
        <x:v>3732.65</x:v>
      </x:c>
      <x:c r="F1027" s="6" t="str">
        <x:v>2010-07-30</x:v>
      </x:c>
      <x:c r="G1027" s="5" t="n">
        <x:v>4299.05</x:v>
      </x:c>
      <x:c r="H1027" s="7" t="n">
        <x:f>G1027/E1027-1</x:f>
        <x:v>0.1517420599306123</x:v>
      </x:c>
      <x:c r="I1027" s="1" t="n">
        <x:v>1</x:v>
      </x:c>
      <x:c r="J1027" s="1" t="n">
        <x:v>0</x:v>
      </x:c>
      <x:c r="K1027" s="1" t="str">
        <x:v>中证官方优先</x:v>
      </x:c>
    </x:row>
    <x:row r="1028" ht="25" customHeight="1">
      <x:c r="A1028" s="1" t="str">
        <x:v>sh000852</x:v>
      </x:c>
      <x:c r="B1028" s="1" t="str">
        <x:v>中证1000</x:v>
      </x:c>
      <x:c r="C1028" s="1" t="str">
        <x:v>2010-08</x:v>
      </x:c>
      <x:c r="D1028" s="1" t="str">
        <x:v>2010-07-30</x:v>
      </x:c>
      <x:c r="E1028" s="5" t="n">
        <x:v>4299.05</x:v>
      </x:c>
      <x:c r="F1028" s="6" t="str">
        <x:v>2010-08-31</x:v>
      </x:c>
      <x:c r="G1028" s="5" t="n">
        <x:v>4755.85</x:v>
      </x:c>
      <x:c r="H1028" s="7" t="n">
        <x:f>G1028/E1028-1</x:f>
        <x:v>0.1062560333096847</x:v>
      </x:c>
      <x:c r="I1028" s="1" t="n">
        <x:v>1</x:v>
      </x:c>
      <x:c r="J1028" s="1" t="n">
        <x:v>0</x:v>
      </x:c>
      <x:c r="K1028" s="1" t="str">
        <x:v>中证官方优先</x:v>
      </x:c>
    </x:row>
    <x:row r="1029" ht="25" customHeight="1">
      <x:c r="A1029" s="1" t="str">
        <x:v>sh000852</x:v>
      </x:c>
      <x:c r="B1029" s="1" t="str">
        <x:v>中证1000</x:v>
      </x:c>
      <x:c r="C1029" s="1" t="str">
        <x:v>2010-09</x:v>
      </x:c>
      <x:c r="D1029" s="1" t="str">
        <x:v>2010-08-31</x:v>
      </x:c>
      <x:c r="E1029" s="5" t="n">
        <x:v>4755.85</x:v>
      </x:c>
      <x:c r="F1029" s="6" t="str">
        <x:v>2010-09-30</x:v>
      </x:c>
      <x:c r="G1029" s="5" t="n">
        <x:v>4785.49</x:v>
      </x:c>
      <x:c r="H1029" s="7" t="n">
        <x:f>G1029/E1029-1</x:f>
        <x:v>0.006232324400475164</x:v>
      </x:c>
      <x:c r="I1029" s="1" t="n">
        <x:v>1</x:v>
      </x:c>
      <x:c r="J1029" s="1" t="n">
        <x:v>0</x:v>
      </x:c>
      <x:c r="K1029" s="1" t="str">
        <x:v>中证官方优先</x:v>
      </x:c>
    </x:row>
    <x:row r="1030" ht="25" customHeight="1">
      <x:c r="A1030" s="1" t="str">
        <x:v>sh000852</x:v>
      </x:c>
      <x:c r="B1030" s="1" t="str">
        <x:v>中证1000</x:v>
      </x:c>
      <x:c r="C1030" s="1" t="str">
        <x:v>2010-10</x:v>
      </x:c>
      <x:c r="D1030" s="1" t="str">
        <x:v>2010-09-30</x:v>
      </x:c>
      <x:c r="E1030" s="5" t="n">
        <x:v>4785.49</x:v>
      </x:c>
      <x:c r="F1030" s="6" t="str">
        <x:v>2010-10-29</x:v>
      </x:c>
      <x:c r="G1030" s="5" t="n">
        <x:v>5211.52</x:v>
      </x:c>
      <x:c r="H1030" s="7" t="n">
        <x:f>G1030/E1030-1</x:f>
        <x:v>0.08902536626343394</x:v>
      </x:c>
      <x:c r="I1030" s="1" t="n">
        <x:v>1</x:v>
      </x:c>
      <x:c r="J1030" s="1" t="n">
        <x:v>0</x:v>
      </x:c>
      <x:c r="K1030" s="1" t="str">
        <x:v>中证官方优先</x:v>
      </x:c>
    </x:row>
    <x:row r="1031" ht="25" customHeight="1">
      <x:c r="A1031" s="1" t="str">
        <x:v>sh000852</x:v>
      </x:c>
      <x:c r="B1031" s="1" t="str">
        <x:v>中证1000</x:v>
      </x:c>
      <x:c r="C1031" s="1" t="str">
        <x:v>2010-11</x:v>
      </x:c>
      <x:c r="D1031" s="1" t="str">
        <x:v>2010-10-29</x:v>
      </x:c>
      <x:c r="E1031" s="5" t="n">
        <x:v>5211.52</x:v>
      </x:c>
      <x:c r="F1031" s="6" t="str">
        <x:v>2010-11-30</x:v>
      </x:c>
      <x:c r="G1031" s="5" t="n">
        <x:v>5294.7</x:v>
      </x:c>
      <x:c r="H1031" s="7" t="n">
        <x:f>G1031/E1031-1</x:f>
        <x:v>0.01596079454746402</x:v>
      </x:c>
      <x:c r="I1031" s="1" t="n">
        <x:v>1</x:v>
      </x:c>
      <x:c r="J1031" s="1" t="n">
        <x:v>0</x:v>
      </x:c>
      <x:c r="K1031" s="1" t="str">
        <x:v>中证官方优先</x:v>
      </x:c>
    </x:row>
    <x:row r="1032" ht="25" customHeight="1">
      <x:c r="A1032" s="1" t="str">
        <x:v>sh000852</x:v>
      </x:c>
      <x:c r="B1032" s="1" t="str">
        <x:v>中证1000</x:v>
      </x:c>
      <x:c r="C1032" s="1" t="str">
        <x:v>2010-12</x:v>
      </x:c>
      <x:c r="D1032" s="1" t="str">
        <x:v>2010-11-30</x:v>
      </x:c>
      <x:c r="E1032" s="5" t="n">
        <x:v>5294.7</x:v>
      </x:c>
      <x:c r="F1032" s="6" t="str">
        <x:v>2010-12-31</x:v>
      </x:c>
      <x:c r="G1032" s="5" t="n">
        <x:v>5155.56</x:v>
      </x:c>
      <x:c r="H1032" s="7" t="n">
        <x:f>G1032/E1032-1</x:f>
        <x:v>-0.026279109297977166</x:v>
      </x:c>
      <x:c r="I1032" s="1" t="n">
        <x:v>1</x:v>
      </x:c>
      <x:c r="J1032" s="1" t="n">
        <x:v>0</x:v>
      </x:c>
      <x:c r="K1032" s="1" t="str">
        <x:v>中证官方优先</x:v>
      </x:c>
    </x:row>
    <x:row r="1033" ht="25" customHeight="1">
      <x:c r="A1033" s="1" t="str">
        <x:v>sh000852</x:v>
      </x:c>
      <x:c r="B1033" s="1" t="str">
        <x:v>中证1000</x:v>
      </x:c>
      <x:c r="C1033" s="1" t="str">
        <x:v>2011-01</x:v>
      </x:c>
      <x:c r="D1033" s="1" t="str">
        <x:v>2010-12-31</x:v>
      </x:c>
      <x:c r="E1033" s="5" t="n">
        <x:v>5155.56</x:v>
      </x:c>
      <x:c r="F1033" s="6" t="str">
        <x:v>2011-01-31</x:v>
      </x:c>
      <x:c r="G1033" s="5" t="n">
        <x:v>4816.66</x:v>
      </x:c>
      <x:c r="H1033" s="7" t="n">
        <x:f>G1033/E1033-1</x:f>
        <x:v>-0.06573485712512328</x:v>
      </x:c>
      <x:c r="I1033" s="1" t="n">
        <x:v>1</x:v>
      </x:c>
      <x:c r="J1033" s="1" t="n">
        <x:v>0</x:v>
      </x:c>
      <x:c r="K1033" s="1" t="str">
        <x:v>中证官方优先</x:v>
      </x:c>
    </x:row>
    <x:row r="1034" ht="25" customHeight="1">
      <x:c r="A1034" s="1" t="str">
        <x:v>sh000852</x:v>
      </x:c>
      <x:c r="B1034" s="1" t="str">
        <x:v>中证1000</x:v>
      </x:c>
      <x:c r="C1034" s="1" t="str">
        <x:v>2011-02</x:v>
      </x:c>
      <x:c r="D1034" s="1" t="str">
        <x:v>2011-01-31</x:v>
      </x:c>
      <x:c r="E1034" s="5" t="n">
        <x:v>4816.66</x:v>
      </x:c>
      <x:c r="F1034" s="6" t="str">
        <x:v>2011-02-28</x:v>
      </x:c>
      <x:c r="G1034" s="5" t="n">
        <x:v>5347.3</x:v>
      </x:c>
      <x:c r="H1034" s="7" t="n">
        <x:f>G1034/E1034-1</x:f>
        <x:v>0.110167626529587</x:v>
      </x:c>
      <x:c r="I1034" s="1" t="n">
        <x:v>1</x:v>
      </x:c>
      <x:c r="J1034" s="1" t="n">
        <x:v>0</x:v>
      </x:c>
      <x:c r="K1034" s="1" t="str">
        <x:v>中证官方优先</x:v>
      </x:c>
    </x:row>
    <x:row r="1035" ht="25" customHeight="1">
      <x:c r="A1035" s="1" t="str">
        <x:v>sh000852</x:v>
      </x:c>
      <x:c r="B1035" s="1" t="str">
        <x:v>中证1000</x:v>
      </x:c>
      <x:c r="C1035" s="1" t="str">
        <x:v>2011-03</x:v>
      </x:c>
      <x:c r="D1035" s="1" t="str">
        <x:v>2011-02-28</x:v>
      </x:c>
      <x:c r="E1035" s="5" t="n">
        <x:v>5347.3</x:v>
      </x:c>
      <x:c r="F1035" s="6" t="str">
        <x:v>2011-03-31</x:v>
      </x:c>
      <x:c r="G1035" s="5" t="n">
        <x:v>5285.19</x:v>
      </x:c>
      <x:c r="H1035" s="7" t="n">
        <x:f>G1035/E1035-1</x:f>
        <x:v>-0.011615207674901429</x:v>
      </x:c>
      <x:c r="I1035" s="1" t="n">
        <x:v>1</x:v>
      </x:c>
      <x:c r="J1035" s="1" t="n">
        <x:v>0</x:v>
      </x:c>
      <x:c r="K1035" s="1" t="str">
        <x:v>中证官方优先</x:v>
      </x:c>
    </x:row>
    <x:row r="1036" ht="25" customHeight="1">
      <x:c r="A1036" s="1" t="str">
        <x:v>sh000852</x:v>
      </x:c>
      <x:c r="B1036" s="1" t="str">
        <x:v>中证1000</x:v>
      </x:c>
      <x:c r="C1036" s="1" t="str">
        <x:v>2011-04</x:v>
      </x:c>
      <x:c r="D1036" s="1" t="str">
        <x:v>2011-03-31</x:v>
      </x:c>
      <x:c r="E1036" s="5" t="n">
        <x:v>5285.19</x:v>
      </x:c>
      <x:c r="F1036" s="6" t="str">
        <x:v>2011-04-29</x:v>
      </x:c>
      <x:c r="G1036" s="5" t="n">
        <x:v>5027.55</x:v>
      </x:c>
      <x:c r="H1036" s="7" t="n">
        <x:f>G1036/E1036-1</x:f>
        <x:v>-0.048747537931465024</x:v>
      </x:c>
      <x:c r="I1036" s="1" t="n">
        <x:v>1</x:v>
      </x:c>
      <x:c r="J1036" s="1" t="n">
        <x:v>0</x:v>
      </x:c>
      <x:c r="K1036" s="1" t="str">
        <x:v>中证官方优先</x:v>
      </x:c>
    </x:row>
    <x:row r="1037" ht="25" customHeight="1">
      <x:c r="A1037" s="1" t="str">
        <x:v>sh000852</x:v>
      </x:c>
      <x:c r="B1037" s="1" t="str">
        <x:v>中证1000</x:v>
      </x:c>
      <x:c r="C1037" s="1" t="str">
        <x:v>2011-05</x:v>
      </x:c>
      <x:c r="D1037" s="1" t="str">
        <x:v>2011-04-29</x:v>
      </x:c>
      <x:c r="E1037" s="5" t="n">
        <x:v>5027.55</x:v>
      </x:c>
      <x:c r="F1037" s="6" t="str">
        <x:v>2011-05-31</x:v>
      </x:c>
      <x:c r="G1037" s="5" t="n">
        <x:v>4661.69</x:v>
      </x:c>
      <x:c r="H1037" s="7" t="n">
        <x:f>G1037/E1037-1</x:f>
        <x:v>-0.07277103161579712</x:v>
      </x:c>
      <x:c r="I1037" s="1" t="n">
        <x:v>1</x:v>
      </x:c>
      <x:c r="J1037" s="1" t="n">
        <x:v>0</x:v>
      </x:c>
      <x:c r="K1037" s="1" t="str">
        <x:v>中证官方优先</x:v>
      </x:c>
    </x:row>
    <x:row r="1038" ht="25" customHeight="1">
      <x:c r="A1038" s="1" t="str">
        <x:v>sh000852</x:v>
      </x:c>
      <x:c r="B1038" s="1" t="str">
        <x:v>中证1000</x:v>
      </x:c>
      <x:c r="C1038" s="1" t="str">
        <x:v>2011-06</x:v>
      </x:c>
      <x:c r="D1038" s="1" t="str">
        <x:v>2011-05-31</x:v>
      </x:c>
      <x:c r="E1038" s="5" t="n">
        <x:v>4661.69</x:v>
      </x:c>
      <x:c r="F1038" s="6" t="str">
        <x:v>2011-06-30</x:v>
      </x:c>
      <x:c r="G1038" s="5" t="n">
        <x:v>4872.27</x:v>
      </x:c>
      <x:c r="H1038" s="7" t="n">
        <x:f>G1038/E1038-1</x:f>
        <x:v>0.045172458915114566</x:v>
      </x:c>
      <x:c r="I1038" s="1" t="n">
        <x:v>1</x:v>
      </x:c>
      <x:c r="J1038" s="1" t="n">
        <x:v>0</x:v>
      </x:c>
      <x:c r="K1038" s="1" t="str">
        <x:v>中证官方优先</x:v>
      </x:c>
    </x:row>
    <x:row r="1039" ht="25" customHeight="1">
      <x:c r="A1039" s="1" t="str">
        <x:v>sh000852</x:v>
      </x:c>
      <x:c r="B1039" s="1" t="str">
        <x:v>中证1000</x:v>
      </x:c>
      <x:c r="C1039" s="1" t="str">
        <x:v>2011-07</x:v>
      </x:c>
      <x:c r="D1039" s="1" t="str">
        <x:v>2011-06-30</x:v>
      </x:c>
      <x:c r="E1039" s="5" t="n">
        <x:v>4872.27</x:v>
      </x:c>
      <x:c r="F1039" s="6" t="str">
        <x:v>2011-07-29</x:v>
      </x:c>
      <x:c r="G1039" s="5" t="n">
        <x:v>4963.42</x:v>
      </x:c>
      <x:c r="H1039" s="7" t="n">
        <x:f>G1039/E1039-1</x:f>
        <x:v>0.018707912328339793</x:v>
      </x:c>
      <x:c r="I1039" s="1" t="n">
        <x:v>1</x:v>
      </x:c>
      <x:c r="J1039" s="1" t="n">
        <x:v>0</x:v>
      </x:c>
      <x:c r="K1039" s="1" t="str">
        <x:v>中证官方优先</x:v>
      </x:c>
    </x:row>
    <x:row r="1040" ht="25" customHeight="1">
      <x:c r="A1040" s="1" t="str">
        <x:v>sh000852</x:v>
      </x:c>
      <x:c r="B1040" s="1" t="str">
        <x:v>中证1000</x:v>
      </x:c>
      <x:c r="C1040" s="1" t="str">
        <x:v>2011-08</x:v>
      </x:c>
      <x:c r="D1040" s="1" t="str">
        <x:v>2011-07-29</x:v>
      </x:c>
      <x:c r="E1040" s="5" t="n">
        <x:v>4963.42</x:v>
      </x:c>
      <x:c r="F1040" s="6" t="str">
        <x:v>2011-08-31</x:v>
      </x:c>
      <x:c r="G1040" s="5" t="n">
        <x:v>4798.73</x:v>
      </x:c>
      <x:c r="H1040" s="7" t="n">
        <x:f>G1040/E1040-1</x:f>
        <x:v>-0.033180750369704914</x:v>
      </x:c>
      <x:c r="I1040" s="1" t="n">
        <x:v>1</x:v>
      </x:c>
      <x:c r="J1040" s="1" t="n">
        <x:v>0</x:v>
      </x:c>
      <x:c r="K1040" s="1" t="str">
        <x:v>中证官方优先</x:v>
      </x:c>
    </x:row>
    <x:row r="1041" ht="25" customHeight="1">
      <x:c r="A1041" s="1" t="str">
        <x:v>sh000852</x:v>
      </x:c>
      <x:c r="B1041" s="1" t="str">
        <x:v>中证1000</x:v>
      </x:c>
      <x:c r="C1041" s="1" t="str">
        <x:v>2011-09</x:v>
      </x:c>
      <x:c r="D1041" s="1" t="str">
        <x:v>2011-08-31</x:v>
      </x:c>
      <x:c r="E1041" s="5" t="n">
        <x:v>4798.73</x:v>
      </x:c>
      <x:c r="F1041" s="6" t="str">
        <x:v>2011-09-30</x:v>
      </x:c>
      <x:c r="G1041" s="5" t="n">
        <x:v>4174.45</x:v>
      </x:c>
      <x:c r="H1041" s="7" t="n">
        <x:f>G1041/E1041-1</x:f>
        <x:v>-0.13009275370775175</x:v>
      </x:c>
      <x:c r="I1041" s="1" t="n">
        <x:v>1</x:v>
      </x:c>
      <x:c r="J1041" s="1" t="n">
        <x:v>0</x:v>
      </x:c>
      <x:c r="K1041" s="1" t="str">
        <x:v>中证官方优先</x:v>
      </x:c>
    </x:row>
    <x:row r="1042" ht="25" customHeight="1">
      <x:c r="A1042" s="1" t="str">
        <x:v>sh000852</x:v>
      </x:c>
      <x:c r="B1042" s="1" t="str">
        <x:v>中证1000</x:v>
      </x:c>
      <x:c r="C1042" s="1" t="str">
        <x:v>2011-10</x:v>
      </x:c>
      <x:c r="D1042" s="1" t="str">
        <x:v>2011-09-30</x:v>
      </x:c>
      <x:c r="E1042" s="5" t="n">
        <x:v>4174.45</x:v>
      </x:c>
      <x:c r="F1042" s="6" t="str">
        <x:v>2011-10-31</x:v>
      </x:c>
      <x:c r="G1042" s="5" t="n">
        <x:v>4350.13</x:v>
      </x:c>
      <x:c r="H1042" s="7" t="n">
        <x:f>G1042/E1042-1</x:f>
        <x:v>0.04208458599336451</x:v>
      </x:c>
      <x:c r="I1042" s="1" t="n">
        <x:v>1</x:v>
      </x:c>
      <x:c r="J1042" s="1" t="n">
        <x:v>0</x:v>
      </x:c>
      <x:c r="K1042" s="1" t="str">
        <x:v>中证官方优先</x:v>
      </x:c>
    </x:row>
    <x:row r="1043" ht="25" customHeight="1">
      <x:c r="A1043" s="1" t="str">
        <x:v>sh000852</x:v>
      </x:c>
      <x:c r="B1043" s="1" t="str">
        <x:v>中证1000</x:v>
      </x:c>
      <x:c r="C1043" s="1" t="str">
        <x:v>2011-11</x:v>
      </x:c>
      <x:c r="D1043" s="1" t="str">
        <x:v>2011-10-31</x:v>
      </x:c>
      <x:c r="E1043" s="5" t="n">
        <x:v>4350.13</x:v>
      </x:c>
      <x:c r="F1043" s="6" t="str">
        <x:v>2011-11-30</x:v>
      </x:c>
      <x:c r="G1043" s="5" t="n">
        <x:v>4164.12</x:v>
      </x:c>
      <x:c r="H1043" s="7" t="n">
        <x:f>G1043/E1043-1</x:f>
        <x:v>-0.04275964166588131</x:v>
      </x:c>
      <x:c r="I1043" s="1" t="n">
        <x:v>1</x:v>
      </x:c>
      <x:c r="J1043" s="1" t="n">
        <x:v>0</x:v>
      </x:c>
      <x:c r="K1043" s="1" t="str">
        <x:v>中证官方优先</x:v>
      </x:c>
    </x:row>
    <x:row r="1044" ht="25" customHeight="1">
      <x:c r="A1044" s="1" t="str">
        <x:v>sh000852</x:v>
      </x:c>
      <x:c r="B1044" s="1" t="str">
        <x:v>中证1000</x:v>
      </x:c>
      <x:c r="C1044" s="1" t="str">
        <x:v>2011-12</x:v>
      </x:c>
      <x:c r="D1044" s="1" t="str">
        <x:v>2011-11-30</x:v>
      </x:c>
      <x:c r="E1044" s="5" t="n">
        <x:v>4164.12</x:v>
      </x:c>
      <x:c r="F1044" s="6" t="str">
        <x:v>2011-12-30</x:v>
      </x:c>
      <x:c r="G1044" s="5" t="n">
        <x:v>3456.29</x:v>
      </x:c>
      <x:c r="H1044" s="7" t="n">
        <x:f>G1044/E1044-1</x:f>
        <x:v>-0.16998309366684916</x:v>
      </x:c>
      <x:c r="I1044" s="1" t="n">
        <x:v>1</x:v>
      </x:c>
      <x:c r="J1044" s="1" t="n">
        <x:v>0</x:v>
      </x:c>
      <x:c r="K1044" s="1" t="str">
        <x:v>中证官方优先</x:v>
      </x:c>
    </x:row>
    <x:row r="1045" ht="25" customHeight="1">
      <x:c r="A1045" s="1" t="str">
        <x:v>sh000852</x:v>
      </x:c>
      <x:c r="B1045" s="1" t="str">
        <x:v>中证1000</x:v>
      </x:c>
      <x:c r="C1045" s="1" t="str">
        <x:v>2012-01</x:v>
      </x:c>
      <x:c r="D1045" s="1" t="str">
        <x:v>2011-12-30</x:v>
      </x:c>
      <x:c r="E1045" s="5" t="n">
        <x:v>3456.29</x:v>
      </x:c>
      <x:c r="F1045" s="6" t="str">
        <x:v>2012-01-31</x:v>
      </x:c>
      <x:c r="G1045" s="5" t="n">
        <x:v>3406.68</x:v>
      </x:c>
      <x:c r="H1045" s="7" t="n">
        <x:f>G1045/E1045-1</x:f>
        <x:v>-0.014353540935511777</x:v>
      </x:c>
      <x:c r="I1045" s="1" t="n">
        <x:v>1</x:v>
      </x:c>
      <x:c r="J1045" s="1" t="n">
        <x:v>0</x:v>
      </x:c>
      <x:c r="K1045" s="1" t="str">
        <x:v>中证官方优先</x:v>
      </x:c>
    </x:row>
    <x:row r="1046" ht="25" customHeight="1">
      <x:c r="A1046" s="1" t="str">
        <x:v>sh000852</x:v>
      </x:c>
      <x:c r="B1046" s="1" t="str">
        <x:v>中证1000</x:v>
      </x:c>
      <x:c r="C1046" s="1" t="str">
        <x:v>2012-02</x:v>
      </x:c>
      <x:c r="D1046" s="1" t="str">
        <x:v>2012-01-31</x:v>
      </x:c>
      <x:c r="E1046" s="5" t="n">
        <x:v>3406.68</x:v>
      </x:c>
      <x:c r="F1046" s="6" t="str">
        <x:v>2012-02-29</x:v>
      </x:c>
      <x:c r="G1046" s="5" t="n">
        <x:v>3858.54</x:v>
      </x:c>
      <x:c r="H1046" s="7" t="n">
        <x:f>G1046/E1046-1</x:f>
        <x:v>0.13263940258550844</x:v>
      </x:c>
      <x:c r="I1046" s="1" t="n">
        <x:v>1</x:v>
      </x:c>
      <x:c r="J1046" s="1" t="n">
        <x:v>0</x:v>
      </x:c>
      <x:c r="K1046" s="1" t="str">
        <x:v>中证官方优先</x:v>
      </x:c>
    </x:row>
    <x:row r="1047" ht="25" customHeight="1">
      <x:c r="A1047" s="1" t="str">
        <x:v>sh000852</x:v>
      </x:c>
      <x:c r="B1047" s="1" t="str">
        <x:v>中证1000</x:v>
      </x:c>
      <x:c r="C1047" s="1" t="str">
        <x:v>2012-03</x:v>
      </x:c>
      <x:c r="D1047" s="1" t="str">
        <x:v>2012-02-29</x:v>
      </x:c>
      <x:c r="E1047" s="5" t="n">
        <x:v>3858.54</x:v>
      </x:c>
      <x:c r="F1047" s="6" t="str">
        <x:v>2012-03-30</x:v>
      </x:c>
      <x:c r="G1047" s="5" t="n">
        <x:v>3560.49</x:v>
      </x:c>
      <x:c r="H1047" s="7" t="n">
        <x:f>G1047/E1047-1</x:f>
        <x:v>-0.07724424264099894</x:v>
      </x:c>
      <x:c r="I1047" s="1" t="n">
        <x:v>1</x:v>
      </x:c>
      <x:c r="J1047" s="1" t="n">
        <x:v>0</x:v>
      </x:c>
      <x:c r="K1047" s="1" t="str">
        <x:v>中证官方优先</x:v>
      </x:c>
    </x:row>
    <x:row r="1048" ht="25" customHeight="1">
      <x:c r="A1048" s="1" t="str">
        <x:v>sh000852</x:v>
      </x:c>
      <x:c r="B1048" s="1" t="str">
        <x:v>中证1000</x:v>
      </x:c>
      <x:c r="C1048" s="1" t="str">
        <x:v>2012-04</x:v>
      </x:c>
      <x:c r="D1048" s="1" t="str">
        <x:v>2012-03-30</x:v>
      </x:c>
      <x:c r="E1048" s="5" t="n">
        <x:v>3560.49</x:v>
      </x:c>
      <x:c r="F1048" s="6" t="str">
        <x:v>2012-04-27</x:v>
      </x:c>
      <x:c r="G1048" s="5" t="n">
        <x:v>3837.88</x:v>
      </x:c>
      <x:c r="H1048" s="7" t="n">
        <x:f>G1048/E1048-1</x:f>
        <x:v>0.07790781605902564</x:v>
      </x:c>
      <x:c r="I1048" s="1" t="n">
        <x:v>1</x:v>
      </x:c>
      <x:c r="J1048" s="1" t="n">
        <x:v>0</x:v>
      </x:c>
      <x:c r="K1048" s="1" t="str">
        <x:v>中证官方优先</x:v>
      </x:c>
    </x:row>
    <x:row r="1049" ht="25" customHeight="1">
      <x:c r="A1049" s="1" t="str">
        <x:v>sh000852</x:v>
      </x:c>
      <x:c r="B1049" s="1" t="str">
        <x:v>中证1000</x:v>
      </x:c>
      <x:c r="C1049" s="1" t="str">
        <x:v>2012-05</x:v>
      </x:c>
      <x:c r="D1049" s="1" t="str">
        <x:v>2012-04-27</x:v>
      </x:c>
      <x:c r="E1049" s="5" t="n">
        <x:v>3837.88</x:v>
      </x:c>
      <x:c r="F1049" s="6" t="str">
        <x:v>2012-05-31</x:v>
      </x:c>
      <x:c r="G1049" s="5" t="n">
        <x:v>3898.59</x:v>
      </x:c>
      <x:c r="H1049" s="7" t="n">
        <x:f>G1049/E1049-1</x:f>
        <x:v>0.015818629034779708</x:v>
      </x:c>
      <x:c r="I1049" s="1" t="n">
        <x:v>1</x:v>
      </x:c>
      <x:c r="J1049" s="1" t="n">
        <x:v>0</x:v>
      </x:c>
      <x:c r="K1049" s="1" t="str">
        <x:v>中证官方优先</x:v>
      </x:c>
    </x:row>
    <x:row r="1050" ht="25" customHeight="1">
      <x:c r="A1050" s="1" t="str">
        <x:v>sh000852</x:v>
      </x:c>
      <x:c r="B1050" s="1" t="str">
        <x:v>中证1000</x:v>
      </x:c>
      <x:c r="C1050" s="1" t="str">
        <x:v>2012-06</x:v>
      </x:c>
      <x:c r="D1050" s="1" t="str">
        <x:v>2012-05-31</x:v>
      </x:c>
      <x:c r="E1050" s="5" t="n">
        <x:v>3898.59</x:v>
      </x:c>
      <x:c r="F1050" s="6" t="str">
        <x:v>2012-06-29</x:v>
      </x:c>
      <x:c r="G1050" s="5" t="n">
        <x:v>3610.25</x:v>
      </x:c>
      <x:c r="H1050" s="7" t="n">
        <x:f>G1050/E1050-1</x:f>
        <x:v>-0.07396007274424865</x:v>
      </x:c>
      <x:c r="I1050" s="1" t="n">
        <x:v>1</x:v>
      </x:c>
      <x:c r="J1050" s="1" t="n">
        <x:v>0</x:v>
      </x:c>
      <x:c r="K1050" s="1" t="str">
        <x:v>中证官方优先</x:v>
      </x:c>
    </x:row>
    <x:row r="1051" ht="25" customHeight="1">
      <x:c r="A1051" s="1" t="str">
        <x:v>sh000852</x:v>
      </x:c>
      <x:c r="B1051" s="1" t="str">
        <x:v>中证1000</x:v>
      </x:c>
      <x:c r="C1051" s="1" t="str">
        <x:v>2012-07</x:v>
      </x:c>
      <x:c r="D1051" s="1" t="str">
        <x:v>2012-06-29</x:v>
      </x:c>
      <x:c r="E1051" s="5" t="n">
        <x:v>3610.25</x:v>
      </x:c>
      <x:c r="F1051" s="6" t="str">
        <x:v>2012-07-31</x:v>
      </x:c>
      <x:c r="G1051" s="5" t="n">
        <x:v>3272.06</x:v>
      </x:c>
      <x:c r="H1051" s="7" t="n">
        <x:f>G1051/E1051-1</x:f>
        <x:v>-0.09367495325808461</x:v>
      </x:c>
      <x:c r="I1051" s="1" t="n">
        <x:v>1</x:v>
      </x:c>
      <x:c r="J1051" s="1" t="n">
        <x:v>0</x:v>
      </x:c>
      <x:c r="K1051" s="1" t="str">
        <x:v>中证官方优先</x:v>
      </x:c>
    </x:row>
    <x:row r="1052" ht="25" customHeight="1">
      <x:c r="A1052" s="1" t="str">
        <x:v>sh000852</x:v>
      </x:c>
      <x:c r="B1052" s="1" t="str">
        <x:v>中证1000</x:v>
      </x:c>
      <x:c r="C1052" s="1" t="str">
        <x:v>2012-08</x:v>
      </x:c>
      <x:c r="D1052" s="1" t="str">
        <x:v>2012-07-31</x:v>
      </x:c>
      <x:c r="E1052" s="5" t="n">
        <x:v>3272.06</x:v>
      </x:c>
      <x:c r="F1052" s="6" t="str">
        <x:v>2012-08-31</x:v>
      </x:c>
      <x:c r="G1052" s="5" t="n">
        <x:v>3354.8</x:v>
      </x:c>
      <x:c r="H1052" s="7" t="n">
        <x:f>G1052/E1052-1</x:f>
        <x:v>0.02528682236878299</x:v>
      </x:c>
      <x:c r="I1052" s="1" t="n">
        <x:v>1</x:v>
      </x:c>
      <x:c r="J1052" s="1" t="n">
        <x:v>0</x:v>
      </x:c>
      <x:c r="K1052" s="1" t="str">
        <x:v>中证官方优先</x:v>
      </x:c>
    </x:row>
    <x:row r="1053" ht="25" customHeight="1">
      <x:c r="A1053" s="1" t="str">
        <x:v>sh000852</x:v>
      </x:c>
      <x:c r="B1053" s="1" t="str">
        <x:v>中证1000</x:v>
      </x:c>
      <x:c r="C1053" s="1" t="str">
        <x:v>2012-09</x:v>
      </x:c>
      <x:c r="D1053" s="1" t="str">
        <x:v>2012-08-31</x:v>
      </x:c>
      <x:c r="E1053" s="5" t="n">
        <x:v>3354.8</x:v>
      </x:c>
      <x:c r="F1053" s="6" t="str">
        <x:v>2012-09-28</x:v>
      </x:c>
      <x:c r="G1053" s="5" t="n">
        <x:v>3359.22</x:v>
      </x:c>
      <x:c r="H1053" s="7" t="n">
        <x:f>G1053/E1053-1</x:f>
        <x:v>0.0013175152020983294</x:v>
      </x:c>
      <x:c r="I1053" s="1" t="n">
        <x:v>1</x:v>
      </x:c>
      <x:c r="J1053" s="1" t="n">
        <x:v>0</x:v>
      </x:c>
      <x:c r="K1053" s="1" t="str">
        <x:v>中证官方优先</x:v>
      </x:c>
    </x:row>
    <x:row r="1054" ht="25" customHeight="1">
      <x:c r="A1054" s="1" t="str">
        <x:v>sh000852</x:v>
      </x:c>
      <x:c r="B1054" s="1" t="str">
        <x:v>中证1000</x:v>
      </x:c>
      <x:c r="C1054" s="1" t="str">
        <x:v>2012-10</x:v>
      </x:c>
      <x:c r="D1054" s="1" t="str">
        <x:v>2012-09-28</x:v>
      </x:c>
      <x:c r="E1054" s="5" t="n">
        <x:v>3359.22</x:v>
      </x:c>
      <x:c r="F1054" s="6" t="str">
        <x:v>2012-10-31</x:v>
      </x:c>
      <x:c r="G1054" s="5" t="n">
        <x:v>3342.92</x:v>
      </x:c>
      <x:c r="H1054" s="7" t="n">
        <x:f>G1054/E1054-1</x:f>
        <x:v>-0.004852316906900911</x:v>
      </x:c>
      <x:c r="I1054" s="1" t="n">
        <x:v>1</x:v>
      </x:c>
      <x:c r="J1054" s="1" t="n">
        <x:v>0</x:v>
      </x:c>
      <x:c r="K1054" s="1" t="str">
        <x:v>中证官方优先</x:v>
      </x:c>
    </x:row>
    <x:row r="1055" ht="25" customHeight="1">
      <x:c r="A1055" s="1" t="str">
        <x:v>sh000852</x:v>
      </x:c>
      <x:c r="B1055" s="1" t="str">
        <x:v>中证1000</x:v>
      </x:c>
      <x:c r="C1055" s="1" t="str">
        <x:v>2012-11</x:v>
      </x:c>
      <x:c r="D1055" s="1" t="str">
        <x:v>2012-10-31</x:v>
      </x:c>
      <x:c r="E1055" s="5" t="n">
        <x:v>3342.92</x:v>
      </x:c>
      <x:c r="F1055" s="6" t="str">
        <x:v>2012-11-30</x:v>
      </x:c>
      <x:c r="G1055" s="5" t="n">
        <x:v>2930.45</x:v>
      </x:c>
      <x:c r="H1055" s="7" t="n">
        <x:f>G1055/E1055-1</x:f>
        <x:v>-0.12338614145716931</x:v>
      </x:c>
      <x:c r="I1055" s="1" t="n">
        <x:v>1</x:v>
      </x:c>
      <x:c r="J1055" s="1" t="n">
        <x:v>0</x:v>
      </x:c>
      <x:c r="K1055" s="1" t="str">
        <x:v>中证官方优先</x:v>
      </x:c>
    </x:row>
    <x:row r="1056" ht="25" customHeight="1">
      <x:c r="A1056" s="1" t="str">
        <x:v>sh000852</x:v>
      </x:c>
      <x:c r="B1056" s="1" t="str">
        <x:v>中证1000</x:v>
      </x:c>
      <x:c r="C1056" s="1" t="str">
        <x:v>2012-12</x:v>
      </x:c>
      <x:c r="D1056" s="1" t="str">
        <x:v>2012-11-30</x:v>
      </x:c>
      <x:c r="E1056" s="5" t="n">
        <x:v>2930.45</x:v>
      </x:c>
      <x:c r="F1056" s="6" t="str">
        <x:v>2012-12-31</x:v>
      </x:c>
      <x:c r="G1056" s="5" t="n">
        <x:v>3406.8</x:v>
      </x:c>
      <x:c r="H1056" s="7" t="n">
        <x:f>G1056/E1056-1</x:f>
        <x:v>0.16255182651128686</x:v>
      </x:c>
      <x:c r="I1056" s="1" t="n">
        <x:v>1</x:v>
      </x:c>
      <x:c r="J1056" s="1" t="n">
        <x:v>0</x:v>
      </x:c>
      <x:c r="K1056" s="1" t="str">
        <x:v>中证官方优先</x:v>
      </x:c>
    </x:row>
    <x:row r="1057" ht="25" customHeight="1">
      <x:c r="A1057" s="1" t="str">
        <x:v>sh000852</x:v>
      </x:c>
      <x:c r="B1057" s="1" t="str">
        <x:v>中证1000</x:v>
      </x:c>
      <x:c r="C1057" s="1" t="str">
        <x:v>2013-01</x:v>
      </x:c>
      <x:c r="D1057" s="1" t="str">
        <x:v>2012-12-31</x:v>
      </x:c>
      <x:c r="E1057" s="5" t="n">
        <x:v>3406.8</x:v>
      </x:c>
      <x:c r="F1057" s="6" t="str">
        <x:v>2013-01-31</x:v>
      </x:c>
      <x:c r="G1057" s="5" t="n">
        <x:v>3639.19</x:v>
      </x:c>
      <x:c r="H1057" s="7" t="n">
        <x:f>G1057/E1057-1</x:f>
        <x:v>0.06821357285429142</x:v>
      </x:c>
      <x:c r="I1057" s="1" t="n">
        <x:v>1</x:v>
      </x:c>
      <x:c r="J1057" s="1" t="n">
        <x:v>0</x:v>
      </x:c>
      <x:c r="K1057" s="1" t="str">
        <x:v>中证官方优先</x:v>
      </x:c>
    </x:row>
    <x:row r="1058" ht="25" customHeight="1">
      <x:c r="A1058" s="1" t="str">
        <x:v>sh000852</x:v>
      </x:c>
      <x:c r="B1058" s="1" t="str">
        <x:v>中证1000</x:v>
      </x:c>
      <x:c r="C1058" s="1" t="str">
        <x:v>2013-02</x:v>
      </x:c>
      <x:c r="D1058" s="1" t="str">
        <x:v>2013-01-31</x:v>
      </x:c>
      <x:c r="E1058" s="5" t="n">
        <x:v>3639.19</x:v>
      </x:c>
      <x:c r="F1058" s="6" t="str">
        <x:v>2013-02-28</x:v>
      </x:c>
      <x:c r="G1058" s="5" t="n">
        <x:v>3815.72</x:v>
      </x:c>
      <x:c r="H1058" s="7" t="n">
        <x:f>G1058/E1058-1</x:f>
        <x:v>0.0485080471203756</x:v>
      </x:c>
      <x:c r="I1058" s="1" t="n">
        <x:v>1</x:v>
      </x:c>
      <x:c r="J1058" s="1" t="n">
        <x:v>0</x:v>
      </x:c>
      <x:c r="K1058" s="1" t="str">
        <x:v>中证官方优先</x:v>
      </x:c>
    </x:row>
    <x:row r="1059" ht="25" customHeight="1">
      <x:c r="A1059" s="1" t="str">
        <x:v>sh000852</x:v>
      </x:c>
      <x:c r="B1059" s="1" t="str">
        <x:v>中证1000</x:v>
      </x:c>
      <x:c r="C1059" s="1" t="str">
        <x:v>2013-03</x:v>
      </x:c>
      <x:c r="D1059" s="1" t="str">
        <x:v>2013-02-28</x:v>
      </x:c>
      <x:c r="E1059" s="5" t="n">
        <x:v>3815.72</x:v>
      </x:c>
      <x:c r="F1059" s="6" t="str">
        <x:v>2013-03-29</x:v>
      </x:c>
      <x:c r="G1059" s="5" t="n">
        <x:v>3712.22</x:v>
      </x:c>
      <x:c r="H1059" s="7" t="n">
        <x:f>G1059/E1059-1</x:f>
        <x:v>-0.027124631786399456</x:v>
      </x:c>
      <x:c r="I1059" s="1" t="n">
        <x:v>1</x:v>
      </x:c>
      <x:c r="J1059" s="1" t="n">
        <x:v>0</x:v>
      </x:c>
      <x:c r="K1059" s="1" t="str">
        <x:v>中证官方优先</x:v>
      </x:c>
    </x:row>
    <x:row r="1060" ht="25" customHeight="1">
      <x:c r="A1060" s="1" t="str">
        <x:v>sh000852</x:v>
      </x:c>
      <x:c r="B1060" s="1" t="str">
        <x:v>中证1000</x:v>
      </x:c>
      <x:c r="C1060" s="1" t="str">
        <x:v>2013-04</x:v>
      </x:c>
      <x:c r="D1060" s="1" t="str">
        <x:v>2013-03-29</x:v>
      </x:c>
      <x:c r="E1060" s="5" t="n">
        <x:v>3712.22</x:v>
      </x:c>
      <x:c r="F1060" s="6" t="str">
        <x:v>2013-04-26</x:v>
      </x:c>
      <x:c r="G1060" s="5" t="n">
        <x:v>3627.5</x:v>
      </x:c>
      <x:c r="H1060" s="7" t="n">
        <x:f>G1060/E1060-1</x:f>
        <x:v>-0.022821923269633726</x:v>
      </x:c>
      <x:c r="I1060" s="1" t="n">
        <x:v>1</x:v>
      </x:c>
      <x:c r="J1060" s="1" t="n">
        <x:v>0</x:v>
      </x:c>
      <x:c r="K1060" s="1" t="str">
        <x:v>中证官方优先</x:v>
      </x:c>
    </x:row>
    <x:row r="1061" ht="25" customHeight="1">
      <x:c r="A1061" s="1" t="str">
        <x:v>sh000852</x:v>
      </x:c>
      <x:c r="B1061" s="1" t="str">
        <x:v>中证1000</x:v>
      </x:c>
      <x:c r="C1061" s="1" t="str">
        <x:v>2013-05</x:v>
      </x:c>
      <x:c r="D1061" s="1" t="str">
        <x:v>2013-04-26</x:v>
      </x:c>
      <x:c r="E1061" s="5" t="n">
        <x:v>3627.5</x:v>
      </x:c>
      <x:c r="F1061" s="6" t="str">
        <x:v>2013-05-31</x:v>
      </x:c>
      <x:c r="G1061" s="5" t="n">
        <x:v>4210.97</x:v>
      </x:c>
      <x:c r="H1061" s="7" t="n">
        <x:f>G1061/E1061-1</x:f>
        <x:v>0.16084631288766382</x:v>
      </x:c>
      <x:c r="I1061" s="1" t="n">
        <x:v>1</x:v>
      </x:c>
      <x:c r="J1061" s="1" t="n">
        <x:v>0</x:v>
      </x:c>
      <x:c r="K1061" s="1" t="str">
        <x:v>中证官方优先</x:v>
      </x:c>
    </x:row>
    <x:row r="1062" ht="25" customHeight="1">
      <x:c r="A1062" s="1" t="str">
        <x:v>sh000852</x:v>
      </x:c>
      <x:c r="B1062" s="1" t="str">
        <x:v>中证1000</x:v>
      </x:c>
      <x:c r="C1062" s="1" t="str">
        <x:v>2013-06</x:v>
      </x:c>
      <x:c r="D1062" s="1" t="str">
        <x:v>2013-05-31</x:v>
      </x:c>
      <x:c r="E1062" s="5" t="n">
        <x:v>4210.97</x:v>
      </x:c>
      <x:c r="F1062" s="6" t="str">
        <x:v>2013-06-28</x:v>
      </x:c>
      <x:c r="G1062" s="5" t="n">
        <x:v>3602.11</x:v>
      </x:c>
      <x:c r="H1062" s="7" t="n">
        <x:f>G1062/E1062-1</x:f>
        <x:v>-0.14458901393265688</x:v>
      </x:c>
      <x:c r="I1062" s="1" t="n">
        <x:v>1</x:v>
      </x:c>
      <x:c r="J1062" s="1" t="n">
        <x:v>0</x:v>
      </x:c>
      <x:c r="K1062" s="1" t="str">
        <x:v>中证官方优先</x:v>
      </x:c>
    </x:row>
    <x:row r="1063" ht="25" customHeight="1">
      <x:c r="A1063" s="1" t="str">
        <x:v>sh000852</x:v>
      </x:c>
      <x:c r="B1063" s="1" t="str">
        <x:v>中证1000</x:v>
      </x:c>
      <x:c r="C1063" s="1" t="str">
        <x:v>2013-07</x:v>
      </x:c>
      <x:c r="D1063" s="1" t="str">
        <x:v>2013-06-28</x:v>
      </x:c>
      <x:c r="E1063" s="5" t="n">
        <x:v>3602.11</x:v>
      </x:c>
      <x:c r="F1063" s="6" t="str">
        <x:v>2013-07-31</x:v>
      </x:c>
      <x:c r="G1063" s="5" t="n">
        <x:v>3900.49</x:v>
      </x:c>
      <x:c r="H1063" s="7" t="n">
        <x:f>G1063/E1063-1</x:f>
        <x:v>0.0828347829466618</x:v>
      </x:c>
      <x:c r="I1063" s="1" t="n">
        <x:v>1</x:v>
      </x:c>
      <x:c r="J1063" s="1" t="n">
        <x:v>0</x:v>
      </x:c>
      <x:c r="K1063" s="1" t="str">
        <x:v>中证官方优先</x:v>
      </x:c>
    </x:row>
    <x:row r="1064" ht="25" customHeight="1">
      <x:c r="A1064" s="1" t="str">
        <x:v>sh000852</x:v>
      </x:c>
      <x:c r="B1064" s="1" t="str">
        <x:v>中证1000</x:v>
      </x:c>
      <x:c r="C1064" s="1" t="str">
        <x:v>2013-08</x:v>
      </x:c>
      <x:c r="D1064" s="1" t="str">
        <x:v>2013-07-31</x:v>
      </x:c>
      <x:c r="E1064" s="5" t="n">
        <x:v>3900.49</x:v>
      </x:c>
      <x:c r="F1064" s="6" t="str">
        <x:v>2013-08-30</x:v>
      </x:c>
      <x:c r="G1064" s="5" t="n">
        <x:v>4181.74</x:v>
      </x:c>
      <x:c r="H1064" s="7" t="n">
        <x:f>G1064/E1064-1</x:f>
        <x:v>0.0721063251027434</x:v>
      </x:c>
      <x:c r="I1064" s="1" t="n">
        <x:v>1</x:v>
      </x:c>
      <x:c r="J1064" s="1" t="n">
        <x:v>0</x:v>
      </x:c>
      <x:c r="K1064" s="1" t="str">
        <x:v>中证官方优先</x:v>
      </x:c>
    </x:row>
    <x:row r="1065" ht="25" customHeight="1">
      <x:c r="A1065" s="1" t="str">
        <x:v>sh000852</x:v>
      </x:c>
      <x:c r="B1065" s="1" t="str">
        <x:v>中证1000</x:v>
      </x:c>
      <x:c r="C1065" s="1" t="str">
        <x:v>2013-09</x:v>
      </x:c>
      <x:c r="D1065" s="1" t="str">
        <x:v>2013-08-30</x:v>
      </x:c>
      <x:c r="E1065" s="5" t="n">
        <x:v>4181.74</x:v>
      </x:c>
      <x:c r="F1065" s="6" t="str">
        <x:v>2013-09-30</x:v>
      </x:c>
      <x:c r="G1065" s="5" t="n">
        <x:v>4470.45</x:v>
      </x:c>
      <x:c r="H1065" s="7" t="n">
        <x:f>G1065/E1065-1</x:f>
        <x:v>0.06904063858585174</x:v>
      </x:c>
      <x:c r="I1065" s="1" t="n">
        <x:v>1</x:v>
      </x:c>
      <x:c r="J1065" s="1" t="n">
        <x:v>0</x:v>
      </x:c>
      <x:c r="K1065" s="1" t="str">
        <x:v>中证官方优先</x:v>
      </x:c>
    </x:row>
    <x:row r="1066" ht="25" customHeight="1">
      <x:c r="A1066" s="1" t="str">
        <x:v>sh000852</x:v>
      </x:c>
      <x:c r="B1066" s="1" t="str">
        <x:v>中证1000</x:v>
      </x:c>
      <x:c r="C1066" s="1" t="str">
        <x:v>2013-10</x:v>
      </x:c>
      <x:c r="D1066" s="1" t="str">
        <x:v>2013-09-30</x:v>
      </x:c>
      <x:c r="E1066" s="5" t="n">
        <x:v>4470.45</x:v>
      </x:c>
      <x:c r="F1066" s="6" t="str">
        <x:v>2013-10-31</x:v>
      </x:c>
      <x:c r="G1066" s="5" t="n">
        <x:v>4270.97</x:v>
      </x:c>
      <x:c r="H1066" s="7" t="n">
        <x:f>G1066/E1066-1</x:f>
        <x:v>-0.044621906072095596</x:v>
      </x:c>
      <x:c r="I1066" s="1" t="n">
        <x:v>1</x:v>
      </x:c>
      <x:c r="J1066" s="1" t="n">
        <x:v>0</x:v>
      </x:c>
      <x:c r="K1066" s="1" t="str">
        <x:v>中证官方优先</x:v>
      </x:c>
    </x:row>
    <x:row r="1067" ht="25" customHeight="1">
      <x:c r="A1067" s="1" t="str">
        <x:v>sh000852</x:v>
      </x:c>
      <x:c r="B1067" s="1" t="str">
        <x:v>中证1000</x:v>
      </x:c>
      <x:c r="C1067" s="1" t="str">
        <x:v>2013-11</x:v>
      </x:c>
      <x:c r="D1067" s="1" t="str">
        <x:v>2013-10-31</x:v>
      </x:c>
      <x:c r="E1067" s="5" t="n">
        <x:v>4270.97</x:v>
      </x:c>
      <x:c r="F1067" s="6" t="str">
        <x:v>2013-11-29</x:v>
      </x:c>
      <x:c r="G1067" s="5" t="n">
        <x:v>4643.3</x:v>
      </x:c>
      <x:c r="H1067" s="7" t="n">
        <x:f>G1067/E1067-1</x:f>
        <x:v>0.08717691765570823</x:v>
      </x:c>
      <x:c r="I1067" s="1" t="n">
        <x:v>1</x:v>
      </x:c>
      <x:c r="J1067" s="1" t="n">
        <x:v>0</x:v>
      </x:c>
      <x:c r="K1067" s="1" t="str">
        <x:v>中证官方优先</x:v>
      </x:c>
    </x:row>
    <x:row r="1068" ht="25" customHeight="1">
      <x:c r="A1068" s="1" t="str">
        <x:v>sh000852</x:v>
      </x:c>
      <x:c r="B1068" s="1" t="str">
        <x:v>中证1000</x:v>
      </x:c>
      <x:c r="C1068" s="1" t="str">
        <x:v>2013-12</x:v>
      </x:c>
      <x:c r="D1068" s="1" t="str">
        <x:v>2013-11-29</x:v>
      </x:c>
      <x:c r="E1068" s="5" t="n">
        <x:v>4643.3</x:v>
      </x:c>
      <x:c r="F1068" s="6" t="str">
        <x:v>2013-12-31</x:v>
      </x:c>
      <x:c r="G1068" s="5" t="n">
        <x:v>4482.86</x:v>
      </x:c>
      <x:c r="H1068" s="7" t="n">
        <x:f>G1068/E1068-1</x:f>
        <x:v>-0.03455301186656057</x:v>
      </x:c>
      <x:c r="I1068" s="1" t="n">
        <x:v>1</x:v>
      </x:c>
      <x:c r="J1068" s="1" t="n">
        <x:v>0</x:v>
      </x:c>
      <x:c r="K1068" s="1" t="str">
        <x:v>中证官方优先</x:v>
      </x:c>
    </x:row>
    <x:row r="1069" ht="25" customHeight="1">
      <x:c r="A1069" s="1" t="str">
        <x:v>sh000852</x:v>
      </x:c>
      <x:c r="B1069" s="1" t="str">
        <x:v>中证1000</x:v>
      </x:c>
      <x:c r="C1069" s="1" t="str">
        <x:v>2014-01</x:v>
      </x:c>
      <x:c r="D1069" s="1" t="str">
        <x:v>2013-12-31</x:v>
      </x:c>
      <x:c r="E1069" s="5" t="n">
        <x:v>4482.86</x:v>
      </x:c>
      <x:c r="F1069" s="6" t="str">
        <x:v>2014-01-30</x:v>
      </x:c>
      <x:c r="G1069" s="5" t="n">
        <x:v>4714.68</x:v>
      </x:c>
      <x:c r="H1069" s="7" t="n">
        <x:f>G1069/E1069-1</x:f>
        <x:v>0.05171252280909977</x:v>
      </x:c>
      <x:c r="I1069" s="1" t="n">
        <x:v>1</x:v>
      </x:c>
      <x:c r="J1069" s="1" t="n">
        <x:v>0</x:v>
      </x:c>
      <x:c r="K1069" s="1" t="str">
        <x:v>中证官方优先</x:v>
      </x:c>
    </x:row>
    <x:row r="1070" ht="25" customHeight="1">
      <x:c r="A1070" s="1" t="str">
        <x:v>sh000852</x:v>
      </x:c>
      <x:c r="B1070" s="1" t="str">
        <x:v>中证1000</x:v>
      </x:c>
      <x:c r="C1070" s="1" t="str">
        <x:v>2014-02</x:v>
      </x:c>
      <x:c r="D1070" s="1" t="str">
        <x:v>2014-01-30</x:v>
      </x:c>
      <x:c r="E1070" s="5" t="n">
        <x:v>4714.68</x:v>
      </x:c>
      <x:c r="F1070" s="6" t="str">
        <x:v>2014-02-28</x:v>
      </x:c>
      <x:c r="G1070" s="5" t="n">
        <x:v>4842.52</x:v>
      </x:c>
      <x:c r="H1070" s="7" t="n">
        <x:f>G1070/E1070-1</x:f>
        <x:v>0.027115307931821597</x:v>
      </x:c>
      <x:c r="I1070" s="1" t="n">
        <x:v>1</x:v>
      </x:c>
      <x:c r="J1070" s="1" t="n">
        <x:v>0</x:v>
      </x:c>
      <x:c r="K1070" s="1" t="str">
        <x:v>中证官方优先</x:v>
      </x:c>
    </x:row>
    <x:row r="1071" ht="25" customHeight="1">
      <x:c r="A1071" s="1" t="str">
        <x:v>sh000852</x:v>
      </x:c>
      <x:c r="B1071" s="1" t="str">
        <x:v>中证1000</x:v>
      </x:c>
      <x:c r="C1071" s="1" t="str">
        <x:v>2014-03</x:v>
      </x:c>
      <x:c r="D1071" s="1" t="str">
        <x:v>2014-02-28</x:v>
      </x:c>
      <x:c r="E1071" s="5" t="n">
        <x:v>4842.52</x:v>
      </x:c>
      <x:c r="F1071" s="6" t="str">
        <x:v>2014-03-31</x:v>
      </x:c>
      <x:c r="G1071" s="5" t="n">
        <x:v>4633.27</x:v>
      </x:c>
      <x:c r="H1071" s="7" t="n">
        <x:f>G1071/E1071-1</x:f>
        <x:v>-0.04321097279928632</x:v>
      </x:c>
      <x:c r="I1071" s="1" t="n">
        <x:v>1</x:v>
      </x:c>
      <x:c r="J1071" s="1" t="n">
        <x:v>0</x:v>
      </x:c>
      <x:c r="K1071" s="1" t="str">
        <x:v>中证官方优先</x:v>
      </x:c>
    </x:row>
    <x:row r="1072" ht="25" customHeight="1">
      <x:c r="A1072" s="1" t="str">
        <x:v>sh000852</x:v>
      </x:c>
      <x:c r="B1072" s="1" t="str">
        <x:v>中证1000</x:v>
      </x:c>
      <x:c r="C1072" s="1" t="str">
        <x:v>2014-04</x:v>
      </x:c>
      <x:c r="D1072" s="1" t="str">
        <x:v>2014-03-31</x:v>
      </x:c>
      <x:c r="E1072" s="5" t="n">
        <x:v>4633.27</x:v>
      </x:c>
      <x:c r="F1072" s="6" t="str">
        <x:v>2014-04-30</x:v>
      </x:c>
      <x:c r="G1072" s="5" t="n">
        <x:v>4525.31</x:v>
      </x:c>
      <x:c r="H1072" s="7" t="n">
        <x:f>G1072/E1072-1</x:f>
        <x:v>-0.02330103792785654</x:v>
      </x:c>
      <x:c r="I1072" s="1" t="n">
        <x:v>1</x:v>
      </x:c>
      <x:c r="J1072" s="1" t="n">
        <x:v>0</x:v>
      </x:c>
      <x:c r="K1072" s="1" t="str">
        <x:v>中证官方优先</x:v>
      </x:c>
    </x:row>
    <x:row r="1073" ht="25" customHeight="1">
      <x:c r="A1073" s="1" t="str">
        <x:v>sh000852</x:v>
      </x:c>
      <x:c r="B1073" s="1" t="str">
        <x:v>中证1000</x:v>
      </x:c>
      <x:c r="C1073" s="1" t="str">
        <x:v>2014-05</x:v>
      </x:c>
      <x:c r="D1073" s="1" t="str">
        <x:v>2014-04-30</x:v>
      </x:c>
      <x:c r="E1073" s="5" t="n">
        <x:v>4525.31</x:v>
      </x:c>
      <x:c r="F1073" s="6" t="str">
        <x:v>2014-05-30</x:v>
      </x:c>
      <x:c r="G1073" s="5" t="n">
        <x:v>4648.23</x:v>
      </x:c>
      <x:c r="H1073" s="7" t="n">
        <x:f>G1073/E1073-1</x:f>
        <x:v>0.0271627800084413</x:v>
      </x:c>
      <x:c r="I1073" s="1" t="n">
        <x:v>1</x:v>
      </x:c>
      <x:c r="J1073" s="1" t="n">
        <x:v>0</x:v>
      </x:c>
      <x:c r="K1073" s="1" t="str">
        <x:v>中证官方优先</x:v>
      </x:c>
    </x:row>
    <x:row r="1074" ht="25" customHeight="1">
      <x:c r="A1074" s="1" t="str">
        <x:v>sh000852</x:v>
      </x:c>
      <x:c r="B1074" s="1" t="str">
        <x:v>中证1000</x:v>
      </x:c>
      <x:c r="C1074" s="1" t="str">
        <x:v>2014-06</x:v>
      </x:c>
      <x:c r="D1074" s="1" t="str">
        <x:v>2014-05-30</x:v>
      </x:c>
      <x:c r="E1074" s="5" t="n">
        <x:v>4648.23</x:v>
      </x:c>
      <x:c r="F1074" s="6" t="str">
        <x:v>2014-06-30</x:v>
      </x:c>
      <x:c r="G1074" s="5" t="n">
        <x:v>4884.4</x:v>
      </x:c>
      <x:c r="H1074" s="7" t="n">
        <x:f>G1074/E1074-1</x:f>
        <x:v>0.050808587354756574</x:v>
      </x:c>
      <x:c r="I1074" s="1" t="n">
        <x:v>1</x:v>
      </x:c>
      <x:c r="J1074" s="1" t="n">
        <x:v>0</x:v>
      </x:c>
      <x:c r="K1074" s="1" t="str">
        <x:v>中证官方优先</x:v>
      </x:c>
    </x:row>
    <x:row r="1075" ht="25" customHeight="1">
      <x:c r="A1075" s="1" t="str">
        <x:v>sh000852</x:v>
      </x:c>
      <x:c r="B1075" s="1" t="str">
        <x:v>中证1000</x:v>
      </x:c>
      <x:c r="C1075" s="1" t="str">
        <x:v>2014-07</x:v>
      </x:c>
      <x:c r="D1075" s="1" t="str">
        <x:v>2014-06-30</x:v>
      </x:c>
      <x:c r="E1075" s="5" t="n">
        <x:v>4884.4</x:v>
      </x:c>
      <x:c r="F1075" s="6" t="str">
        <x:v>2014-07-31</x:v>
      </x:c>
      <x:c r="G1075" s="5" t="n">
        <x:v>5115.58</x:v>
      </x:c>
      <x:c r="H1075" s="7" t="n">
        <x:f>G1075/E1075-1</x:f>
        <x:v>0.0473302759806733</x:v>
      </x:c>
      <x:c r="I1075" s="1" t="n">
        <x:v>1</x:v>
      </x:c>
      <x:c r="J1075" s="1" t="n">
        <x:v>0</x:v>
      </x:c>
      <x:c r="K1075" s="1" t="str">
        <x:v>中证官方优先</x:v>
      </x:c>
    </x:row>
    <x:row r="1076" ht="25" customHeight="1">
      <x:c r="A1076" s="1" t="str">
        <x:v>sh000852</x:v>
      </x:c>
      <x:c r="B1076" s="1" t="str">
        <x:v>中证1000</x:v>
      </x:c>
      <x:c r="C1076" s="1" t="str">
        <x:v>2014-08</x:v>
      </x:c>
      <x:c r="D1076" s="1" t="str">
        <x:v>2014-07-31</x:v>
      </x:c>
      <x:c r="E1076" s="5" t="n">
        <x:v>5115.58</x:v>
      </x:c>
      <x:c r="F1076" s="6" t="str">
        <x:v>2014-08-29</x:v>
      </x:c>
      <x:c r="G1076" s="5" t="n">
        <x:v>5421.29</x:v>
      </x:c>
      <x:c r="H1076" s="7" t="n">
        <x:f>G1076/E1076-1</x:f>
        <x:v>0.0597605745585057</x:v>
      </x:c>
      <x:c r="I1076" s="1" t="n">
        <x:v>1</x:v>
      </x:c>
      <x:c r="J1076" s="1" t="n">
        <x:v>0</x:v>
      </x:c>
      <x:c r="K1076" s="1" t="str">
        <x:v>中证官方优先</x:v>
      </x:c>
    </x:row>
    <x:row r="1077" ht="25" customHeight="1">
      <x:c r="A1077" s="1" t="str">
        <x:v>sh000852</x:v>
      </x:c>
      <x:c r="B1077" s="1" t="str">
        <x:v>中证1000</x:v>
      </x:c>
      <x:c r="C1077" s="1" t="str">
        <x:v>2014-09</x:v>
      </x:c>
      <x:c r="D1077" s="1" t="str">
        <x:v>2014-08-29</x:v>
      </x:c>
      <x:c r="E1077" s="5" t="n">
        <x:v>5421.29</x:v>
      </x:c>
      <x:c r="F1077" s="6" t="str">
        <x:v>2014-09-30</x:v>
      </x:c>
      <x:c r="G1077" s="5" t="n">
        <x:v>6127.13</x:v>
      </x:c>
      <x:c r="H1077" s="7" t="n">
        <x:f>G1077/E1077-1</x:f>
        <x:v>0.13019779425192168</x:v>
      </x:c>
      <x:c r="I1077" s="1" t="n">
        <x:v>1</x:v>
      </x:c>
      <x:c r="J1077" s="1" t="n">
        <x:v>0</x:v>
      </x:c>
      <x:c r="K1077" s="1" t="str">
        <x:v>中证官方优先</x:v>
      </x:c>
    </x:row>
    <x:row r="1078" ht="25" customHeight="1">
      <x:c r="A1078" s="1" t="str">
        <x:v>sh000852</x:v>
      </x:c>
      <x:c r="B1078" s="1" t="str">
        <x:v>中证1000</x:v>
      </x:c>
      <x:c r="C1078" s="1" t="str">
        <x:v>2014-10</x:v>
      </x:c>
      <x:c r="D1078" s="1" t="str">
        <x:v>2014-09-30</x:v>
      </x:c>
      <x:c r="E1078" s="5" t="n">
        <x:v>6127.13</x:v>
      </x:c>
      <x:c r="F1078" s="6" t="str">
        <x:v>2014-10-31</x:v>
      </x:c>
      <x:c r="G1078" s="5" t="n">
        <x:v>6208.61</x:v>
      </x:c>
      <x:c r="H1078" s="7" t="n">
        <x:f>G1078/E1078-1</x:f>
        <x:v>0.013298232614617156</x:v>
      </x:c>
      <x:c r="I1078" s="1" t="n">
        <x:v>1</x:v>
      </x:c>
      <x:c r="J1078" s="1" t="n">
        <x:v>0</x:v>
      </x:c>
      <x:c r="K1078" s="1" t="str">
        <x:v>中证官方优先</x:v>
      </x:c>
    </x:row>
    <x:row r="1079" ht="25" customHeight="1">
      <x:c r="A1079" s="1" t="str">
        <x:v>sh000852</x:v>
      </x:c>
      <x:c r="B1079" s="1" t="str">
        <x:v>中证1000</x:v>
      </x:c>
      <x:c r="C1079" s="1" t="str">
        <x:v>2014-11</x:v>
      </x:c>
      <x:c r="D1079" s="1" t="str">
        <x:v>2014-10-31</x:v>
      </x:c>
      <x:c r="E1079" s="5" t="n">
        <x:v>6208.61</x:v>
      </x:c>
      <x:c r="F1079" s="6" t="str">
        <x:v>2014-11-28</x:v>
      </x:c>
      <x:c r="G1079" s="5" t="n">
        <x:v>6478.11</x:v>
      </x:c>
      <x:c r="H1079" s="7" t="n">
        <x:f>G1079/E1079-1</x:f>
        <x:v>0.043407461573524486</x:v>
      </x:c>
      <x:c r="I1079" s="1" t="n">
        <x:v>1</x:v>
      </x:c>
      <x:c r="J1079" s="1" t="n">
        <x:v>1</x:v>
      </x:c>
      <x:c r="K1079" s="1" t="str">
        <x:v>中证官方优先</x:v>
      </x:c>
    </x:row>
    <x:row r="1080" ht="25" customHeight="1">
      <x:c r="A1080" s="1" t="str">
        <x:v>sh000852</x:v>
      </x:c>
      <x:c r="B1080" s="1" t="str">
        <x:v>中证1000</x:v>
      </x:c>
      <x:c r="C1080" s="1" t="str">
        <x:v>2014-12</x:v>
      </x:c>
      <x:c r="D1080" s="1" t="str">
        <x:v>2014-11-28</x:v>
      </x:c>
      <x:c r="E1080" s="5" t="n">
        <x:v>6478.11</x:v>
      </x:c>
      <x:c r="F1080" s="6" t="str">
        <x:v>2014-12-31</x:v>
      </x:c>
      <x:c r="G1080" s="5" t="n">
        <x:v>6027.52</x:v>
      </x:c>
      <x:c r="H1080" s="7" t="n">
        <x:f>G1080/E1080-1</x:f>
        <x:v>-0.06955578092993164</x:v>
      </x:c>
      <x:c r="I1080" s="1" t="n">
        <x:v>1</x:v>
      </x:c>
      <x:c r="J1080" s="1" t="n">
        <x:v>1</x:v>
      </x:c>
      <x:c r="K1080" s="1" t="str">
        <x:v>中证官方优先</x:v>
      </x:c>
    </x:row>
    <x:row r="1081" ht="25" customHeight="1">
      <x:c r="A1081" s="1" t="str">
        <x:v>sh000852</x:v>
      </x:c>
      <x:c r="B1081" s="1" t="str">
        <x:v>中证1000</x:v>
      </x:c>
      <x:c r="C1081" s="1" t="str">
        <x:v>2015-01</x:v>
      </x:c>
      <x:c r="D1081" s="1" t="str">
        <x:v>2014-12-31</x:v>
      </x:c>
      <x:c r="E1081" s="5" t="n">
        <x:v>6027.52</x:v>
      </x:c>
      <x:c r="F1081" s="6" t="str">
        <x:v>2015-01-30</x:v>
      </x:c>
      <x:c r="G1081" s="5" t="n">
        <x:v>6546.6</x:v>
      </x:c>
      <x:c r="H1081" s="7" t="n">
        <x:f>G1081/E1081-1</x:f>
        <x:v>0.08611833722658746</x:v>
      </x:c>
      <x:c r="I1081" s="1" t="n">
        <x:v>1</x:v>
      </x:c>
      <x:c r="J1081" s="1" t="n">
        <x:v>1</x:v>
      </x:c>
      <x:c r="K1081" s="1" t="str">
        <x:v>中证官方优先</x:v>
      </x:c>
    </x:row>
    <x:row r="1082" ht="25" customHeight="1">
      <x:c r="A1082" s="1" t="str">
        <x:v>sh000852</x:v>
      </x:c>
      <x:c r="B1082" s="1" t="str">
        <x:v>中证1000</x:v>
      </x:c>
      <x:c r="C1082" s="1" t="str">
        <x:v>2015-02</x:v>
      </x:c>
      <x:c r="D1082" s="1" t="str">
        <x:v>2015-01-30</x:v>
      </x:c>
      <x:c r="E1082" s="5" t="n">
        <x:v>6546.6</x:v>
      </x:c>
      <x:c r="F1082" s="6" t="str">
        <x:v>2015-02-27</x:v>
      </x:c>
      <x:c r="G1082" s="5" t="n">
        <x:v>7141.89</x:v>
      </x:c>
      <x:c r="H1082" s="7" t="n">
        <x:f>G1082/E1082-1</x:f>
        <x:v>0.09093117037851717</x:v>
      </x:c>
      <x:c r="I1082" s="1" t="n">
        <x:v>1</x:v>
      </x:c>
      <x:c r="J1082" s="1" t="n">
        <x:v>1</x:v>
      </x:c>
      <x:c r="K1082" s="1" t="str">
        <x:v>中证官方优先</x:v>
      </x:c>
    </x:row>
    <x:row r="1083" ht="25" customHeight="1">
      <x:c r="A1083" s="1" t="str">
        <x:v>sh000852</x:v>
      </x:c>
      <x:c r="B1083" s="1" t="str">
        <x:v>中证1000</x:v>
      </x:c>
      <x:c r="C1083" s="1" t="str">
        <x:v>2015-03</x:v>
      </x:c>
      <x:c r="D1083" s="1" t="str">
        <x:v>2015-02-27</x:v>
      </x:c>
      <x:c r="E1083" s="5" t="n">
        <x:v>7141.89</x:v>
      </x:c>
      <x:c r="F1083" s="6" t="str">
        <x:v>2015-03-31</x:v>
      </x:c>
      <x:c r="G1083" s="5" t="n">
        <x:v>8780.74</x:v>
      </x:c>
      <x:c r="H1083" s="7" t="n">
        <x:f>G1083/E1083-1</x:f>
        <x:v>0.22947007024751143</x:v>
      </x:c>
      <x:c r="I1083" s="1" t="n">
        <x:v>1</x:v>
      </x:c>
      <x:c r="J1083" s="1" t="n">
        <x:v>1</x:v>
      </x:c>
      <x:c r="K1083" s="1" t="str">
        <x:v>中证官方优先</x:v>
      </x:c>
    </x:row>
    <x:row r="1084" ht="25" customHeight="1">
      <x:c r="A1084" s="1" t="str">
        <x:v>sh000852</x:v>
      </x:c>
      <x:c r="B1084" s="1" t="str">
        <x:v>中证1000</x:v>
      </x:c>
      <x:c r="C1084" s="1" t="str">
        <x:v>2015-04</x:v>
      </x:c>
      <x:c r="D1084" s="1" t="str">
        <x:v>2015-03-31</x:v>
      </x:c>
      <x:c r="E1084" s="5" t="n">
        <x:v>8780.74</x:v>
      </x:c>
      <x:c r="F1084" s="6" t="str">
        <x:v>2015-04-30</x:v>
      </x:c>
      <x:c r="G1084" s="5" t="n">
        <x:v>10180.49</x:v>
      </x:c>
      <x:c r="H1084" s="7" t="n">
        <x:f>G1084/E1084-1</x:f>
        <x:v>0.15941139357275125</x:v>
      </x:c>
      <x:c r="I1084" s="1" t="n">
        <x:v>1</x:v>
      </x:c>
      <x:c r="J1084" s="1" t="n">
        <x:v>1</x:v>
      </x:c>
      <x:c r="K1084" s="1" t="str">
        <x:v>中证官方优先</x:v>
      </x:c>
    </x:row>
    <x:row r="1085" ht="25" customHeight="1">
      <x:c r="A1085" s="1" t="str">
        <x:v>sh000852</x:v>
      </x:c>
      <x:c r="B1085" s="1" t="str">
        <x:v>中证1000</x:v>
      </x:c>
      <x:c r="C1085" s="1" t="str">
        <x:v>2015-05</x:v>
      </x:c>
      <x:c r="D1085" s="1" t="str">
        <x:v>2015-04-30</x:v>
      </x:c>
      <x:c r="E1085" s="5" t="n">
        <x:v>10180.49</x:v>
      </x:c>
      <x:c r="F1085" s="6" t="str">
        <x:v>2015-05-29</x:v>
      </x:c>
      <x:c r="G1085" s="5" t="n">
        <x:v>13027.21</x:v>
      </x:c>
      <x:c r="H1085" s="7" t="n">
        <x:f>G1085/E1085-1</x:f>
        <x:v>0.27962504751735917</x:v>
      </x:c>
      <x:c r="I1085" s="1" t="n">
        <x:v>1</x:v>
      </x:c>
      <x:c r="J1085" s="1" t="n">
        <x:v>1</x:v>
      </x:c>
      <x:c r="K1085" s="1" t="str">
        <x:v>中证官方优先</x:v>
      </x:c>
    </x:row>
    <x:row r="1086" ht="25" customHeight="1">
      <x:c r="A1086" s="1" t="str">
        <x:v>sh000852</x:v>
      </x:c>
      <x:c r="B1086" s="1" t="str">
        <x:v>中证1000</x:v>
      </x:c>
      <x:c r="C1086" s="1" t="str">
        <x:v>2015-06</x:v>
      </x:c>
      <x:c r="D1086" s="1" t="str">
        <x:v>2015-05-29</x:v>
      </x:c>
      <x:c r="E1086" s="5" t="n">
        <x:v>13027.21</x:v>
      </x:c>
      <x:c r="F1086" s="6" t="str">
        <x:v>2015-06-30</x:v>
      </x:c>
      <x:c r="G1086" s="5" t="n">
        <x:v>11381.47</x:v>
      </x:c>
      <x:c r="H1086" s="7" t="n">
        <x:f>G1086/E1086-1</x:f>
        <x:v>-0.12633096418956935</x:v>
      </x:c>
      <x:c r="I1086" s="1" t="n">
        <x:v>1</x:v>
      </x:c>
      <x:c r="J1086" s="1" t="n">
        <x:v>1</x:v>
      </x:c>
      <x:c r="K1086" s="1" t="str">
        <x:v>中证官方优先</x:v>
      </x:c>
    </x:row>
    <x:row r="1087" ht="25" customHeight="1">
      <x:c r="A1087" s="1" t="str">
        <x:v>sh000852</x:v>
      </x:c>
      <x:c r="B1087" s="1" t="str">
        <x:v>中证1000</x:v>
      </x:c>
      <x:c r="C1087" s="1" t="str">
        <x:v>2015-07</x:v>
      </x:c>
      <x:c r="D1087" s="1" t="str">
        <x:v>2015-06-30</x:v>
      </x:c>
      <x:c r="E1087" s="5" t="n">
        <x:v>11381.47</x:v>
      </x:c>
      <x:c r="F1087" s="6" t="str">
        <x:v>2015-07-31</x:v>
      </x:c>
      <x:c r="G1087" s="5" t="n">
        <x:v>9223.64</x:v>
      </x:c>
      <x:c r="H1087" s="7" t="n">
        <x:f>G1087/E1087-1</x:f>
        <x:v>-0.1895915026793551</x:v>
      </x:c>
      <x:c r="I1087" s="1" t="n">
        <x:v>1</x:v>
      </x:c>
      <x:c r="J1087" s="1" t="n">
        <x:v>1</x:v>
      </x:c>
      <x:c r="K1087" s="1" t="str">
        <x:v>中证官方优先</x:v>
      </x:c>
    </x:row>
    <x:row r="1088" ht="25" customHeight="1">
      <x:c r="A1088" s="1" t="str">
        <x:v>sh000852</x:v>
      </x:c>
      <x:c r="B1088" s="1" t="str">
        <x:v>中证1000</x:v>
      </x:c>
      <x:c r="C1088" s="1" t="str">
        <x:v>2015-08</x:v>
      </x:c>
      <x:c r="D1088" s="1" t="str">
        <x:v>2015-07-31</x:v>
      </x:c>
      <x:c r="E1088" s="5" t="n">
        <x:v>9223.64</x:v>
      </x:c>
      <x:c r="F1088" s="6" t="str">
        <x:v>2015-08-31</x:v>
      </x:c>
      <x:c r="G1088" s="5" t="n">
        <x:v>7950.46</x:v>
      </x:c>
      <x:c r="H1088" s="7" t="n">
        <x:f>G1088/E1088-1</x:f>
        <x:v>-0.13803444193398695</x:v>
      </x:c>
      <x:c r="I1088" s="1" t="n">
        <x:v>1</x:v>
      </x:c>
      <x:c r="J1088" s="1" t="n">
        <x:v>1</x:v>
      </x:c>
      <x:c r="K1088" s="1" t="str">
        <x:v>中证官方优先</x:v>
      </x:c>
    </x:row>
    <x:row r="1089" ht="25" customHeight="1">
      <x:c r="A1089" s="1" t="str">
        <x:v>sh000852</x:v>
      </x:c>
      <x:c r="B1089" s="1" t="str">
        <x:v>中证1000</x:v>
      </x:c>
      <x:c r="C1089" s="1" t="str">
        <x:v>2015-09</x:v>
      </x:c>
      <x:c r="D1089" s="1" t="str">
        <x:v>2015-08-31</x:v>
      </x:c>
      <x:c r="E1089" s="5" t="n">
        <x:v>7950.46</x:v>
      </x:c>
      <x:c r="F1089" s="6" t="str">
        <x:v>2015-09-30</x:v>
      </x:c>
      <x:c r="G1089" s="5" t="n">
        <x:v>7727.51</x:v>
      </x:c>
      <x:c r="H1089" s="7" t="n">
        <x:f>G1089/E1089-1</x:f>
        <x:v>-0.028042402577963976</x:v>
      </x:c>
      <x:c r="I1089" s="1" t="n">
        <x:v>1</x:v>
      </x:c>
      <x:c r="J1089" s="1" t="n">
        <x:v>1</x:v>
      </x:c>
      <x:c r="K1089" s="1" t="str">
        <x:v>中证官方优先</x:v>
      </x:c>
    </x:row>
    <x:row r="1090" ht="25" customHeight="1">
      <x:c r="A1090" s="1" t="str">
        <x:v>sh000852</x:v>
      </x:c>
      <x:c r="B1090" s="1" t="str">
        <x:v>中证1000</x:v>
      </x:c>
      <x:c r="C1090" s="1" t="str">
        <x:v>2015-10</x:v>
      </x:c>
      <x:c r="D1090" s="1" t="str">
        <x:v>2015-09-30</x:v>
      </x:c>
      <x:c r="E1090" s="5" t="n">
        <x:v>7727.51</x:v>
      </x:c>
      <x:c r="F1090" s="6" t="str">
        <x:v>2015-10-30</x:v>
      </x:c>
      <x:c r="G1090" s="5" t="n">
        <x:v>9188.27</x:v>
      </x:c>
      <x:c r="H1090" s="7" t="n">
        <x:f>G1090/E1090-1</x:f>
        <x:v>0.18903372496444515</x:v>
      </x:c>
      <x:c r="I1090" s="1" t="n">
        <x:v>1</x:v>
      </x:c>
      <x:c r="J1090" s="1" t="n">
        <x:v>1</x:v>
      </x:c>
      <x:c r="K1090" s="1" t="str">
        <x:v>中证官方优先</x:v>
      </x:c>
    </x:row>
    <x:row r="1091" ht="25" customHeight="1">
      <x:c r="A1091" s="1" t="str">
        <x:v>sh000852</x:v>
      </x:c>
      <x:c r="B1091" s="1" t="str">
        <x:v>中证1000</x:v>
      </x:c>
      <x:c r="C1091" s="1" t="str">
        <x:v>2015-11</x:v>
      </x:c>
      <x:c r="D1091" s="1" t="str">
        <x:v>2015-10-30</x:v>
      </x:c>
      <x:c r="E1091" s="5" t="n">
        <x:v>9188.27</x:v>
      </x:c>
      <x:c r="F1091" s="6" t="str">
        <x:v>2015-11-30</x:v>
      </x:c>
      <x:c r="G1091" s="5" t="n">
        <x:v>10001.19</x:v>
      </x:c>
      <x:c r="H1091" s="7" t="n">
        <x:f>G1091/E1091-1</x:f>
        <x:v>0.08847367349892843</x:v>
      </x:c>
      <x:c r="I1091" s="1" t="n">
        <x:v>1</x:v>
      </x:c>
      <x:c r="J1091" s="1" t="n">
        <x:v>1</x:v>
      </x:c>
      <x:c r="K1091" s="1" t="str">
        <x:v>中证官方优先</x:v>
      </x:c>
    </x:row>
    <x:row r="1092" ht="25" customHeight="1">
      <x:c r="A1092" s="1" t="str">
        <x:v>sh000852</x:v>
      </x:c>
      <x:c r="B1092" s="1" t="str">
        <x:v>中证1000</x:v>
      </x:c>
      <x:c r="C1092" s="1" t="str">
        <x:v>2015-12</x:v>
      </x:c>
      <x:c r="D1092" s="1" t="str">
        <x:v>2015-11-30</x:v>
      </x:c>
      <x:c r="E1092" s="5" t="n">
        <x:v>10001.19</x:v>
      </x:c>
      <x:c r="F1092" s="6" t="str">
        <x:v>2015-12-31</x:v>
      </x:c>
      <x:c r="G1092" s="5" t="n">
        <x:v>10614.38</x:v>
      </x:c>
      <x:c r="H1092" s="7" t="n">
        <x:f>G1092/E1092-1</x:f>
        <x:v>0.06131170390723484</x:v>
      </x:c>
      <x:c r="I1092" s="1" t="n">
        <x:v>1</x:v>
      </x:c>
      <x:c r="J1092" s="1" t="n">
        <x:v>1</x:v>
      </x:c>
      <x:c r="K1092" s="1" t="str">
        <x:v>中证官方优先</x:v>
      </x:c>
    </x:row>
    <x:row r="1093" ht="25" customHeight="1">
      <x:c r="A1093" s="1" t="str">
        <x:v>sh000852</x:v>
      </x:c>
      <x:c r="B1093" s="1" t="str">
        <x:v>中证1000</x:v>
      </x:c>
      <x:c r="C1093" s="1" t="str">
        <x:v>2016-01</x:v>
      </x:c>
      <x:c r="D1093" s="1" t="str">
        <x:v>2015-12-31</x:v>
      </x:c>
      <x:c r="E1093" s="5" t="n">
        <x:v>10614.38</x:v>
      </x:c>
      <x:c r="F1093" s="6" t="str">
        <x:v>2016-01-29</x:v>
      </x:c>
      <x:c r="G1093" s="5" t="n">
        <x:v>7385.76</x:v>
      </x:c>
      <x:c r="H1093" s="7" t="n">
        <x:f>G1093/E1093-1</x:f>
        <x:v>-0.30417414865493786</x:v>
      </x:c>
      <x:c r="I1093" s="1" t="n">
        <x:v>1</x:v>
      </x:c>
      <x:c r="J1093" s="1" t="n">
        <x:v>1</x:v>
      </x:c>
      <x:c r="K1093" s="1" t="str">
        <x:v>中证官方优先</x:v>
      </x:c>
    </x:row>
    <x:row r="1094" ht="25" customHeight="1">
      <x:c r="A1094" s="1" t="str">
        <x:v>sh000852</x:v>
      </x:c>
      <x:c r="B1094" s="1" t="str">
        <x:v>中证1000</x:v>
      </x:c>
      <x:c r="C1094" s="1" t="str">
        <x:v>2016-02</x:v>
      </x:c>
      <x:c r="D1094" s="1" t="str">
        <x:v>2016-01-29</x:v>
      </x:c>
      <x:c r="E1094" s="5" t="n">
        <x:v>7385.76</x:v>
      </x:c>
      <x:c r="F1094" s="6" t="str">
        <x:v>2016-02-29</x:v>
      </x:c>
      <x:c r="G1094" s="5" t="n">
        <x:v>7183.68</x:v>
      </x:c>
      <x:c r="H1094" s="7" t="n">
        <x:f>G1094/E1094-1</x:f>
        <x:v>-0.027360759082342256</x:v>
      </x:c>
      <x:c r="I1094" s="1" t="n">
        <x:v>1</x:v>
      </x:c>
      <x:c r="J1094" s="1" t="n">
        <x:v>1</x:v>
      </x:c>
      <x:c r="K1094" s="1" t="str">
        <x:v>中证官方优先</x:v>
      </x:c>
    </x:row>
    <x:row r="1095" ht="25" customHeight="1">
      <x:c r="A1095" s="1" t="str">
        <x:v>sh000852</x:v>
      </x:c>
      <x:c r="B1095" s="1" t="str">
        <x:v>中证1000</x:v>
      </x:c>
      <x:c r="C1095" s="1" t="str">
        <x:v>2016-03</x:v>
      </x:c>
      <x:c r="D1095" s="1" t="str">
        <x:v>2016-02-29</x:v>
      </x:c>
      <x:c r="E1095" s="5" t="n">
        <x:v>7183.68</x:v>
      </x:c>
      <x:c r="F1095" s="6" t="str">
        <x:v>2016-03-31</x:v>
      </x:c>
      <x:c r="G1095" s="5" t="n">
        <x:v>8447.18</x:v>
      </x:c>
      <x:c r="H1095" s="7" t="n">
        <x:f>G1095/E1095-1</x:f>
        <x:v>0.17588478328656065</x:v>
      </x:c>
      <x:c r="I1095" s="1" t="n">
        <x:v>1</x:v>
      </x:c>
      <x:c r="J1095" s="1" t="n">
        <x:v>1</x:v>
      </x:c>
      <x:c r="K1095" s="1" t="str">
        <x:v>中证官方优先</x:v>
      </x:c>
    </x:row>
    <x:row r="1096" ht="25" customHeight="1">
      <x:c r="A1096" s="1" t="str">
        <x:v>sh000852</x:v>
      </x:c>
      <x:c r="B1096" s="1" t="str">
        <x:v>中证1000</x:v>
      </x:c>
      <x:c r="C1096" s="1" t="str">
        <x:v>2016-04</x:v>
      </x:c>
      <x:c r="D1096" s="1" t="str">
        <x:v>2016-03-31</x:v>
      </x:c>
      <x:c r="E1096" s="5" t="n">
        <x:v>8447.18</x:v>
      </x:c>
      <x:c r="F1096" s="6" t="str">
        <x:v>2016-04-29</x:v>
      </x:c>
      <x:c r="G1096" s="5" t="n">
        <x:v>8291.7</x:v>
      </x:c>
      <x:c r="H1096" s="7" t="n">
        <x:f>G1096/E1096-1</x:f>
        <x:v>-0.018406142641686274</x:v>
      </x:c>
      <x:c r="I1096" s="1" t="n">
        <x:v>1</x:v>
      </x:c>
      <x:c r="J1096" s="1" t="n">
        <x:v>1</x:v>
      </x:c>
      <x:c r="K1096" s="1" t="str">
        <x:v>中证官方优先</x:v>
      </x:c>
    </x:row>
    <x:row r="1097" ht="25" customHeight="1">
      <x:c r="A1097" s="1" t="str">
        <x:v>sh000852</x:v>
      </x:c>
      <x:c r="B1097" s="1" t="str">
        <x:v>中证1000</x:v>
      </x:c>
      <x:c r="C1097" s="1" t="str">
        <x:v>2016-05</x:v>
      </x:c>
      <x:c r="D1097" s="1" t="str">
        <x:v>2016-04-29</x:v>
      </x:c>
      <x:c r="E1097" s="5" t="n">
        <x:v>8291.7</x:v>
      </x:c>
      <x:c r="F1097" s="6" t="str">
        <x:v>2016-05-31</x:v>
      </x:c>
      <x:c r="G1097" s="5" t="n">
        <x:v>8197.56</x:v>
      </x:c>
      <x:c r="H1097" s="7" t="n">
        <x:f>G1097/E1097-1</x:f>
        <x:v>-0.011353522196895893</x:v>
      </x:c>
      <x:c r="I1097" s="1" t="n">
        <x:v>1</x:v>
      </x:c>
      <x:c r="J1097" s="1" t="n">
        <x:v>1</x:v>
      </x:c>
      <x:c r="K1097" s="1" t="str">
        <x:v>中证官方优先</x:v>
      </x:c>
    </x:row>
    <x:row r="1098" ht="25" customHeight="1">
      <x:c r="A1098" s="1" t="str">
        <x:v>sh000852</x:v>
      </x:c>
      <x:c r="B1098" s="1" t="str">
        <x:v>中证1000</x:v>
      </x:c>
      <x:c r="C1098" s="1" t="str">
        <x:v>2016-06</x:v>
      </x:c>
      <x:c r="D1098" s="1" t="str">
        <x:v>2016-05-31</x:v>
      </x:c>
      <x:c r="E1098" s="5" t="n">
        <x:v>8197.56</x:v>
      </x:c>
      <x:c r="F1098" s="6" t="str">
        <x:v>2016-06-30</x:v>
      </x:c>
      <x:c r="G1098" s="5" t="n">
        <x:v>8741.1</x:v>
      </x:c>
      <x:c r="H1098" s="7" t="n">
        <x:f>G1098/E1098-1</x:f>
        <x:v>0.06630509566261189</x:v>
      </x:c>
      <x:c r="I1098" s="1" t="n">
        <x:v>1</x:v>
      </x:c>
      <x:c r="J1098" s="1" t="n">
        <x:v>1</x:v>
      </x:c>
      <x:c r="K1098" s="1" t="str">
        <x:v>中证官方优先</x:v>
      </x:c>
    </x:row>
    <x:row r="1099" ht="25" customHeight="1">
      <x:c r="A1099" s="1" t="str">
        <x:v>sh000852</x:v>
      </x:c>
      <x:c r="B1099" s="1" t="str">
        <x:v>中证1000</x:v>
      </x:c>
      <x:c r="C1099" s="1" t="str">
        <x:v>2016-07</x:v>
      </x:c>
      <x:c r="D1099" s="1" t="str">
        <x:v>2016-06-30</x:v>
      </x:c>
      <x:c r="E1099" s="5" t="n">
        <x:v>8741.1</x:v>
      </x:c>
      <x:c r="F1099" s="6" t="str">
        <x:v>2016-07-29</x:v>
      </x:c>
      <x:c r="G1099" s="5" t="n">
        <x:v>8501.09</x:v>
      </x:c>
      <x:c r="H1099" s="7" t="n">
        <x:f>G1099/E1099-1</x:f>
        <x:v>-0.027457642630790202</x:v>
      </x:c>
      <x:c r="I1099" s="1" t="n">
        <x:v>1</x:v>
      </x:c>
      <x:c r="J1099" s="1" t="n">
        <x:v>1</x:v>
      </x:c>
      <x:c r="K1099" s="1" t="str">
        <x:v>中证官方优先</x:v>
      </x:c>
    </x:row>
    <x:row r="1100" ht="25" customHeight="1">
      <x:c r="A1100" s="1" t="str">
        <x:v>sh000852</x:v>
      </x:c>
      <x:c r="B1100" s="1" t="str">
        <x:v>中证1000</x:v>
      </x:c>
      <x:c r="C1100" s="1" t="str">
        <x:v>2016-08</x:v>
      </x:c>
      <x:c r="D1100" s="1" t="str">
        <x:v>2016-07-29</x:v>
      </x:c>
      <x:c r="E1100" s="5" t="n">
        <x:v>8501.09</x:v>
      </x:c>
      <x:c r="F1100" s="6" t="str">
        <x:v>2016-08-31</x:v>
      </x:c>
      <x:c r="G1100" s="5" t="n">
        <x:v>8838.38</x:v>
      </x:c>
      <x:c r="H1100" s="7" t="n">
        <x:f>G1100/E1100-1</x:f>
        <x:v>0.03967608859569771</x:v>
      </x:c>
      <x:c r="I1100" s="1" t="n">
        <x:v>1</x:v>
      </x:c>
      <x:c r="J1100" s="1" t="n">
        <x:v>1</x:v>
      </x:c>
      <x:c r="K1100" s="1" t="str">
        <x:v>中证官方优先</x:v>
      </x:c>
    </x:row>
    <x:row r="1101" ht="25" customHeight="1">
      <x:c r="A1101" s="1" t="str">
        <x:v>sh000852</x:v>
      </x:c>
      <x:c r="B1101" s="1" t="str">
        <x:v>中证1000</x:v>
      </x:c>
      <x:c r="C1101" s="1" t="str">
        <x:v>2016-09</x:v>
      </x:c>
      <x:c r="D1101" s="1" t="str">
        <x:v>2016-08-31</x:v>
      </x:c>
      <x:c r="E1101" s="5" t="n">
        <x:v>8838.38</x:v>
      </x:c>
      <x:c r="F1101" s="6" t="str">
        <x:v>2016-09-30</x:v>
      </x:c>
      <x:c r="G1101" s="5" t="n">
        <x:v>8661.02</x:v>
      </x:c>
      <x:c r="H1101" s="7" t="n">
        <x:f>G1101/E1101-1</x:f>
        <x:v>-0.02006702585767961</x:v>
      </x:c>
      <x:c r="I1101" s="1" t="n">
        <x:v>1</x:v>
      </x:c>
      <x:c r="J1101" s="1" t="n">
        <x:v>1</x:v>
      </x:c>
      <x:c r="K1101" s="1" t="str">
        <x:v>中证官方优先</x:v>
      </x:c>
    </x:row>
    <x:row r="1102" ht="25" customHeight="1">
      <x:c r="A1102" s="1" t="str">
        <x:v>sh000852</x:v>
      </x:c>
      <x:c r="B1102" s="1" t="str">
        <x:v>中证1000</x:v>
      </x:c>
      <x:c r="C1102" s="1" t="str">
        <x:v>2016-10</x:v>
      </x:c>
      <x:c r="D1102" s="1" t="str">
        <x:v>2016-09-30</x:v>
      </x:c>
      <x:c r="E1102" s="5" t="n">
        <x:v>8661.02</x:v>
      </x:c>
      <x:c r="F1102" s="6" t="str">
        <x:v>2016-10-31</x:v>
      </x:c>
      <x:c r="G1102" s="5" t="n">
        <x:v>8910.51</x:v>
      </x:c>
      <x:c r="H1102" s="7" t="n">
        <x:f>G1102/E1102-1</x:f>
        <x:v>0.028806075958720756</x:v>
      </x:c>
      <x:c r="I1102" s="1" t="n">
        <x:v>1</x:v>
      </x:c>
      <x:c r="J1102" s="1" t="n">
        <x:v>1</x:v>
      </x:c>
      <x:c r="K1102" s="1" t="str">
        <x:v>中证官方优先</x:v>
      </x:c>
    </x:row>
    <x:row r="1103" ht="25" customHeight="1">
      <x:c r="A1103" s="1" t="str">
        <x:v>sh000852</x:v>
      </x:c>
      <x:c r="B1103" s="1" t="str">
        <x:v>中证1000</x:v>
      </x:c>
      <x:c r="C1103" s="1" t="str">
        <x:v>2016-11</x:v>
      </x:c>
      <x:c r="D1103" s="1" t="str">
        <x:v>2016-10-31</x:v>
      </x:c>
      <x:c r="E1103" s="5" t="n">
        <x:v>8910.51</x:v>
      </x:c>
      <x:c r="F1103" s="6" t="str">
        <x:v>2016-11-30</x:v>
      </x:c>
      <x:c r="G1103" s="5" t="n">
        <x:v>9014.91</x:v>
      </x:c>
      <x:c r="H1103" s="7" t="n">
        <x:f>G1103/E1103-1</x:f>
        <x:v>0.011716501075695884</x:v>
      </x:c>
      <x:c r="I1103" s="1" t="n">
        <x:v>1</x:v>
      </x:c>
      <x:c r="J1103" s="1" t="n">
        <x:v>1</x:v>
      </x:c>
      <x:c r="K1103" s="1" t="str">
        <x:v>中证官方优先</x:v>
      </x:c>
    </x:row>
    <x:row r="1104" ht="25" customHeight="1">
      <x:c r="A1104" s="1" t="str">
        <x:v>sh000852</x:v>
      </x:c>
      <x:c r="B1104" s="1" t="str">
        <x:v>中证1000</x:v>
      </x:c>
      <x:c r="C1104" s="1" t="str">
        <x:v>2016-12</x:v>
      </x:c>
      <x:c r="D1104" s="1" t="str">
        <x:v>2016-11-30</x:v>
      </x:c>
      <x:c r="E1104" s="5" t="n">
        <x:v>9014.91</x:v>
      </x:c>
      <x:c r="F1104" s="6" t="str">
        <x:v>2016-12-30</x:v>
      </x:c>
      <x:c r="G1104" s="5" t="n">
        <x:v>8490.86</x:v>
      </x:c>
      <x:c r="H1104" s="7" t="n">
        <x:f>G1104/E1104-1</x:f>
        <x:v>-0.0581314733036713</x:v>
      </x:c>
      <x:c r="I1104" s="1" t="n">
        <x:v>1</x:v>
      </x:c>
      <x:c r="J1104" s="1" t="n">
        <x:v>1</x:v>
      </x:c>
      <x:c r="K1104" s="1" t="str">
        <x:v>中证官方优先</x:v>
      </x:c>
    </x:row>
    <x:row r="1105" ht="25" customHeight="1">
      <x:c r="A1105" s="1" t="str">
        <x:v>sh000852</x:v>
      </x:c>
      <x:c r="B1105" s="1" t="str">
        <x:v>中证1000</x:v>
      </x:c>
      <x:c r="C1105" s="1" t="str">
        <x:v>2017-01</x:v>
      </x:c>
      <x:c r="D1105" s="1" t="str">
        <x:v>2016-12-30</x:v>
      </x:c>
      <x:c r="E1105" s="5" t="n">
        <x:v>8490.86</x:v>
      </x:c>
      <x:c r="F1105" s="6" t="str">
        <x:v>2017-01-26</x:v>
      </x:c>
      <x:c r="G1105" s="5" t="n">
        <x:v>8205.87</x:v>
      </x:c>
      <x:c r="H1105" s="7" t="n">
        <x:f>G1105/E1105-1</x:f>
        <x:v>-0.03356432681730703</x:v>
      </x:c>
      <x:c r="I1105" s="1" t="n">
        <x:v>1</x:v>
      </x:c>
      <x:c r="J1105" s="1" t="n">
        <x:v>1</x:v>
      </x:c>
      <x:c r="K1105" s="1" t="str">
        <x:v>中证官方优先</x:v>
      </x:c>
    </x:row>
    <x:row r="1106" ht="25" customHeight="1">
      <x:c r="A1106" s="1" t="str">
        <x:v>sh000852</x:v>
      </x:c>
      <x:c r="B1106" s="1" t="str">
        <x:v>中证1000</x:v>
      </x:c>
      <x:c r="C1106" s="1" t="str">
        <x:v>2017-02</x:v>
      </x:c>
      <x:c r="D1106" s="1" t="str">
        <x:v>2017-01-26</x:v>
      </x:c>
      <x:c r="E1106" s="5" t="n">
        <x:v>8205.87</x:v>
      </x:c>
      <x:c r="F1106" s="6" t="str">
        <x:v>2017-02-28</x:v>
      </x:c>
      <x:c r="G1106" s="5" t="n">
        <x:v>8508.09</x:v>
      </x:c>
      <x:c r="H1106" s="7" t="n">
        <x:f>G1106/E1106-1</x:f>
        <x:v>0.03682973286196334</x:v>
      </x:c>
      <x:c r="I1106" s="1" t="n">
        <x:v>1</x:v>
      </x:c>
      <x:c r="J1106" s="1" t="n">
        <x:v>1</x:v>
      </x:c>
      <x:c r="K1106" s="1" t="str">
        <x:v>中证官方优先</x:v>
      </x:c>
    </x:row>
    <x:row r="1107" ht="25" customHeight="1">
      <x:c r="A1107" s="1" t="str">
        <x:v>sh000852</x:v>
      </x:c>
      <x:c r="B1107" s="1" t="str">
        <x:v>中证1000</x:v>
      </x:c>
      <x:c r="C1107" s="1" t="str">
        <x:v>2017-03</x:v>
      </x:c>
      <x:c r="D1107" s="1" t="str">
        <x:v>2017-02-28</x:v>
      </x:c>
      <x:c r="E1107" s="5" t="n">
        <x:v>8508.09</x:v>
      </x:c>
      <x:c r="F1107" s="6" t="str">
        <x:v>2017-03-31</x:v>
      </x:c>
      <x:c r="G1107" s="5" t="n">
        <x:v>8339.15</x:v>
      </x:c>
      <x:c r="H1107" s="7" t="n">
        <x:f>G1107/E1107-1</x:f>
        <x:v>-0.01985639550122298</x:v>
      </x:c>
      <x:c r="I1107" s="1" t="n">
        <x:v>1</x:v>
      </x:c>
      <x:c r="J1107" s="1" t="n">
        <x:v>1</x:v>
      </x:c>
      <x:c r="K1107" s="1" t="str">
        <x:v>中证官方优先</x:v>
      </x:c>
    </x:row>
    <x:row r="1108" ht="25" customHeight="1">
      <x:c r="A1108" s="1" t="str">
        <x:v>sh000852</x:v>
      </x:c>
      <x:c r="B1108" s="1" t="str">
        <x:v>中证1000</x:v>
      </x:c>
      <x:c r="C1108" s="1" t="str">
        <x:v>2017-04</x:v>
      </x:c>
      <x:c r="D1108" s="1" t="str">
        <x:v>2017-03-31</x:v>
      </x:c>
      <x:c r="E1108" s="5" t="n">
        <x:v>8339.15</x:v>
      </x:c>
      <x:c r="F1108" s="6" t="str">
        <x:v>2017-04-28</x:v>
      </x:c>
      <x:c r="G1108" s="5" t="n">
        <x:v>7842.08</x:v>
      </x:c>
      <x:c r="H1108" s="7" t="n">
        <x:f>G1108/E1108-1</x:f>
        <x:v>-0.05960679445746864</x:v>
      </x:c>
      <x:c r="I1108" s="1" t="n">
        <x:v>1</x:v>
      </x:c>
      <x:c r="J1108" s="1" t="n">
        <x:v>1</x:v>
      </x:c>
      <x:c r="K1108" s="1" t="str">
        <x:v>中证官方优先</x:v>
      </x:c>
    </x:row>
    <x:row r="1109" ht="25" customHeight="1">
      <x:c r="A1109" s="1" t="str">
        <x:v>sh000852</x:v>
      </x:c>
      <x:c r="B1109" s="1" t="str">
        <x:v>中证1000</x:v>
      </x:c>
      <x:c r="C1109" s="1" t="str">
        <x:v>2017-05</x:v>
      </x:c>
      <x:c r="D1109" s="1" t="str">
        <x:v>2017-04-28</x:v>
      </x:c>
      <x:c r="E1109" s="5" t="n">
        <x:v>7842.08</x:v>
      </x:c>
      <x:c r="F1109" s="6" t="str">
        <x:v>2017-05-31</x:v>
      </x:c>
      <x:c r="G1109" s="5" t="n">
        <x:v>7212.7</x:v>
      </x:c>
      <x:c r="H1109" s="7" t="n">
        <x:f>G1109/E1109-1</x:f>
        <x:v>-0.08025676861240894</x:v>
      </x:c>
      <x:c r="I1109" s="1" t="n">
        <x:v>1</x:v>
      </x:c>
      <x:c r="J1109" s="1" t="n">
        <x:v>1</x:v>
      </x:c>
      <x:c r="K1109" s="1" t="str">
        <x:v>中证官方优先</x:v>
      </x:c>
    </x:row>
    <x:row r="1110" ht="25" customHeight="1">
      <x:c r="A1110" s="1" t="str">
        <x:v>sh000852</x:v>
      </x:c>
      <x:c r="B1110" s="1" t="str">
        <x:v>中证1000</x:v>
      </x:c>
      <x:c r="C1110" s="1" t="str">
        <x:v>2017-06</x:v>
      </x:c>
      <x:c r="D1110" s="1" t="str">
        <x:v>2017-05-31</x:v>
      </x:c>
      <x:c r="E1110" s="5" t="n">
        <x:v>7212.7</x:v>
      </x:c>
      <x:c r="F1110" s="6" t="str">
        <x:v>2017-06-30</x:v>
      </x:c>
      <x:c r="G1110" s="5" t="n">
        <x:v>7465.76</x:v>
      </x:c>
      <x:c r="H1110" s="7" t="n">
        <x:f>G1110/E1110-1</x:f>
        <x:v>0.035085335588614486</x:v>
      </x:c>
      <x:c r="I1110" s="1" t="n">
        <x:v>1</x:v>
      </x:c>
      <x:c r="J1110" s="1" t="n">
        <x:v>1</x:v>
      </x:c>
      <x:c r="K1110" s="1" t="str">
        <x:v>中证官方优先</x:v>
      </x:c>
    </x:row>
    <x:row r="1111" ht="25" customHeight="1">
      <x:c r="A1111" s="1" t="str">
        <x:v>sh000852</x:v>
      </x:c>
      <x:c r="B1111" s="1" t="str">
        <x:v>中证1000</x:v>
      </x:c>
      <x:c r="C1111" s="1" t="str">
        <x:v>2017-07</x:v>
      </x:c>
      <x:c r="D1111" s="1" t="str">
        <x:v>2017-06-30</x:v>
      </x:c>
      <x:c r="E1111" s="5" t="n">
        <x:v>7465.76</x:v>
      </x:c>
      <x:c r="F1111" s="6" t="str">
        <x:v>2017-07-31</x:v>
      </x:c>
      <x:c r="G1111" s="5" t="n">
        <x:v>7444.96</x:v>
      </x:c>
      <x:c r="H1111" s="7" t="n">
        <x:f>G1111/E1111-1</x:f>
        <x:v>-0.0027860525921005186</x:v>
      </x:c>
      <x:c r="I1111" s="1" t="n">
        <x:v>1</x:v>
      </x:c>
      <x:c r="J1111" s="1" t="n">
        <x:v>1</x:v>
      </x:c>
      <x:c r="K1111" s="1" t="str">
        <x:v>中证官方优先</x:v>
      </x:c>
    </x:row>
    <x:row r="1112" ht="25" customHeight="1">
      <x:c r="A1112" s="1" t="str">
        <x:v>sh000852</x:v>
      </x:c>
      <x:c r="B1112" s="1" t="str">
        <x:v>中证1000</x:v>
      </x:c>
      <x:c r="C1112" s="1" t="str">
        <x:v>2017-08</x:v>
      </x:c>
      <x:c r="D1112" s="1" t="str">
        <x:v>2017-07-31</x:v>
      </x:c>
      <x:c r="E1112" s="5" t="n">
        <x:v>7444.96</x:v>
      </x:c>
      <x:c r="F1112" s="6" t="str">
        <x:v>2017-08-31</x:v>
      </x:c>
      <x:c r="G1112" s="5" t="n">
        <x:v>7679.87</x:v>
      </x:c>
      <x:c r="H1112" s="7" t="n">
        <x:f>G1112/E1112-1</x:f>
        <x:v>0.03155288947153512</x:v>
      </x:c>
      <x:c r="I1112" s="1" t="n">
        <x:v>1</x:v>
      </x:c>
      <x:c r="J1112" s="1" t="n">
        <x:v>1</x:v>
      </x:c>
      <x:c r="K1112" s="1" t="str">
        <x:v>中证官方优先</x:v>
      </x:c>
    </x:row>
    <x:row r="1113" ht="25" customHeight="1">
      <x:c r="A1113" s="1" t="str">
        <x:v>sh000852</x:v>
      </x:c>
      <x:c r="B1113" s="1" t="str">
        <x:v>中证1000</x:v>
      </x:c>
      <x:c r="C1113" s="1" t="str">
        <x:v>2017-09</x:v>
      </x:c>
      <x:c r="D1113" s="1" t="str">
        <x:v>2017-08-31</x:v>
      </x:c>
      <x:c r="E1113" s="5" t="n">
        <x:v>7679.87</x:v>
      </x:c>
      <x:c r="F1113" s="6" t="str">
        <x:v>2017-09-29</x:v>
      </x:c>
      <x:c r="G1113" s="5" t="n">
        <x:v>7842.59</x:v>
      </x:c>
      <x:c r="H1113" s="7" t="n">
        <x:f>G1113/E1113-1</x:f>
        <x:v>0.021187858648649138</x:v>
      </x:c>
      <x:c r="I1113" s="1" t="n">
        <x:v>1</x:v>
      </x:c>
      <x:c r="J1113" s="1" t="n">
        <x:v>1</x:v>
      </x:c>
      <x:c r="K1113" s="1" t="str">
        <x:v>中证官方优先</x:v>
      </x:c>
    </x:row>
    <x:row r="1114" ht="25" customHeight="1">
      <x:c r="A1114" s="1" t="str">
        <x:v>sh000852</x:v>
      </x:c>
      <x:c r="B1114" s="1" t="str">
        <x:v>中证1000</x:v>
      </x:c>
      <x:c r="C1114" s="1" t="str">
        <x:v>2017-10</x:v>
      </x:c>
      <x:c r="D1114" s="1" t="str">
        <x:v>2017-09-29</x:v>
      </x:c>
      <x:c r="E1114" s="5" t="n">
        <x:v>7842.59</x:v>
      </x:c>
      <x:c r="F1114" s="6" t="str">
        <x:v>2017-10-31</x:v>
      </x:c>
      <x:c r="G1114" s="5" t="n">
        <x:v>7631.53</x:v>
      </x:c>
      <x:c r="H1114" s="7" t="n">
        <x:f>G1114/E1114-1</x:f>
        <x:v>-0.026912027786738846</x:v>
      </x:c>
      <x:c r="I1114" s="1" t="n">
        <x:v>1</x:v>
      </x:c>
      <x:c r="J1114" s="1" t="n">
        <x:v>1</x:v>
      </x:c>
      <x:c r="K1114" s="1" t="str">
        <x:v>中证官方优先</x:v>
      </x:c>
    </x:row>
    <x:row r="1115" ht="25" customHeight="1">
      <x:c r="A1115" s="1" t="str">
        <x:v>sh000852</x:v>
      </x:c>
      <x:c r="B1115" s="1" t="str">
        <x:v>中证1000</x:v>
      </x:c>
      <x:c r="C1115" s="1" t="str">
        <x:v>2017-11</x:v>
      </x:c>
      <x:c r="D1115" s="1" t="str">
        <x:v>2017-10-31</x:v>
      </x:c>
      <x:c r="E1115" s="5" t="n">
        <x:v>7631.53</x:v>
      </x:c>
      <x:c r="F1115" s="6" t="str">
        <x:v>2017-11-30</x:v>
      </x:c>
      <x:c r="G1115" s="5" t="n">
        <x:v>7153.57</x:v>
      </x:c>
      <x:c r="H1115" s="7" t="n">
        <x:f>G1115/E1115-1</x:f>
        <x:v>-0.06262964307288321</x:v>
      </x:c>
      <x:c r="I1115" s="1" t="n">
        <x:v>1</x:v>
      </x:c>
      <x:c r="J1115" s="1" t="n">
        <x:v>1</x:v>
      </x:c>
      <x:c r="K1115" s="1" t="str">
        <x:v>中证官方优先</x:v>
      </x:c>
    </x:row>
    <x:row r="1116" ht="25" customHeight="1">
      <x:c r="A1116" s="1" t="str">
        <x:v>sh000852</x:v>
      </x:c>
      <x:c r="B1116" s="1" t="str">
        <x:v>中证1000</x:v>
      </x:c>
      <x:c r="C1116" s="1" t="str">
        <x:v>2017-12</x:v>
      </x:c>
      <x:c r="D1116" s="1" t="str">
        <x:v>2017-11-30</x:v>
      </x:c>
      <x:c r="E1116" s="5" t="n">
        <x:v>7153.57</x:v>
      </x:c>
      <x:c r="F1116" s="6" t="str">
        <x:v>2017-12-29</x:v>
      </x:c>
      <x:c r="G1116" s="5" t="n">
        <x:v>7017.35</x:v>
      </x:c>
      <x:c r="H1116" s="7" t="n">
        <x:f>G1116/E1116-1</x:f>
        <x:v>-0.01904224044777636</x:v>
      </x:c>
      <x:c r="I1116" s="1" t="n">
        <x:v>1</x:v>
      </x:c>
      <x:c r="J1116" s="1" t="n">
        <x:v>1</x:v>
      </x:c>
      <x:c r="K1116" s="1" t="str">
        <x:v>中证官方优先</x:v>
      </x:c>
    </x:row>
    <x:row r="1117" ht="25" customHeight="1">
      <x:c r="A1117" s="1" t="str">
        <x:v>sh000852</x:v>
      </x:c>
      <x:c r="B1117" s="1" t="str">
        <x:v>中证1000</x:v>
      </x:c>
      <x:c r="C1117" s="1" t="str">
        <x:v>2018-01</x:v>
      </x:c>
      <x:c r="D1117" s="1" t="str">
        <x:v>2017-12-29</x:v>
      </x:c>
      <x:c r="E1117" s="5" t="n">
        <x:v>7017.35</x:v>
      </x:c>
      <x:c r="F1117" s="6" t="str">
        <x:v>2018-01-31</x:v>
      </x:c>
      <x:c r="G1117" s="5" t="n">
        <x:v>6791.01</x:v>
      </x:c>
      <x:c r="H1117" s="7" t="n">
        <x:f>G1117/E1117-1</x:f>
        <x:v>-0.03225434102617086</x:v>
      </x:c>
      <x:c r="I1117" s="1" t="n">
        <x:v>1</x:v>
      </x:c>
      <x:c r="J1117" s="1" t="n">
        <x:v>1</x:v>
      </x:c>
      <x:c r="K1117" s="1" t="str">
        <x:v>中证官方优先</x:v>
      </x:c>
    </x:row>
    <x:row r="1118" ht="25" customHeight="1">
      <x:c r="A1118" s="1" t="str">
        <x:v>sh000852</x:v>
      </x:c>
      <x:c r="B1118" s="1" t="str">
        <x:v>中证1000</x:v>
      </x:c>
      <x:c r="C1118" s="1" t="str">
        <x:v>2018-02</x:v>
      </x:c>
      <x:c r="D1118" s="1" t="str">
        <x:v>2018-01-31</x:v>
      </x:c>
      <x:c r="E1118" s="5" t="n">
        <x:v>6791.01</x:v>
      </x:c>
      <x:c r="F1118" s="6" t="str">
        <x:v>2018-02-28</x:v>
      </x:c>
      <x:c r="G1118" s="5" t="n">
        <x:v>6563.81</x:v>
      </x:c>
      <x:c r="H1118" s="7" t="n">
        <x:f>G1118/E1118-1</x:f>
        <x:v>-0.033455995499932945</x:v>
      </x:c>
      <x:c r="I1118" s="1" t="n">
        <x:v>1</x:v>
      </x:c>
      <x:c r="J1118" s="1" t="n">
        <x:v>1</x:v>
      </x:c>
      <x:c r="K1118" s="1" t="str">
        <x:v>中证官方优先</x:v>
      </x:c>
    </x:row>
    <x:row r="1119" ht="25" customHeight="1">
      <x:c r="A1119" s="1" t="str">
        <x:v>sh000852</x:v>
      </x:c>
      <x:c r="B1119" s="1" t="str">
        <x:v>中证1000</x:v>
      </x:c>
      <x:c r="C1119" s="1" t="str">
        <x:v>2018-03</x:v>
      </x:c>
      <x:c r="D1119" s="1" t="str">
        <x:v>2018-02-28</x:v>
      </x:c>
      <x:c r="E1119" s="5" t="n">
        <x:v>6563.81</x:v>
      </x:c>
      <x:c r="F1119" s="6" t="str">
        <x:v>2018-03-30</x:v>
      </x:c>
      <x:c r="G1119" s="5" t="n">
        <x:v>6798.67</x:v>
      </x:c>
      <x:c r="H1119" s="7" t="n">
        <x:f>G1119/E1119-1</x:f>
        <x:v>0.03578104789748626</x:v>
      </x:c>
      <x:c r="I1119" s="1" t="n">
        <x:v>1</x:v>
      </x:c>
      <x:c r="J1119" s="1" t="n">
        <x:v>1</x:v>
      </x:c>
      <x:c r="K1119" s="1" t="str">
        <x:v>中证官方优先</x:v>
      </x:c>
    </x:row>
    <x:row r="1120" ht="25" customHeight="1">
      <x:c r="A1120" s="1" t="str">
        <x:v>sh000852</x:v>
      </x:c>
      <x:c r="B1120" s="1" t="str">
        <x:v>中证1000</x:v>
      </x:c>
      <x:c r="C1120" s="1" t="str">
        <x:v>2018-04</x:v>
      </x:c>
      <x:c r="D1120" s="1" t="str">
        <x:v>2018-03-30</x:v>
      </x:c>
      <x:c r="E1120" s="5" t="n">
        <x:v>6798.67</x:v>
      </x:c>
      <x:c r="F1120" s="6" t="str">
        <x:v>2018-04-27</x:v>
      </x:c>
      <x:c r="G1120" s="5" t="n">
        <x:v>6517.05</x:v>
      </x:c>
      <x:c r="H1120" s="7" t="n">
        <x:f>G1120/E1120-1</x:f>
        <x:v>-0.041422807696211206</x:v>
      </x:c>
      <x:c r="I1120" s="1" t="n">
        <x:v>1</x:v>
      </x:c>
      <x:c r="J1120" s="1" t="n">
        <x:v>1</x:v>
      </x:c>
      <x:c r="K1120" s="1" t="str">
        <x:v>中证官方优先</x:v>
      </x:c>
    </x:row>
    <x:row r="1121" ht="25" customHeight="1">
      <x:c r="A1121" s="1" t="str">
        <x:v>sh000852</x:v>
      </x:c>
      <x:c r="B1121" s="1" t="str">
        <x:v>中证1000</x:v>
      </x:c>
      <x:c r="C1121" s="1" t="str">
        <x:v>2018-05</x:v>
      </x:c>
      <x:c r="D1121" s="1" t="str">
        <x:v>2018-04-27</x:v>
      </x:c>
      <x:c r="E1121" s="5" t="n">
        <x:v>6517.05</x:v>
      </x:c>
      <x:c r="F1121" s="6" t="str">
        <x:v>2018-05-31</x:v>
      </x:c>
      <x:c r="G1121" s="5" t="n">
        <x:v>6315.17</x:v>
      </x:c>
      <x:c r="H1121" s="7" t="n">
        <x:f>G1121/E1121-1</x:f>
        <x:v>-0.030977205944407338</x:v>
      </x:c>
      <x:c r="I1121" s="1" t="n">
        <x:v>1</x:v>
      </x:c>
      <x:c r="J1121" s="1" t="n">
        <x:v>1</x:v>
      </x:c>
      <x:c r="K1121" s="1" t="str">
        <x:v>中证官方优先</x:v>
      </x:c>
    </x:row>
    <x:row r="1122" ht="25" customHeight="1">
      <x:c r="A1122" s="1" t="str">
        <x:v>sh000852</x:v>
      </x:c>
      <x:c r="B1122" s="1" t="str">
        <x:v>中证1000</x:v>
      </x:c>
      <x:c r="C1122" s="1" t="str">
        <x:v>2018-06</x:v>
      </x:c>
      <x:c r="D1122" s="1" t="str">
        <x:v>2018-05-31</x:v>
      </x:c>
      <x:c r="E1122" s="5" t="n">
        <x:v>6315.17</x:v>
      </x:c>
      <x:c r="F1122" s="6" t="str">
        <x:v>2018-06-29</x:v>
      </x:c>
      <x:c r="G1122" s="5" t="n">
        <x:v>5608.54</x:v>
      </x:c>
      <x:c r="H1122" s="7" t="n">
        <x:f>G1122/E1122-1</x:f>
        <x:v>-0.11189405827554921</x:v>
      </x:c>
      <x:c r="I1122" s="1" t="n">
        <x:v>1</x:v>
      </x:c>
      <x:c r="J1122" s="1" t="n">
        <x:v>1</x:v>
      </x:c>
      <x:c r="K1122" s="1" t="str">
        <x:v>中证官方优先</x:v>
      </x:c>
    </x:row>
    <x:row r="1123" ht="25" customHeight="1">
      <x:c r="A1123" s="1" t="str">
        <x:v>sh000852</x:v>
      </x:c>
      <x:c r="B1123" s="1" t="str">
        <x:v>中证1000</x:v>
      </x:c>
      <x:c r="C1123" s="1" t="str">
        <x:v>2018-07</x:v>
      </x:c>
      <x:c r="D1123" s="1" t="str">
        <x:v>2018-06-29</x:v>
      </x:c>
      <x:c r="E1123" s="5" t="n">
        <x:v>5608.54</x:v>
      </x:c>
      <x:c r="F1123" s="6" t="str">
        <x:v>2018-07-31</x:v>
      </x:c>
      <x:c r="G1123" s="5" t="n">
        <x:v>5542.54</x:v>
      </x:c>
      <x:c r="H1123" s="7" t="n">
        <x:f>G1123/E1123-1</x:f>
        <x:v>-0.011767768438845083</x:v>
      </x:c>
      <x:c r="I1123" s="1" t="n">
        <x:v>1</x:v>
      </x:c>
      <x:c r="J1123" s="1" t="n">
        <x:v>1</x:v>
      </x:c>
      <x:c r="K1123" s="1" t="str">
        <x:v>中证官方优先</x:v>
      </x:c>
    </x:row>
    <x:row r="1124" ht="25" customHeight="1">
      <x:c r="A1124" s="1" t="str">
        <x:v>sh000852</x:v>
      </x:c>
      <x:c r="B1124" s="1" t="str">
        <x:v>中证1000</x:v>
      </x:c>
      <x:c r="C1124" s="1" t="str">
        <x:v>2018-08</x:v>
      </x:c>
      <x:c r="D1124" s="1" t="str">
        <x:v>2018-07-31</x:v>
      </x:c>
      <x:c r="E1124" s="5" t="n">
        <x:v>5542.54</x:v>
      </x:c>
      <x:c r="F1124" s="6" t="str">
        <x:v>2018-08-31</x:v>
      </x:c>
      <x:c r="G1124" s="5" t="n">
        <x:v>5057.98</x:v>
      </x:c>
      <x:c r="H1124" s="7" t="n">
        <x:f>G1124/E1124-1</x:f>
        <x:v>-0.08742562074427973</x:v>
      </x:c>
      <x:c r="I1124" s="1" t="n">
        <x:v>1</x:v>
      </x:c>
      <x:c r="J1124" s="1" t="n">
        <x:v>1</x:v>
      </x:c>
      <x:c r="K1124" s="1" t="str">
        <x:v>中证官方优先</x:v>
      </x:c>
    </x:row>
    <x:row r="1125" ht="25" customHeight="1">
      <x:c r="A1125" s="1" t="str">
        <x:v>sh000852</x:v>
      </x:c>
      <x:c r="B1125" s="1" t="str">
        <x:v>中证1000</x:v>
      </x:c>
      <x:c r="C1125" s="1" t="str">
        <x:v>2018-09</x:v>
      </x:c>
      <x:c r="D1125" s="1" t="str">
        <x:v>2018-08-31</x:v>
      </x:c>
      <x:c r="E1125" s="5" t="n">
        <x:v>5057.98</x:v>
      </x:c>
      <x:c r="F1125" s="6" t="str">
        <x:v>2018-09-28</x:v>
      </x:c>
      <x:c r="G1125" s="5" t="n">
        <x:v>4987.27</x:v>
      </x:c>
      <x:c r="H1125" s="7" t="n">
        <x:f>G1125/E1125-1</x:f>
        <x:v>-0.013979889204781215</x:v>
      </x:c>
      <x:c r="I1125" s="1" t="n">
        <x:v>1</x:v>
      </x:c>
      <x:c r="J1125" s="1" t="n">
        <x:v>1</x:v>
      </x:c>
      <x:c r="K1125" s="1" t="str">
        <x:v>中证官方优先</x:v>
      </x:c>
    </x:row>
    <x:row r="1126" ht="25" customHeight="1">
      <x:c r="A1126" s="1" t="str">
        <x:v>sh000852</x:v>
      </x:c>
      <x:c r="B1126" s="1" t="str">
        <x:v>中证1000</x:v>
      </x:c>
      <x:c r="C1126" s="1" t="str">
        <x:v>2018-10</x:v>
      </x:c>
      <x:c r="D1126" s="1" t="str">
        <x:v>2018-09-28</x:v>
      </x:c>
      <x:c r="E1126" s="5" t="n">
        <x:v>4987.27</x:v>
      </x:c>
      <x:c r="F1126" s="6" t="str">
        <x:v>2018-10-31</x:v>
      </x:c>
      <x:c r="G1126" s="5" t="n">
        <x:v>4400.61</x:v>
      </x:c>
      <x:c r="H1126" s="7" t="n">
        <x:f>G1126/E1126-1</x:f>
        <x:v>-0.11763148977296212</x:v>
      </x:c>
      <x:c r="I1126" s="1" t="n">
        <x:v>1</x:v>
      </x:c>
      <x:c r="J1126" s="1" t="n">
        <x:v>1</x:v>
      </x:c>
      <x:c r="K1126" s="1" t="str">
        <x:v>中证官方优先</x:v>
      </x:c>
    </x:row>
    <x:row r="1127" ht="25" customHeight="1">
      <x:c r="A1127" s="1" t="str">
        <x:v>sh000852</x:v>
      </x:c>
      <x:c r="B1127" s="1" t="str">
        <x:v>中证1000</x:v>
      </x:c>
      <x:c r="C1127" s="1" t="str">
        <x:v>2018-11</x:v>
      </x:c>
      <x:c r="D1127" s="1" t="str">
        <x:v>2018-10-31</x:v>
      </x:c>
      <x:c r="E1127" s="5" t="n">
        <x:v>4400.61</x:v>
      </x:c>
      <x:c r="F1127" s="6" t="str">
        <x:v>2018-11-30</x:v>
      </x:c>
      <x:c r="G1127" s="5" t="n">
        <x:v>4648.18</x:v>
      </x:c>
      <x:c r="H1127" s="7" t="n">
        <x:f>G1127/E1127-1</x:f>
        <x:v>0.056258109671159406</x:v>
      </x:c>
      <x:c r="I1127" s="1" t="n">
        <x:v>1</x:v>
      </x:c>
      <x:c r="J1127" s="1" t="n">
        <x:v>1</x:v>
      </x:c>
      <x:c r="K1127" s="1" t="str">
        <x:v>中证官方优先</x:v>
      </x:c>
    </x:row>
    <x:row r="1128" ht="25" customHeight="1">
      <x:c r="A1128" s="1" t="str">
        <x:v>sh000852</x:v>
      </x:c>
      <x:c r="B1128" s="1" t="str">
        <x:v>中证1000</x:v>
      </x:c>
      <x:c r="C1128" s="1" t="str">
        <x:v>2018-12</x:v>
      </x:c>
      <x:c r="D1128" s="1" t="str">
        <x:v>2018-11-30</x:v>
      </x:c>
      <x:c r="E1128" s="5" t="n">
        <x:v>4648.18</x:v>
      </x:c>
      <x:c r="F1128" s="6" t="str">
        <x:v>2018-12-28</x:v>
      </x:c>
      <x:c r="G1128" s="5" t="n">
        <x:v>4430.02</x:v>
      </x:c>
      <x:c r="H1128" s="7" t="n">
        <x:f>G1128/E1128-1</x:f>
        <x:v>-0.046934499094269166</x:v>
      </x:c>
      <x:c r="I1128" s="1" t="n">
        <x:v>1</x:v>
      </x:c>
      <x:c r="J1128" s="1" t="n">
        <x:v>1</x:v>
      </x:c>
      <x:c r="K1128" s="1" t="str">
        <x:v>中证官方优先</x:v>
      </x:c>
    </x:row>
    <x:row r="1129" ht="25" customHeight="1">
      <x:c r="A1129" s="1" t="str">
        <x:v>sh000852</x:v>
      </x:c>
      <x:c r="B1129" s="1" t="str">
        <x:v>中证1000</x:v>
      </x:c>
      <x:c r="C1129" s="1" t="str">
        <x:v>2019-01</x:v>
      </x:c>
      <x:c r="D1129" s="1" t="str">
        <x:v>2018-12-28</x:v>
      </x:c>
      <x:c r="E1129" s="5" t="n">
        <x:v>4430.02</x:v>
      </x:c>
      <x:c r="F1129" s="6" t="str">
        <x:v>2019-01-31</x:v>
      </x:c>
      <x:c r="G1129" s="5" t="n">
        <x:v>4355.74</x:v>
      </x:c>
      <x:c r="H1129" s="7" t="n">
        <x:f>G1129/E1129-1</x:f>
        <x:v>-0.016767418657252287</x:v>
      </x:c>
      <x:c r="I1129" s="1" t="n">
        <x:v>1</x:v>
      </x:c>
      <x:c r="J1129" s="1" t="n">
        <x:v>1</x:v>
      </x:c>
      <x:c r="K1129" s="1" t="str">
        <x:v>中证官方优先</x:v>
      </x:c>
    </x:row>
    <x:row r="1130" ht="25" customHeight="1">
      <x:c r="A1130" s="1" t="str">
        <x:v>sh000852</x:v>
      </x:c>
      <x:c r="B1130" s="1" t="str">
        <x:v>中证1000</x:v>
      </x:c>
      <x:c r="C1130" s="1" t="str">
        <x:v>2019-02</x:v>
      </x:c>
      <x:c r="D1130" s="1" t="str">
        <x:v>2019-01-31</x:v>
      </x:c>
      <x:c r="E1130" s="5" t="n">
        <x:v>4355.74</x:v>
      </x:c>
      <x:c r="F1130" s="6" t="str">
        <x:v>2019-02-28</x:v>
      </x:c>
      <x:c r="G1130" s="5" t="n">
        <x:v>5330.34</x:v>
      </x:c>
      <x:c r="H1130" s="7" t="n">
        <x:f>G1130/E1130-1</x:f>
        <x:v>0.22375072892321413</x:v>
      </x:c>
      <x:c r="I1130" s="1" t="n">
        <x:v>1</x:v>
      </x:c>
      <x:c r="J1130" s="1" t="n">
        <x:v>1</x:v>
      </x:c>
      <x:c r="K1130" s="1" t="str">
        <x:v>中证官方优先</x:v>
      </x:c>
    </x:row>
    <x:row r="1131" ht="25" customHeight="1">
      <x:c r="A1131" s="1" t="str">
        <x:v>sh000852</x:v>
      </x:c>
      <x:c r="B1131" s="1" t="str">
        <x:v>中证1000</x:v>
      </x:c>
      <x:c r="C1131" s="1" t="str">
        <x:v>2019-03</x:v>
      </x:c>
      <x:c r="D1131" s="1" t="str">
        <x:v>2019-02-28</x:v>
      </x:c>
      <x:c r="E1131" s="5" t="n">
        <x:v>5330.34</x:v>
      </x:c>
      <x:c r="F1131" s="6" t="str">
        <x:v>2019-03-29</x:v>
      </x:c>
      <x:c r="G1131" s="5" t="n">
        <x:v>5911.21</x:v>
      </x:c>
      <x:c r="H1131" s="7" t="n">
        <x:f>G1131/E1131-1</x:f>
        <x:v>0.10897428681847687</x:v>
      </x:c>
      <x:c r="I1131" s="1" t="n">
        <x:v>1</x:v>
      </x:c>
      <x:c r="J1131" s="1" t="n">
        <x:v>1</x:v>
      </x:c>
      <x:c r="K1131" s="1" t="str">
        <x:v>中证官方优先</x:v>
      </x:c>
    </x:row>
    <x:row r="1132" ht="25" customHeight="1">
      <x:c r="A1132" s="1" t="str">
        <x:v>sh000852</x:v>
      </x:c>
      <x:c r="B1132" s="1" t="str">
        <x:v>中证1000</x:v>
      </x:c>
      <x:c r="C1132" s="1" t="str">
        <x:v>2019-04</x:v>
      </x:c>
      <x:c r="D1132" s="1" t="str">
        <x:v>2019-03-29</x:v>
      </x:c>
      <x:c r="E1132" s="5" t="n">
        <x:v>5911.21</x:v>
      </x:c>
      <x:c r="F1132" s="6" t="str">
        <x:v>2019-04-30</x:v>
      </x:c>
      <x:c r="G1132" s="5" t="n">
        <x:v>5682.24</x:v>
      </x:c>
      <x:c r="H1132" s="7" t="n">
        <x:f>G1132/E1132-1</x:f>
        <x:v>-0.03873487830748701</x:v>
      </x:c>
      <x:c r="I1132" s="1" t="n">
        <x:v>1</x:v>
      </x:c>
      <x:c r="J1132" s="1" t="n">
        <x:v>1</x:v>
      </x:c>
      <x:c r="K1132" s="1" t="str">
        <x:v>中证官方优先</x:v>
      </x:c>
    </x:row>
    <x:row r="1133" ht="25" customHeight="1">
      <x:c r="A1133" s="1" t="str">
        <x:v>sh000852</x:v>
      </x:c>
      <x:c r="B1133" s="1" t="str">
        <x:v>中证1000</x:v>
      </x:c>
      <x:c r="C1133" s="1" t="str">
        <x:v>2019-05</x:v>
      </x:c>
      <x:c r="D1133" s="1" t="str">
        <x:v>2019-04-30</x:v>
      </x:c>
      <x:c r="E1133" s="5" t="n">
        <x:v>5682.24</x:v>
      </x:c>
      <x:c r="F1133" s="6" t="str">
        <x:v>2019-05-31</x:v>
      </x:c>
      <x:c r="G1133" s="5" t="n">
        <x:v>5334.25</x:v>
      </x:c>
      <x:c r="H1133" s="7" t="n">
        <x:f>G1133/E1133-1</x:f>
        <x:v>-0.06124169341668073</x:v>
      </x:c>
      <x:c r="I1133" s="1" t="n">
        <x:v>1</x:v>
      </x:c>
      <x:c r="J1133" s="1" t="n">
        <x:v>1</x:v>
      </x:c>
      <x:c r="K1133" s="1" t="str">
        <x:v>中证官方优先</x:v>
      </x:c>
    </x:row>
    <x:row r="1134" ht="25" customHeight="1">
      <x:c r="A1134" s="1" t="str">
        <x:v>sh000852</x:v>
      </x:c>
      <x:c r="B1134" s="1" t="str">
        <x:v>中证1000</x:v>
      </x:c>
      <x:c r="C1134" s="1" t="str">
        <x:v>2019-06</x:v>
      </x:c>
      <x:c r="D1134" s="1" t="str">
        <x:v>2019-05-31</x:v>
      </x:c>
      <x:c r="E1134" s="5" t="n">
        <x:v>5334.25</x:v>
      </x:c>
      <x:c r="F1134" s="6" t="str">
        <x:v>2019-06-28</x:v>
      </x:c>
      <x:c r="G1134" s="5" t="n">
        <x:v>5321.43</x:v>
      </x:c>
      <x:c r="H1134" s="7" t="n">
        <x:f>G1134/E1134-1</x:f>
        <x:v>-0.00240333692646566</x:v>
      </x:c>
      <x:c r="I1134" s="1" t="n">
        <x:v>1</x:v>
      </x:c>
      <x:c r="J1134" s="1" t="n">
        <x:v>1</x:v>
      </x:c>
      <x:c r="K1134" s="1" t="str">
        <x:v>中证官方优先</x:v>
      </x:c>
    </x:row>
    <x:row r="1135" ht="25" customHeight="1">
      <x:c r="A1135" s="1" t="str">
        <x:v>sh000852</x:v>
      </x:c>
      <x:c r="B1135" s="1" t="str">
        <x:v>中证1000</x:v>
      </x:c>
      <x:c r="C1135" s="1" t="str">
        <x:v>2019-07</x:v>
      </x:c>
      <x:c r="D1135" s="1" t="str">
        <x:v>2019-06-28</x:v>
      </x:c>
      <x:c r="E1135" s="5" t="n">
        <x:v>5321.43</x:v>
      </x:c>
      <x:c r="F1135" s="6" t="str">
        <x:v>2019-07-31</x:v>
      </x:c>
      <x:c r="G1135" s="5" t="n">
        <x:v>5200.09</x:v>
      </x:c>
      <x:c r="H1135" s="7" t="n">
        <x:f>G1135/E1135-1</x:f>
        <x:v>-0.022802141529626452</x:v>
      </x:c>
      <x:c r="I1135" s="1" t="n">
        <x:v>1</x:v>
      </x:c>
      <x:c r="J1135" s="1" t="n">
        <x:v>1</x:v>
      </x:c>
      <x:c r="K1135" s="1" t="str">
        <x:v>中证官方优先</x:v>
      </x:c>
    </x:row>
    <x:row r="1136" ht="25" customHeight="1">
      <x:c r="A1136" s="1" t="str">
        <x:v>sh000852</x:v>
      </x:c>
      <x:c r="B1136" s="1" t="str">
        <x:v>中证1000</x:v>
      </x:c>
      <x:c r="C1136" s="1" t="str">
        <x:v>2019-08</x:v>
      </x:c>
      <x:c r="D1136" s="1" t="str">
        <x:v>2019-07-31</x:v>
      </x:c>
      <x:c r="E1136" s="5" t="n">
        <x:v>5200.09</x:v>
      </x:c>
      <x:c r="F1136" s="6" t="str">
        <x:v>2019-08-30</x:v>
      </x:c>
      <x:c r="G1136" s="5" t="n">
        <x:v>5182.96</x:v>
      </x:c>
      <x:c r="H1136" s="7" t="n">
        <x:f>G1136/E1136-1</x:f>
        <x:v>-0.0032941737546849925</x:v>
      </x:c>
      <x:c r="I1136" s="1" t="n">
        <x:v>1</x:v>
      </x:c>
      <x:c r="J1136" s="1" t="n">
        <x:v>1</x:v>
      </x:c>
      <x:c r="K1136" s="1" t="str">
        <x:v>中证官方优先</x:v>
      </x:c>
    </x:row>
    <x:row r="1137" ht="25" customHeight="1">
      <x:c r="A1137" s="1" t="str">
        <x:v>sh000852</x:v>
      </x:c>
      <x:c r="B1137" s="1" t="str">
        <x:v>中证1000</x:v>
      </x:c>
      <x:c r="C1137" s="1" t="str">
        <x:v>2019-09</x:v>
      </x:c>
      <x:c r="D1137" s="1" t="str">
        <x:v>2019-08-30</x:v>
      </x:c>
      <x:c r="E1137" s="5" t="n">
        <x:v>5182.96</x:v>
      </x:c>
      <x:c r="F1137" s="6" t="str">
        <x:v>2019-09-30</x:v>
      </x:c>
      <x:c r="G1137" s="5" t="n">
        <x:v>5232.39</x:v>
      </x:c>
      <x:c r="H1137" s="7" t="n">
        <x:f>G1137/E1137-1</x:f>
        <x:v>0.009537021316004868</x:v>
      </x:c>
      <x:c r="I1137" s="1" t="n">
        <x:v>1</x:v>
      </x:c>
      <x:c r="J1137" s="1" t="n">
        <x:v>1</x:v>
      </x:c>
      <x:c r="K1137" s="1" t="str">
        <x:v>中证官方优先</x:v>
      </x:c>
    </x:row>
    <x:row r="1138" ht="25" customHeight="1">
      <x:c r="A1138" s="1" t="str">
        <x:v>sh000852</x:v>
      </x:c>
      <x:c r="B1138" s="1" t="str">
        <x:v>中证1000</x:v>
      </x:c>
      <x:c r="C1138" s="1" t="str">
        <x:v>2019-10</x:v>
      </x:c>
      <x:c r="D1138" s="1" t="str">
        <x:v>2019-09-30</x:v>
      </x:c>
      <x:c r="E1138" s="5" t="n">
        <x:v>5232.39</x:v>
      </x:c>
      <x:c r="F1138" s="6" t="str">
        <x:v>2019-10-31</x:v>
      </x:c>
      <x:c r="G1138" s="5" t="n">
        <x:v>5253.88</x:v>
      </x:c>
      <x:c r="H1138" s="7" t="n">
        <x:f>G1138/E1138-1</x:f>
        <x:v>0.004107109752904403</x:v>
      </x:c>
      <x:c r="I1138" s="1" t="n">
        <x:v>1</x:v>
      </x:c>
      <x:c r="J1138" s="1" t="n">
        <x:v>1</x:v>
      </x:c>
      <x:c r="K1138" s="1" t="str">
        <x:v>中证官方优先</x:v>
      </x:c>
    </x:row>
    <x:row r="1139" ht="25" customHeight="1">
      <x:c r="A1139" s="1" t="str">
        <x:v>sh000852</x:v>
      </x:c>
      <x:c r="B1139" s="1" t="str">
        <x:v>中证1000</x:v>
      </x:c>
      <x:c r="C1139" s="1" t="str">
        <x:v>2019-11</x:v>
      </x:c>
      <x:c r="D1139" s="1" t="str">
        <x:v>2019-10-31</x:v>
      </x:c>
      <x:c r="E1139" s="5" t="n">
        <x:v>5253.88</x:v>
      </x:c>
      <x:c r="F1139" s="6" t="str">
        <x:v>2019-11-29</x:v>
      </x:c>
      <x:c r="G1139" s="5" t="n">
        <x:v>5126.61</x:v>
      </x:c>
      <x:c r="H1139" s="7" t="n">
        <x:f>G1139/E1139-1</x:f>
        <x:v>-0.024224002070850625</x:v>
      </x:c>
      <x:c r="I1139" s="1" t="n">
        <x:v>1</x:v>
      </x:c>
      <x:c r="J1139" s="1" t="n">
        <x:v>1</x:v>
      </x:c>
      <x:c r="K1139" s="1" t="str">
        <x:v>中证官方优先</x:v>
      </x:c>
    </x:row>
    <x:row r="1140" ht="25" customHeight="1">
      <x:c r="A1140" s="1" t="str">
        <x:v>sh000852</x:v>
      </x:c>
      <x:c r="B1140" s="1" t="str">
        <x:v>中证1000</x:v>
      </x:c>
      <x:c r="C1140" s="1" t="str">
        <x:v>2019-12</x:v>
      </x:c>
      <x:c r="D1140" s="1" t="str">
        <x:v>2019-11-29</x:v>
      </x:c>
      <x:c r="E1140" s="5" t="n">
        <x:v>5126.61</x:v>
      </x:c>
      <x:c r="F1140" s="6" t="str">
        <x:v>2019-12-31</x:v>
      </x:c>
      <x:c r="G1140" s="5" t="n">
        <x:v>5567.03</x:v>
      </x:c>
      <x:c r="H1140" s="7" t="n">
        <x:f>G1140/E1140-1</x:f>
        <x:v>0.08590862187683479</x:v>
      </x:c>
      <x:c r="I1140" s="1" t="n">
        <x:v>1</x:v>
      </x:c>
      <x:c r="J1140" s="1" t="n">
        <x:v>1</x:v>
      </x:c>
      <x:c r="K1140" s="1" t="str">
        <x:v>中证官方优先</x:v>
      </x:c>
    </x:row>
    <x:row r="1141" ht="25" customHeight="1">
      <x:c r="A1141" s="1" t="str">
        <x:v>sh000852</x:v>
      </x:c>
      <x:c r="B1141" s="1" t="str">
        <x:v>中证1000</x:v>
      </x:c>
      <x:c r="C1141" s="1" t="str">
        <x:v>2020-01</x:v>
      </x:c>
      <x:c r="D1141" s="1" t="str">
        <x:v>2019-12-31</x:v>
      </x:c>
      <x:c r="E1141" s="5" t="n">
        <x:v>5567.03</x:v>
      </x:c>
      <x:c r="F1141" s="6" t="str">
        <x:v>2020-01-23</x:v>
      </x:c>
      <x:c r="G1141" s="5" t="n">
        <x:v>5699.01</x:v>
      </x:c>
      <x:c r="H1141" s="7" t="n">
        <x:f>G1141/E1141-1</x:f>
        <x:v>0.023707434664444138</x:v>
      </x:c>
      <x:c r="I1141" s="1" t="n">
        <x:v>1</x:v>
      </x:c>
      <x:c r="J1141" s="1" t="n">
        <x:v>1</x:v>
      </x:c>
      <x:c r="K1141" s="1" t="str">
        <x:v>中证官方优先</x:v>
      </x:c>
    </x:row>
    <x:row r="1142" ht="25" customHeight="1">
      <x:c r="A1142" s="1" t="str">
        <x:v>sh000852</x:v>
      </x:c>
      <x:c r="B1142" s="1" t="str">
        <x:v>中证1000</x:v>
      </x:c>
      <x:c r="C1142" s="1" t="str">
        <x:v>2020-02</x:v>
      </x:c>
      <x:c r="D1142" s="1" t="str">
        <x:v>2020-01-23</x:v>
      </x:c>
      <x:c r="E1142" s="5" t="n">
        <x:v>5699.01</x:v>
      </x:c>
      <x:c r="F1142" s="6" t="str">
        <x:v>2020-02-28</x:v>
      </x:c>
      <x:c r="G1142" s="5" t="n">
        <x:v>5870.97</x:v>
      </x:c>
      <x:c r="H1142" s="7" t="n">
        <x:f>G1142/E1142-1</x:f>
        <x:v>0.030173661741249802</x:v>
      </x:c>
      <x:c r="I1142" s="1" t="n">
        <x:v>1</x:v>
      </x:c>
      <x:c r="J1142" s="1" t="n">
        <x:v>1</x:v>
      </x:c>
      <x:c r="K1142" s="1" t="str">
        <x:v>中证官方优先</x:v>
      </x:c>
    </x:row>
    <x:row r="1143" ht="25" customHeight="1">
      <x:c r="A1143" s="1" t="str">
        <x:v>sh000852</x:v>
      </x:c>
      <x:c r="B1143" s="1" t="str">
        <x:v>中证1000</x:v>
      </x:c>
      <x:c r="C1143" s="1" t="str">
        <x:v>2020-03</x:v>
      </x:c>
      <x:c r="D1143" s="1" t="str">
        <x:v>2020-02-28</x:v>
      </x:c>
      <x:c r="E1143" s="5" t="n">
        <x:v>5870.97</x:v>
      </x:c>
      <x:c r="F1143" s="6" t="str">
        <x:v>2020-03-31</x:v>
      </x:c>
      <x:c r="G1143" s="5" t="n">
        <x:v>5427.13</x:v>
      </x:c>
      <x:c r="H1143" s="7" t="n">
        <x:f>G1143/E1143-1</x:f>
        <x:v>-0.07559909180254709</x:v>
      </x:c>
      <x:c r="I1143" s="1" t="n">
        <x:v>1</x:v>
      </x:c>
      <x:c r="J1143" s="1" t="n">
        <x:v>1</x:v>
      </x:c>
      <x:c r="K1143" s="1" t="str">
        <x:v>中证官方优先</x:v>
      </x:c>
    </x:row>
    <x:row r="1144" ht="25" customHeight="1">
      <x:c r="A1144" s="1" t="str">
        <x:v>sh000852</x:v>
      </x:c>
      <x:c r="B1144" s="1" t="str">
        <x:v>中证1000</x:v>
      </x:c>
      <x:c r="C1144" s="1" t="str">
        <x:v>2020-04</x:v>
      </x:c>
      <x:c r="D1144" s="1" t="str">
        <x:v>2020-03-31</x:v>
      </x:c>
      <x:c r="E1144" s="5" t="n">
        <x:v>5427.13</x:v>
      </x:c>
      <x:c r="F1144" s="6" t="str">
        <x:v>2020-04-30</x:v>
      </x:c>
      <x:c r="G1144" s="5" t="n">
        <x:v>5678.17</x:v>
      </x:c>
      <x:c r="H1144" s="7" t="n">
        <x:f>G1144/E1144-1</x:f>
        <x:v>0.0462564928424416</x:v>
      </x:c>
      <x:c r="I1144" s="1" t="n">
        <x:v>1</x:v>
      </x:c>
      <x:c r="J1144" s="1" t="n">
        <x:v>1</x:v>
      </x:c>
      <x:c r="K1144" s="1" t="str">
        <x:v>中证官方优先</x:v>
      </x:c>
    </x:row>
    <x:row r="1145" ht="25" customHeight="1">
      <x:c r="A1145" s="1" t="str">
        <x:v>sh000852</x:v>
      </x:c>
      <x:c r="B1145" s="1" t="str">
        <x:v>中证1000</x:v>
      </x:c>
      <x:c r="C1145" s="1" t="str">
        <x:v>2020-05</x:v>
      </x:c>
      <x:c r="D1145" s="1" t="str">
        <x:v>2020-04-30</x:v>
      </x:c>
      <x:c r="E1145" s="5" t="n">
        <x:v>5678.17</x:v>
      </x:c>
      <x:c r="F1145" s="6" t="str">
        <x:v>2020-05-29</x:v>
      </x:c>
      <x:c r="G1145" s="5" t="n">
        <x:v>5816.4</x:v>
      </x:c>
      <x:c r="H1145" s="7" t="n">
        <x:f>G1145/E1145-1</x:f>
        <x:v>0.024344110866705293</x:v>
      </x:c>
      <x:c r="I1145" s="1" t="n">
        <x:v>1</x:v>
      </x:c>
      <x:c r="J1145" s="1" t="n">
        <x:v>1</x:v>
      </x:c>
      <x:c r="K1145" s="1" t="str">
        <x:v>中证官方优先</x:v>
      </x:c>
    </x:row>
    <x:row r="1146" ht="25" customHeight="1">
      <x:c r="A1146" s="1" t="str">
        <x:v>sh000852</x:v>
      </x:c>
      <x:c r="B1146" s="1" t="str">
        <x:v>中证1000</x:v>
      </x:c>
      <x:c r="C1146" s="1" t="str">
        <x:v>2020-06</x:v>
      </x:c>
      <x:c r="D1146" s="1" t="str">
        <x:v>2020-05-29</x:v>
      </x:c>
      <x:c r="E1146" s="5" t="n">
        <x:v>5816.4</x:v>
      </x:c>
      <x:c r="F1146" s="6" t="str">
        <x:v>2020-06-30</x:v>
      </x:c>
      <x:c r="G1146" s="5" t="n">
        <x:v>6319.56</x:v>
      </x:c>
      <x:c r="H1146" s="7" t="n">
        <x:f>G1146/E1146-1</x:f>
        <x:v>0.08650711780482778</x:v>
      </x:c>
      <x:c r="I1146" s="1" t="n">
        <x:v>1</x:v>
      </x:c>
      <x:c r="J1146" s="1" t="n">
        <x:v>1</x:v>
      </x:c>
      <x:c r="K1146" s="1" t="str">
        <x:v>中证官方优先</x:v>
      </x:c>
    </x:row>
    <x:row r="1147" ht="25" customHeight="1">
      <x:c r="A1147" s="1" t="str">
        <x:v>sh000852</x:v>
      </x:c>
      <x:c r="B1147" s="1" t="str">
        <x:v>中证1000</x:v>
      </x:c>
      <x:c r="C1147" s="1" t="str">
        <x:v>2020-07</x:v>
      </x:c>
      <x:c r="D1147" s="1" t="str">
        <x:v>2020-06-30</x:v>
      </x:c>
      <x:c r="E1147" s="5" t="n">
        <x:v>6319.56</x:v>
      </x:c>
      <x:c r="F1147" s="6" t="str">
        <x:v>2020-07-31</x:v>
      </x:c>
      <x:c r="G1147" s="5" t="n">
        <x:v>7141.59</x:v>
      </x:c>
      <x:c r="H1147" s="7" t="n">
        <x:f>G1147/E1147-1</x:f>
        <x:v>0.13007709397489697</x:v>
      </x:c>
      <x:c r="I1147" s="1" t="n">
        <x:v>1</x:v>
      </x:c>
      <x:c r="J1147" s="1" t="n">
        <x:v>1</x:v>
      </x:c>
      <x:c r="K1147" s="1" t="str">
        <x:v>中证官方优先</x:v>
      </x:c>
    </x:row>
    <x:row r="1148" ht="25" customHeight="1">
      <x:c r="A1148" s="1" t="str">
        <x:v>sh000852</x:v>
      </x:c>
      <x:c r="B1148" s="1" t="str">
        <x:v>中证1000</x:v>
      </x:c>
      <x:c r="C1148" s="1" t="str">
        <x:v>2020-08</x:v>
      </x:c>
      <x:c r="D1148" s="1" t="str">
        <x:v>2020-07-31</x:v>
      </x:c>
      <x:c r="E1148" s="5" t="n">
        <x:v>7141.59</x:v>
      </x:c>
      <x:c r="F1148" s="6" t="str">
        <x:v>2020-08-31</x:v>
      </x:c>
      <x:c r="G1148" s="5" t="n">
        <x:v>7224.05</x:v>
      </x:c>
      <x:c r="H1148" s="7" t="n">
        <x:f>G1148/E1148-1</x:f>
        <x:v>0.011546448339935456</x:v>
      </x:c>
      <x:c r="I1148" s="1" t="n">
        <x:v>1</x:v>
      </x:c>
      <x:c r="J1148" s="1" t="n">
        <x:v>1</x:v>
      </x:c>
      <x:c r="K1148" s="1" t="str">
        <x:v>中证官方优先</x:v>
      </x:c>
    </x:row>
    <x:row r="1149" ht="25" customHeight="1">
      <x:c r="A1149" s="1" t="str">
        <x:v>sh000852</x:v>
      </x:c>
      <x:c r="B1149" s="1" t="str">
        <x:v>中证1000</x:v>
      </x:c>
      <x:c r="C1149" s="1" t="str">
        <x:v>2020-09</x:v>
      </x:c>
      <x:c r="D1149" s="1" t="str">
        <x:v>2020-08-31</x:v>
      </x:c>
      <x:c r="E1149" s="5" t="n">
        <x:v>7224.05</x:v>
      </x:c>
      <x:c r="F1149" s="6" t="str">
        <x:v>2020-09-30</x:v>
      </x:c>
      <x:c r="G1149" s="5" t="n">
        <x:v>6617.16</x:v>
      </x:c>
      <x:c r="H1149" s="7" t="n">
        <x:f>G1149/E1149-1</x:f>
        <x:v>-0.08400966217011241</x:v>
      </x:c>
      <x:c r="I1149" s="1" t="n">
        <x:v>1</x:v>
      </x:c>
      <x:c r="J1149" s="1" t="n">
        <x:v>1</x:v>
      </x:c>
      <x:c r="K1149" s="1" t="str">
        <x:v>中证官方优先</x:v>
      </x:c>
    </x:row>
    <x:row r="1150" ht="25" customHeight="1">
      <x:c r="A1150" s="1" t="str">
        <x:v>sh000852</x:v>
      </x:c>
      <x:c r="B1150" s="1" t="str">
        <x:v>中证1000</x:v>
      </x:c>
      <x:c r="C1150" s="1" t="str">
        <x:v>2020-10</x:v>
      </x:c>
      <x:c r="D1150" s="1" t="str">
        <x:v>2020-09-30</x:v>
      </x:c>
      <x:c r="E1150" s="5" t="n">
        <x:v>6617.16</x:v>
      </x:c>
      <x:c r="F1150" s="6" t="str">
        <x:v>2020-10-30</x:v>
      </x:c>
      <x:c r="G1150" s="5" t="n">
        <x:v>6511.16</x:v>
      </x:c>
      <x:c r="H1150" s="7" t="n">
        <x:f>G1150/E1150-1</x:f>
        <x:v>-0.01601895677299625</x:v>
      </x:c>
      <x:c r="I1150" s="1" t="n">
        <x:v>1</x:v>
      </x:c>
      <x:c r="J1150" s="1" t="n">
        <x:v>1</x:v>
      </x:c>
      <x:c r="K1150" s="1" t="str">
        <x:v>中证官方优先</x:v>
      </x:c>
    </x:row>
    <x:row r="1151" ht="25" customHeight="1">
      <x:c r="A1151" s="1" t="str">
        <x:v>sh000852</x:v>
      </x:c>
      <x:c r="B1151" s="1" t="str">
        <x:v>中证1000</x:v>
      </x:c>
      <x:c r="C1151" s="1" t="str">
        <x:v>2020-11</x:v>
      </x:c>
      <x:c r="D1151" s="1" t="str">
        <x:v>2020-10-30</x:v>
      </x:c>
      <x:c r="E1151" s="5" t="n">
        <x:v>6511.16</x:v>
      </x:c>
      <x:c r="F1151" s="6" t="str">
        <x:v>2020-11-30</x:v>
      </x:c>
      <x:c r="G1151" s="5" t="n">
        <x:v>6622.36</x:v>
      </x:c>
      <x:c r="H1151" s="7" t="n">
        <x:f>G1151/E1151-1</x:f>
        <x:v>0.01707837006002011</x:v>
      </x:c>
      <x:c r="I1151" s="1" t="n">
        <x:v>1</x:v>
      </x:c>
      <x:c r="J1151" s="1" t="n">
        <x:v>1</x:v>
      </x:c>
      <x:c r="K1151" s="1" t="str">
        <x:v>中证官方优先</x:v>
      </x:c>
    </x:row>
    <x:row r="1152" ht="25" customHeight="1">
      <x:c r="A1152" s="1" t="str">
        <x:v>sh000852</x:v>
      </x:c>
      <x:c r="B1152" s="1" t="str">
        <x:v>中证1000</x:v>
      </x:c>
      <x:c r="C1152" s="1" t="str">
        <x:v>2020-12</x:v>
      </x:c>
      <x:c r="D1152" s="1" t="str">
        <x:v>2020-11-30</x:v>
      </x:c>
      <x:c r="E1152" s="5" t="n">
        <x:v>6622.36</x:v>
      </x:c>
      <x:c r="F1152" s="6" t="str">
        <x:v>2020-12-31</x:v>
      </x:c>
      <x:c r="G1152" s="5" t="n">
        <x:v>6646.47</x:v>
      </x:c>
      <x:c r="H1152" s="7" t="n">
        <x:f>G1152/E1152-1</x:f>
        <x:v>0.0036406960660551047</x:v>
      </x:c>
      <x:c r="I1152" s="1" t="n">
        <x:v>1</x:v>
      </x:c>
      <x:c r="J1152" s="1" t="n">
        <x:v>1</x:v>
      </x:c>
      <x:c r="K1152" s="1" t="str">
        <x:v>中证官方优先</x:v>
      </x:c>
    </x:row>
    <x:row r="1153" ht="25" customHeight="1">
      <x:c r="A1153" s="1" t="str">
        <x:v>sh000852</x:v>
      </x:c>
      <x:c r="B1153" s="1" t="str">
        <x:v>中证1000</x:v>
      </x:c>
      <x:c r="C1153" s="1" t="str">
        <x:v>2021-01</x:v>
      </x:c>
      <x:c r="D1153" s="1" t="str">
        <x:v>2020-12-31</x:v>
      </x:c>
      <x:c r="E1153" s="5" t="n">
        <x:v>6646.47</x:v>
      </x:c>
      <x:c r="F1153" s="6" t="str">
        <x:v>2021-01-29</x:v>
      </x:c>
      <x:c r="G1153" s="5" t="n">
        <x:v>6304.12</x:v>
      </x:c>
      <x:c r="H1153" s="7" t="n">
        <x:f>G1153/E1153-1</x:f>
        <x:v>-0.051508545137494144</x:v>
      </x:c>
      <x:c r="I1153" s="1" t="n">
        <x:v>1</x:v>
      </x:c>
      <x:c r="J1153" s="1" t="n">
        <x:v>1</x:v>
      </x:c>
      <x:c r="K1153" s="1" t="str">
        <x:v>中证官方优先</x:v>
      </x:c>
    </x:row>
    <x:row r="1154" ht="25" customHeight="1">
      <x:c r="A1154" s="1" t="str">
        <x:v>sh000852</x:v>
      </x:c>
      <x:c r="B1154" s="1" t="str">
        <x:v>中证1000</x:v>
      </x:c>
      <x:c r="C1154" s="1" t="str">
        <x:v>2021-02</x:v>
      </x:c>
      <x:c r="D1154" s="1" t="str">
        <x:v>2021-01-29</x:v>
      </x:c>
      <x:c r="E1154" s="5" t="n">
        <x:v>6304.12</x:v>
      </x:c>
      <x:c r="F1154" s="6" t="str">
        <x:v>2021-02-26</x:v>
      </x:c>
      <x:c r="G1154" s="5" t="n">
        <x:v>6325.4</x:v>
      </x:c>
      <x:c r="H1154" s="7" t="n">
        <x:f>G1154/E1154-1</x:f>
        <x:v>0.003375570261987315</x:v>
      </x:c>
      <x:c r="I1154" s="1" t="n">
        <x:v>1</x:v>
      </x:c>
      <x:c r="J1154" s="1" t="n">
        <x:v>1</x:v>
      </x:c>
      <x:c r="K1154" s="1" t="str">
        <x:v>中证官方优先</x:v>
      </x:c>
    </x:row>
    <x:row r="1155" ht="25" customHeight="1">
      <x:c r="A1155" s="1" t="str">
        <x:v>sh000852</x:v>
      </x:c>
      <x:c r="B1155" s="1" t="str">
        <x:v>中证1000</x:v>
      </x:c>
      <x:c r="C1155" s="1" t="str">
        <x:v>2021-03</x:v>
      </x:c>
      <x:c r="D1155" s="1" t="str">
        <x:v>2021-02-26</x:v>
      </x:c>
      <x:c r="E1155" s="5" t="n">
        <x:v>6325.4</x:v>
      </x:c>
      <x:c r="F1155" s="6" t="str">
        <x:v>2021-03-31</x:v>
      </x:c>
      <x:c r="G1155" s="5" t="n">
        <x:v>6293.39</x:v>
      </x:c>
      <x:c r="H1155" s="7" t="n">
        <x:f>G1155/E1155-1</x:f>
        <x:v>-0.00506054953046442</x:v>
      </x:c>
      <x:c r="I1155" s="1" t="n">
        <x:v>1</x:v>
      </x:c>
      <x:c r="J1155" s="1" t="n">
        <x:v>1</x:v>
      </x:c>
      <x:c r="K1155" s="1" t="str">
        <x:v>中证官方优先</x:v>
      </x:c>
    </x:row>
    <x:row r="1156" ht="25" customHeight="1">
      <x:c r="A1156" s="1" t="str">
        <x:v>sh000852</x:v>
      </x:c>
      <x:c r="B1156" s="1" t="str">
        <x:v>中证1000</x:v>
      </x:c>
      <x:c r="C1156" s="1" t="str">
        <x:v>2021-04</x:v>
      </x:c>
      <x:c r="D1156" s="1" t="str">
        <x:v>2021-03-31</x:v>
      </x:c>
      <x:c r="E1156" s="5" t="n">
        <x:v>6293.39</x:v>
      </x:c>
      <x:c r="F1156" s="6" t="str">
        <x:v>2021-04-30</x:v>
      </x:c>
      <x:c r="G1156" s="5" t="n">
        <x:v>6382.14</x:v>
      </x:c>
      <x:c r="H1156" s="7" t="n">
        <x:f>G1156/E1156-1</x:f>
        <x:v>0.014102097597638252</x:v>
      </x:c>
      <x:c r="I1156" s="1" t="n">
        <x:v>1</x:v>
      </x:c>
      <x:c r="J1156" s="1" t="n">
        <x:v>1</x:v>
      </x:c>
      <x:c r="K1156" s="1" t="str">
        <x:v>中证官方优先</x:v>
      </x:c>
    </x:row>
    <x:row r="1157" ht="25" customHeight="1">
      <x:c r="A1157" s="1" t="str">
        <x:v>sh000852</x:v>
      </x:c>
      <x:c r="B1157" s="1" t="str">
        <x:v>中证1000</x:v>
      </x:c>
      <x:c r="C1157" s="1" t="str">
        <x:v>2021-05</x:v>
      </x:c>
      <x:c r="D1157" s="1" t="str">
        <x:v>2021-04-30</x:v>
      </x:c>
      <x:c r="E1157" s="5" t="n">
        <x:v>6382.14</x:v>
      </x:c>
      <x:c r="F1157" s="6" t="str">
        <x:v>2021-05-31</x:v>
      </x:c>
      <x:c r="G1157" s="5" t="n">
        <x:v>6814.36</x:v>
      </x:c>
      <x:c r="H1157" s="7" t="n">
        <x:f>G1157/E1157-1</x:f>
        <x:v>0.0677233655168954</x:v>
      </x:c>
      <x:c r="I1157" s="1" t="n">
        <x:v>1</x:v>
      </x:c>
      <x:c r="J1157" s="1" t="n">
        <x:v>1</x:v>
      </x:c>
      <x:c r="K1157" s="1" t="str">
        <x:v>中证官方优先</x:v>
      </x:c>
    </x:row>
    <x:row r="1158" ht="25" customHeight="1">
      <x:c r="A1158" s="1" t="str">
        <x:v>sh000852</x:v>
      </x:c>
      <x:c r="B1158" s="1" t="str">
        <x:v>中证1000</x:v>
      </x:c>
      <x:c r="C1158" s="1" t="str">
        <x:v>2021-06</x:v>
      </x:c>
      <x:c r="D1158" s="1" t="str">
        <x:v>2021-05-31</x:v>
      </x:c>
      <x:c r="E1158" s="5" t="n">
        <x:v>6814.36</x:v>
      </x:c>
      <x:c r="F1158" s="6" t="str">
        <x:v>2021-06-30</x:v>
      </x:c>
      <x:c r="G1158" s="5" t="n">
        <x:v>7083.7</x:v>
      </x:c>
      <x:c r="H1158" s="7" t="n">
        <x:f>G1158/E1158-1</x:f>
        <x:v>0.03952535527914591</x:v>
      </x:c>
      <x:c r="I1158" s="1" t="n">
        <x:v>1</x:v>
      </x:c>
      <x:c r="J1158" s="1" t="n">
        <x:v>1</x:v>
      </x:c>
      <x:c r="K1158" s="1" t="str">
        <x:v>中证官方优先</x:v>
      </x:c>
    </x:row>
    <x:row r="1159" ht="25" customHeight="1">
      <x:c r="A1159" s="1" t="str">
        <x:v>sh000852</x:v>
      </x:c>
      <x:c r="B1159" s="1" t="str">
        <x:v>中证1000</x:v>
      </x:c>
      <x:c r="C1159" s="1" t="str">
        <x:v>2021-07</x:v>
      </x:c>
      <x:c r="D1159" s="1" t="str">
        <x:v>2021-06-30</x:v>
      </x:c>
      <x:c r="E1159" s="5" t="n">
        <x:v>7083.7</x:v>
      </x:c>
      <x:c r="F1159" s="6" t="str">
        <x:v>2021-07-30</x:v>
      </x:c>
      <x:c r="G1159" s="5" t="n">
        <x:v>7262.38</x:v>
      </x:c>
      <x:c r="H1159" s="7" t="n">
        <x:f>G1159/E1159-1</x:f>
        <x:v>0.02522410604627523</x:v>
      </x:c>
      <x:c r="I1159" s="1" t="n">
        <x:v>1</x:v>
      </x:c>
      <x:c r="J1159" s="1" t="n">
        <x:v>1</x:v>
      </x:c>
      <x:c r="K1159" s="1" t="str">
        <x:v>中证官方优先</x:v>
      </x:c>
    </x:row>
    <x:row r="1160" ht="25" customHeight="1">
      <x:c r="A1160" s="1" t="str">
        <x:v>sh000852</x:v>
      </x:c>
      <x:c r="B1160" s="1" t="str">
        <x:v>中证1000</x:v>
      </x:c>
      <x:c r="C1160" s="1" t="str">
        <x:v>2021-08</x:v>
      </x:c>
      <x:c r="D1160" s="1" t="str">
        <x:v>2021-07-30</x:v>
      </x:c>
      <x:c r="E1160" s="5" t="n">
        <x:v>7262.38</x:v>
      </x:c>
      <x:c r="F1160" s="6" t="str">
        <x:v>2021-08-31</x:v>
      </x:c>
      <x:c r="G1160" s="5" t="n">
        <x:v>7728.42</x:v>
      </x:c>
      <x:c r="H1160" s="7" t="n">
        <x:f>G1160/E1160-1</x:f>
        <x:v>0.06417180042906034</x:v>
      </x:c>
      <x:c r="I1160" s="1" t="n">
        <x:v>1</x:v>
      </x:c>
      <x:c r="J1160" s="1" t="n">
        <x:v>1</x:v>
      </x:c>
      <x:c r="K1160" s="1" t="str">
        <x:v>中证官方优先</x:v>
      </x:c>
    </x:row>
    <x:row r="1161" ht="25" customHeight="1">
      <x:c r="A1161" s="1" t="str">
        <x:v>sh000852</x:v>
      </x:c>
      <x:c r="B1161" s="1" t="str">
        <x:v>中证1000</x:v>
      </x:c>
      <x:c r="C1161" s="1" t="str">
        <x:v>2021-09</x:v>
      </x:c>
      <x:c r="D1161" s="1" t="str">
        <x:v>2021-08-31</x:v>
      </x:c>
      <x:c r="E1161" s="5" t="n">
        <x:v>7728.42</x:v>
      </x:c>
      <x:c r="F1161" s="6" t="str">
        <x:v>2021-09-30</x:v>
      </x:c>
      <x:c r="G1161" s="5" t="n">
        <x:v>7405.46</x:v>
      </x:c>
      <x:c r="H1161" s="7" t="n">
        <x:f>G1161/E1161-1</x:f>
        <x:v>-0.04178861914854526</x:v>
      </x:c>
      <x:c r="I1161" s="1" t="n">
        <x:v>1</x:v>
      </x:c>
      <x:c r="J1161" s="1" t="n">
        <x:v>1</x:v>
      </x:c>
      <x:c r="K1161" s="1" t="str">
        <x:v>中证官方优先</x:v>
      </x:c>
    </x:row>
    <x:row r="1162" ht="25" customHeight="1">
      <x:c r="A1162" s="1" t="str">
        <x:v>sh000852</x:v>
      </x:c>
      <x:c r="B1162" s="1" t="str">
        <x:v>中证1000</x:v>
      </x:c>
      <x:c r="C1162" s="1" t="str">
        <x:v>2021-10</x:v>
      </x:c>
      <x:c r="D1162" s="1" t="str">
        <x:v>2021-09-30</x:v>
      </x:c>
      <x:c r="E1162" s="5" t="n">
        <x:v>7405.46</x:v>
      </x:c>
      <x:c r="F1162" s="6" t="str">
        <x:v>2021-10-29</x:v>
      </x:c>
      <x:c r="G1162" s="5" t="n">
        <x:v>7385.3</x:v>
      </x:c>
      <x:c r="H1162" s="7" t="n">
        <x:f>G1162/E1162-1</x:f>
        <x:v>-0.0027223156967967066</x:v>
      </x:c>
      <x:c r="I1162" s="1" t="n">
        <x:v>1</x:v>
      </x:c>
      <x:c r="J1162" s="1" t="n">
        <x:v>1</x:v>
      </x:c>
      <x:c r="K1162" s="1" t="str">
        <x:v>中证官方优先</x:v>
      </x:c>
    </x:row>
    <x:row r="1163" ht="25" customHeight="1">
      <x:c r="A1163" s="1" t="str">
        <x:v>sh000852</x:v>
      </x:c>
      <x:c r="B1163" s="1" t="str">
        <x:v>中证1000</x:v>
      </x:c>
      <x:c r="C1163" s="1" t="str">
        <x:v>2021-11</x:v>
      </x:c>
      <x:c r="D1163" s="1" t="str">
        <x:v>2021-10-29</x:v>
      </x:c>
      <x:c r="E1163" s="5" t="n">
        <x:v>7385.3</x:v>
      </x:c>
      <x:c r="F1163" s="6" t="str">
        <x:v>2021-11-30</x:v>
      </x:c>
      <x:c r="G1163" s="5" t="n">
        <x:v>8054.29</x:v>
      </x:c>
      <x:c r="H1163" s="7" t="n">
        <x:f>G1163/E1163-1</x:f>
        <x:v>0.09058399794185745</x:v>
      </x:c>
      <x:c r="I1163" s="1" t="n">
        <x:v>1</x:v>
      </x:c>
      <x:c r="J1163" s="1" t="n">
        <x:v>1</x:v>
      </x:c>
      <x:c r="K1163" s="1" t="str">
        <x:v>中证官方优先</x:v>
      </x:c>
    </x:row>
    <x:row r="1164" ht="25" customHeight="1">
      <x:c r="A1164" s="1" t="str">
        <x:v>sh000852</x:v>
      </x:c>
      <x:c r="B1164" s="1" t="str">
        <x:v>中证1000</x:v>
      </x:c>
      <x:c r="C1164" s="1" t="str">
        <x:v>2021-12</x:v>
      </x:c>
      <x:c r="D1164" s="1" t="str">
        <x:v>2021-11-30</x:v>
      </x:c>
      <x:c r="E1164" s="5" t="n">
        <x:v>8054.29</x:v>
      </x:c>
      <x:c r="F1164" s="6" t="str">
        <x:v>2021-12-31</x:v>
      </x:c>
      <x:c r="G1164" s="5" t="n">
        <x:v>8010.32</x:v>
      </x:c>
      <x:c r="H1164" s="7" t="n">
        <x:f>G1164/E1164-1</x:f>
        <x:v>-0.005459202487121839</x:v>
      </x:c>
      <x:c r="I1164" s="1" t="n">
        <x:v>1</x:v>
      </x:c>
      <x:c r="J1164" s="1" t="n">
        <x:v>1</x:v>
      </x:c>
      <x:c r="K1164" s="1" t="str">
        <x:v>中证官方优先</x:v>
      </x:c>
    </x:row>
    <x:row r="1165" ht="25" customHeight="1">
      <x:c r="A1165" s="1" t="str">
        <x:v>sh000852</x:v>
      </x:c>
      <x:c r="B1165" s="1" t="str">
        <x:v>中证1000</x:v>
      </x:c>
      <x:c r="C1165" s="1" t="str">
        <x:v>2022-01</x:v>
      </x:c>
      <x:c r="D1165" s="1" t="str">
        <x:v>2021-12-31</x:v>
      </x:c>
      <x:c r="E1165" s="5" t="n">
        <x:v>8010.32</x:v>
      </x:c>
      <x:c r="F1165" s="6" t="str">
        <x:v>2022-01-28</x:v>
      </x:c>
      <x:c r="G1165" s="5" t="n">
        <x:v>6973.01</x:v>
      </x:c>
      <x:c r="H1165" s="7" t="n">
        <x:f>G1165/E1165-1</x:f>
        <x:v>-0.12949669925795715</x:v>
      </x:c>
      <x:c r="I1165" s="1" t="n">
        <x:v>1</x:v>
      </x:c>
      <x:c r="J1165" s="1" t="n">
        <x:v>1</x:v>
      </x:c>
      <x:c r="K1165" s="1" t="str">
        <x:v>中证官方优先</x:v>
      </x:c>
    </x:row>
    <x:row r="1166" ht="25" customHeight="1">
      <x:c r="A1166" s="1" t="str">
        <x:v>sh000852</x:v>
      </x:c>
      <x:c r="B1166" s="1" t="str">
        <x:v>中证1000</x:v>
      </x:c>
      <x:c r="C1166" s="1" t="str">
        <x:v>2022-02</x:v>
      </x:c>
      <x:c r="D1166" s="1" t="str">
        <x:v>2022-01-28</x:v>
      </x:c>
      <x:c r="E1166" s="5" t="n">
        <x:v>6973.01</x:v>
      </x:c>
      <x:c r="F1166" s="6" t="str">
        <x:v>2022-02-28</x:v>
      </x:c>
      <x:c r="G1166" s="5" t="n">
        <x:v>7419.83</x:v>
      </x:c>
      <x:c r="H1166" s="7" t="n">
        <x:f>G1166/E1166-1</x:f>
        <x:v>0.0640784969475161</x:v>
      </x:c>
      <x:c r="I1166" s="1" t="n">
        <x:v>1</x:v>
      </x:c>
      <x:c r="J1166" s="1" t="n">
        <x:v>1</x:v>
      </x:c>
      <x:c r="K1166" s="1" t="str">
        <x:v>中证官方优先</x:v>
      </x:c>
    </x:row>
    <x:row r="1167" ht="25" customHeight="1">
      <x:c r="A1167" s="1" t="str">
        <x:v>sh000852</x:v>
      </x:c>
      <x:c r="B1167" s="1" t="str">
        <x:v>中证1000</x:v>
      </x:c>
      <x:c r="C1167" s="1" t="str">
        <x:v>2022-03</x:v>
      </x:c>
      <x:c r="D1167" s="1" t="str">
        <x:v>2022-02-28</x:v>
      </x:c>
      <x:c r="E1167" s="5" t="n">
        <x:v>7419.83</x:v>
      </x:c>
      <x:c r="F1167" s="6" t="str">
        <x:v>2022-03-31</x:v>
      </x:c>
      <x:c r="G1167" s="5" t="n">
        <x:v>6772.07</x:v>
      </x:c>
      <x:c r="H1167" s="7" t="n">
        <x:f>G1167/E1167-1</x:f>
        <x:v>-0.08730119153673332</x:v>
      </x:c>
      <x:c r="I1167" s="1" t="n">
        <x:v>1</x:v>
      </x:c>
      <x:c r="J1167" s="1" t="n">
        <x:v>1</x:v>
      </x:c>
      <x:c r="K1167" s="1" t="str">
        <x:v>中证官方优先</x:v>
      </x:c>
    </x:row>
    <x:row r="1168" ht="25" customHeight="1">
      <x:c r="A1168" s="1" t="str">
        <x:v>sh000852</x:v>
      </x:c>
      <x:c r="B1168" s="1" t="str">
        <x:v>中证1000</x:v>
      </x:c>
      <x:c r="C1168" s="1" t="str">
        <x:v>2022-04</x:v>
      </x:c>
      <x:c r="D1168" s="1" t="str">
        <x:v>2022-03-31</x:v>
      </x:c>
      <x:c r="E1168" s="5" t="n">
        <x:v>6772.07</x:v>
      </x:c>
      <x:c r="F1168" s="6" t="str">
        <x:v>2022-04-29</x:v>
      </x:c>
      <x:c r="G1168" s="5" t="n">
        <x:v>5734.49</x:v>
      </x:c>
      <x:c r="H1168" s="7" t="n">
        <x:f>G1168/E1168-1</x:f>
        <x:v>-0.1532146005578796</x:v>
      </x:c>
      <x:c r="I1168" s="1" t="n">
        <x:v>1</x:v>
      </x:c>
      <x:c r="J1168" s="1" t="n">
        <x:v>1</x:v>
      </x:c>
      <x:c r="K1168" s="1" t="str">
        <x:v>中证官方优先</x:v>
      </x:c>
    </x:row>
    <x:row r="1169" ht="25" customHeight="1">
      <x:c r="A1169" s="1" t="str">
        <x:v>sh000852</x:v>
      </x:c>
      <x:c r="B1169" s="1" t="str">
        <x:v>中证1000</x:v>
      </x:c>
      <x:c r="C1169" s="1" t="str">
        <x:v>2022-05</x:v>
      </x:c>
      <x:c r="D1169" s="1" t="str">
        <x:v>2022-04-29</x:v>
      </x:c>
      <x:c r="E1169" s="5" t="n">
        <x:v>5734.49</x:v>
      </x:c>
      <x:c r="F1169" s="6" t="str">
        <x:v>2022-05-31</x:v>
      </x:c>
      <x:c r="G1169" s="5" t="n">
        <x:v>6353.35</x:v>
      </x:c>
      <x:c r="H1169" s="7" t="n">
        <x:f>G1169/E1169-1</x:f>
        <x:v>0.10791892565860262</x:v>
      </x:c>
      <x:c r="I1169" s="1" t="n">
        <x:v>1</x:v>
      </x:c>
      <x:c r="J1169" s="1" t="n">
        <x:v>1</x:v>
      </x:c>
      <x:c r="K1169" s="1" t="str">
        <x:v>中证官方优先</x:v>
      </x:c>
    </x:row>
    <x:row r="1170" ht="25" customHeight="1">
      <x:c r="A1170" s="1" t="str">
        <x:v>sh000852</x:v>
      </x:c>
      <x:c r="B1170" s="1" t="str">
        <x:v>中证1000</x:v>
      </x:c>
      <x:c r="C1170" s="1" t="str">
        <x:v>2022-06</x:v>
      </x:c>
      <x:c r="D1170" s="1" t="str">
        <x:v>2022-05-31</x:v>
      </x:c>
      <x:c r="E1170" s="5" t="n">
        <x:v>6353.35</x:v>
      </x:c>
      <x:c r="F1170" s="6" t="str">
        <x:v>2022-06-30</x:v>
      </x:c>
      <x:c r="G1170" s="5" t="n">
        <x:v>6995.53</x:v>
      </x:c>
      <x:c r="H1170" s="7" t="n">
        <x:f>G1170/E1170-1</x:f>
        <x:v>0.10107738437202407</x:v>
      </x:c>
      <x:c r="I1170" s="1" t="n">
        <x:v>1</x:v>
      </x:c>
      <x:c r="J1170" s="1" t="n">
        <x:v>1</x:v>
      </x:c>
      <x:c r="K1170" s="1" t="str">
        <x:v>中证官方优先</x:v>
      </x:c>
    </x:row>
    <x:row r="1171" ht="25" customHeight="1">
      <x:c r="A1171" s="1" t="str">
        <x:v>sh000852</x:v>
      </x:c>
      <x:c r="B1171" s="1" t="str">
        <x:v>中证1000</x:v>
      </x:c>
      <x:c r="C1171" s="1" t="str">
        <x:v>2022-07</x:v>
      </x:c>
      <x:c r="D1171" s="1" t="str">
        <x:v>2022-06-30</x:v>
      </x:c>
      <x:c r="E1171" s="5" t="n">
        <x:v>6995.53</x:v>
      </x:c>
      <x:c r="F1171" s="6" t="str">
        <x:v>2022-07-29</x:v>
      </x:c>
      <x:c r="G1171" s="5" t="n">
        <x:v>7117.43</x:v>
      </x:c>
      <x:c r="H1171" s="7" t="n">
        <x:f>G1171/E1171-1</x:f>
        <x:v>0.01742541308521317</x:v>
      </x:c>
      <x:c r="I1171" s="1" t="n">
        <x:v>1</x:v>
      </x:c>
      <x:c r="J1171" s="1" t="n">
        <x:v>1</x:v>
      </x:c>
      <x:c r="K1171" s="1" t="str">
        <x:v>中证官方优先</x:v>
      </x:c>
    </x:row>
    <x:row r="1172" ht="25" customHeight="1">
      <x:c r="A1172" s="1" t="str">
        <x:v>sh000852</x:v>
      </x:c>
      <x:c r="B1172" s="1" t="str">
        <x:v>中证1000</x:v>
      </x:c>
      <x:c r="C1172" s="1" t="str">
        <x:v>2022-08</x:v>
      </x:c>
      <x:c r="D1172" s="1" t="str">
        <x:v>2022-07-29</x:v>
      </x:c>
      <x:c r="E1172" s="5" t="n">
        <x:v>7117.43</x:v>
      </x:c>
      <x:c r="F1172" s="6" t="str">
        <x:v>2022-08-31</x:v>
      </x:c>
      <x:c r="G1172" s="5" t="n">
        <x:v>6750.74</x:v>
      </x:c>
      <x:c r="H1172" s="7" t="n">
        <x:f>G1172/E1172-1</x:f>
        <x:v>-0.05152000089920106</x:v>
      </x:c>
      <x:c r="I1172" s="1" t="n">
        <x:v>1</x:v>
      </x:c>
      <x:c r="J1172" s="1" t="n">
        <x:v>1</x:v>
      </x:c>
      <x:c r="K1172" s="1" t="str">
        <x:v>中证官方优先</x:v>
      </x:c>
    </x:row>
    <x:row r="1173" ht="25" customHeight="1">
      <x:c r="A1173" s="1" t="str">
        <x:v>sh000852</x:v>
      </x:c>
      <x:c r="B1173" s="1" t="str">
        <x:v>中证1000</x:v>
      </x:c>
      <x:c r="C1173" s="1" t="str">
        <x:v>2022-09</x:v>
      </x:c>
      <x:c r="D1173" s="1" t="str">
        <x:v>2022-08-31</x:v>
      </x:c>
      <x:c r="E1173" s="5" t="n">
        <x:v>6750.74</x:v>
      </x:c>
      <x:c r="F1173" s="6" t="str">
        <x:v>2022-09-30</x:v>
      </x:c>
      <x:c r="G1173" s="5" t="n">
        <x:v>6124.86</x:v>
      </x:c>
      <x:c r="H1173" s="7" t="n">
        <x:f>G1173/E1173-1</x:f>
        <x:v>-0.09271279889315842</x:v>
      </x:c>
      <x:c r="I1173" s="1" t="n">
        <x:v>1</x:v>
      </x:c>
      <x:c r="J1173" s="1" t="n">
        <x:v>1</x:v>
      </x:c>
      <x:c r="K1173" s="1" t="str">
        <x:v>中证官方优先</x:v>
      </x:c>
    </x:row>
    <x:row r="1174" ht="25" customHeight="1">
      <x:c r="A1174" s="1" t="str">
        <x:v>sh000852</x:v>
      </x:c>
      <x:c r="B1174" s="1" t="str">
        <x:v>中证1000</x:v>
      </x:c>
      <x:c r="C1174" s="1" t="str">
        <x:v>2022-10</x:v>
      </x:c>
      <x:c r="D1174" s="1" t="str">
        <x:v>2022-09-30</x:v>
      </x:c>
      <x:c r="E1174" s="5" t="n">
        <x:v>6124.86</x:v>
      </x:c>
      <x:c r="F1174" s="6" t="str">
        <x:v>2022-10-31</x:v>
      </x:c>
      <x:c r="G1174" s="5" t="n">
        <x:v>6292.62</x:v>
      </x:c>
      <x:c r="H1174" s="7" t="n">
        <x:f>G1174/E1174-1</x:f>
        <x:v>0.027390013812560676</x:v>
      </x:c>
      <x:c r="I1174" s="1" t="n">
        <x:v>1</x:v>
      </x:c>
      <x:c r="J1174" s="1" t="n">
        <x:v>1</x:v>
      </x:c>
      <x:c r="K1174" s="1" t="str">
        <x:v>中证官方优先</x:v>
      </x:c>
    </x:row>
    <x:row r="1175" ht="25" customHeight="1">
      <x:c r="A1175" s="1" t="str">
        <x:v>sh000852</x:v>
      </x:c>
      <x:c r="B1175" s="1" t="str">
        <x:v>中证1000</x:v>
      </x:c>
      <x:c r="C1175" s="1" t="str">
        <x:v>2022-11</x:v>
      </x:c>
      <x:c r="D1175" s="1" t="str">
        <x:v>2022-10-31</x:v>
      </x:c>
      <x:c r="E1175" s="5" t="n">
        <x:v>6292.62</x:v>
      </x:c>
      <x:c r="F1175" s="6" t="str">
        <x:v>2022-11-30</x:v>
      </x:c>
      <x:c r="G1175" s="5" t="n">
        <x:v>6590.31</x:v>
      </x:c>
      <x:c r="H1175" s="7" t="n">
        <x:f>G1175/E1175-1</x:f>
        <x:v>0.04730779865938195</x:v>
      </x:c>
      <x:c r="I1175" s="1" t="n">
        <x:v>1</x:v>
      </x:c>
      <x:c r="J1175" s="1" t="n">
        <x:v>1</x:v>
      </x:c>
      <x:c r="K1175" s="1" t="str">
        <x:v>中证官方优先</x:v>
      </x:c>
    </x:row>
    <x:row r="1176" ht="25" customHeight="1">
      <x:c r="A1176" s="1" t="str">
        <x:v>sh000852</x:v>
      </x:c>
      <x:c r="B1176" s="1" t="str">
        <x:v>中证1000</x:v>
      </x:c>
      <x:c r="C1176" s="1" t="str">
        <x:v>2022-12</x:v>
      </x:c>
      <x:c r="D1176" s="1" t="str">
        <x:v>2022-11-30</x:v>
      </x:c>
      <x:c r="E1176" s="5" t="n">
        <x:v>6590.31</x:v>
      </x:c>
      <x:c r="F1176" s="6" t="str">
        <x:v>2022-12-30</x:v>
      </x:c>
      <x:c r="G1176" s="5" t="n">
        <x:v>6281.62</x:v>
      </x:c>
      <x:c r="H1176" s="7" t="n">
        <x:f>G1176/E1176-1</x:f>
        <x:v>-0.04683998173075321</x:v>
      </x:c>
      <x:c r="I1176" s="1" t="n">
        <x:v>1</x:v>
      </x:c>
      <x:c r="J1176" s="1" t="n">
        <x:v>1</x:v>
      </x:c>
      <x:c r="K1176" s="1" t="str">
        <x:v>中证官方优先</x:v>
      </x:c>
    </x:row>
    <x:row r="1177" ht="25" customHeight="1">
      <x:c r="A1177" s="1" t="str">
        <x:v>sh000852</x:v>
      </x:c>
      <x:c r="B1177" s="1" t="str">
        <x:v>中证1000</x:v>
      </x:c>
      <x:c r="C1177" s="1" t="str">
        <x:v>2023-01</x:v>
      </x:c>
      <x:c r="D1177" s="1" t="str">
        <x:v>2022-12-30</x:v>
      </x:c>
      <x:c r="E1177" s="5" t="n">
        <x:v>6281.62</x:v>
      </x:c>
      <x:c r="F1177" s="6" t="str">
        <x:v>2023-01-31</x:v>
      </x:c>
      <x:c r="G1177" s="5" t="n">
        <x:v>6805.28</x:v>
      </x:c>
      <x:c r="H1177" s="7" t="n">
        <x:f>G1177/E1177-1</x:f>
        <x:v>0.08336384563217769</x:v>
      </x:c>
      <x:c r="I1177" s="1" t="n">
        <x:v>1</x:v>
      </x:c>
      <x:c r="J1177" s="1" t="n">
        <x:v>1</x:v>
      </x:c>
      <x:c r="K1177" s="1" t="str">
        <x:v>中证官方优先</x:v>
      </x:c>
    </x:row>
    <x:row r="1178" ht="25" customHeight="1">
      <x:c r="A1178" s="1" t="str">
        <x:v>sh000852</x:v>
      </x:c>
      <x:c r="B1178" s="1" t="str">
        <x:v>中证1000</x:v>
      </x:c>
      <x:c r="C1178" s="1" t="str">
        <x:v>2023-02</x:v>
      </x:c>
      <x:c r="D1178" s="1" t="str">
        <x:v>2023-01-31</x:v>
      </x:c>
      <x:c r="E1178" s="5" t="n">
        <x:v>6805.28</x:v>
      </x:c>
      <x:c r="F1178" s="6" t="str">
        <x:v>2023-02-28</x:v>
      </x:c>
      <x:c r="G1178" s="5" t="n">
        <x:v>6955.57</x:v>
      </x:c>
      <x:c r="H1178" s="7" t="n">
        <x:f>G1178/E1178-1</x:f>
        <x:v>0.022084322761150244</x:v>
      </x:c>
      <x:c r="I1178" s="1" t="n">
        <x:v>1</x:v>
      </x:c>
      <x:c r="J1178" s="1" t="n">
        <x:v>1</x:v>
      </x:c>
      <x:c r="K1178" s="1" t="str">
        <x:v>中证官方优先</x:v>
      </x:c>
    </x:row>
    <x:row r="1179" ht="25" customHeight="1">
      <x:c r="A1179" s="1" t="str">
        <x:v>sh000852</x:v>
      </x:c>
      <x:c r="B1179" s="1" t="str">
        <x:v>中证1000</x:v>
      </x:c>
      <x:c r="C1179" s="1" t="str">
        <x:v>2023-03</x:v>
      </x:c>
      <x:c r="D1179" s="1" t="str">
        <x:v>2023-02-28</x:v>
      </x:c>
      <x:c r="E1179" s="5" t="n">
        <x:v>6955.57</x:v>
      </x:c>
      <x:c r="F1179" s="6" t="str">
        <x:v>2023-03-31</x:v>
      </x:c>
      <x:c r="G1179" s="5" t="n">
        <x:v>6875.81</x:v>
      </x:c>
      <x:c r="H1179" s="7" t="n">
        <x:f>G1179/E1179-1</x:f>
        <x:v>-0.011467068838355354</x:v>
      </x:c>
      <x:c r="I1179" s="1" t="n">
        <x:v>1</x:v>
      </x:c>
      <x:c r="J1179" s="1" t="n">
        <x:v>1</x:v>
      </x:c>
      <x:c r="K1179" s="1" t="str">
        <x:v>中证官方优先</x:v>
      </x:c>
    </x:row>
    <x:row r="1180" ht="25" customHeight="1">
      <x:c r="A1180" s="1" t="str">
        <x:v>sh000852</x:v>
      </x:c>
      <x:c r="B1180" s="1" t="str">
        <x:v>中证1000</x:v>
      </x:c>
      <x:c r="C1180" s="1" t="str">
        <x:v>2023-04</x:v>
      </x:c>
      <x:c r="D1180" s="1" t="str">
        <x:v>2023-03-31</x:v>
      </x:c>
      <x:c r="E1180" s="5" t="n">
        <x:v>6875.81</x:v>
      </x:c>
      <x:c r="F1180" s="6" t="str">
        <x:v>2023-04-28</x:v>
      </x:c>
      <x:c r="G1180" s="5" t="n">
        <x:v>6723.3</x:v>
      </x:c>
      <x:c r="H1180" s="7" t="n">
        <x:f>G1180/E1180-1</x:f>
        <x:v>-0.02218065944230574</x:v>
      </x:c>
      <x:c r="I1180" s="1" t="n">
        <x:v>1</x:v>
      </x:c>
      <x:c r="J1180" s="1" t="n">
        <x:v>1</x:v>
      </x:c>
      <x:c r="K1180" s="1" t="str">
        <x:v>中证官方优先</x:v>
      </x:c>
    </x:row>
    <x:row r="1181" ht="25" customHeight="1">
      <x:c r="A1181" s="1" t="str">
        <x:v>sh000852</x:v>
      </x:c>
      <x:c r="B1181" s="1" t="str">
        <x:v>中证1000</x:v>
      </x:c>
      <x:c r="C1181" s="1" t="str">
        <x:v>2023-05</x:v>
      </x:c>
      <x:c r="D1181" s="1" t="str">
        <x:v>2023-04-28</x:v>
      </x:c>
      <x:c r="E1181" s="5" t="n">
        <x:v>6723.3</x:v>
      </x:c>
      <x:c r="F1181" s="6" t="str">
        <x:v>2023-05-31</x:v>
      </x:c>
      <x:c r="G1181" s="5" t="n">
        <x:v>6561.65</x:v>
      </x:c>
      <x:c r="H1181" s="7" t="n">
        <x:f>G1181/E1181-1</x:f>
        <x:v>-0.024043252569422857</x:v>
      </x:c>
      <x:c r="I1181" s="1" t="n">
        <x:v>1</x:v>
      </x:c>
      <x:c r="J1181" s="1" t="n">
        <x:v>1</x:v>
      </x:c>
      <x:c r="K1181" s="1" t="str">
        <x:v>中证官方优先</x:v>
      </x:c>
    </x:row>
    <x:row r="1182" ht="25" customHeight="1">
      <x:c r="A1182" s="1" t="str">
        <x:v>sh000852</x:v>
      </x:c>
      <x:c r="B1182" s="1" t="str">
        <x:v>中证1000</x:v>
      </x:c>
      <x:c r="C1182" s="1" t="str">
        <x:v>2023-06</x:v>
      </x:c>
      <x:c r="D1182" s="1" t="str">
        <x:v>2023-05-31</x:v>
      </x:c>
      <x:c r="E1182" s="5" t="n">
        <x:v>6561.65</x:v>
      </x:c>
      <x:c r="F1182" s="6" t="str">
        <x:v>2023-06-30</x:v>
      </x:c>
      <x:c r="G1182" s="5" t="n">
        <x:v>6602.04</x:v>
      </x:c>
      <x:c r="H1182" s="7" t="n">
        <x:f>G1182/E1182-1</x:f>
        <x:v>0.00615546394580635</x:v>
      </x:c>
      <x:c r="I1182" s="1" t="n">
        <x:v>1</x:v>
      </x:c>
      <x:c r="J1182" s="1" t="n">
        <x:v>1</x:v>
      </x:c>
      <x:c r="K1182" s="1" t="str">
        <x:v>中证官方优先</x:v>
      </x:c>
    </x:row>
    <x:row r="1183" ht="25" customHeight="1">
      <x:c r="A1183" s="1" t="str">
        <x:v>sh000852</x:v>
      </x:c>
      <x:c r="B1183" s="1" t="str">
        <x:v>中证1000</x:v>
      </x:c>
      <x:c r="C1183" s="1" t="str">
        <x:v>2023-07</x:v>
      </x:c>
      <x:c r="D1183" s="1" t="str">
        <x:v>2023-06-30</x:v>
      </x:c>
      <x:c r="E1183" s="5" t="n">
        <x:v>6602.04</x:v>
      </x:c>
      <x:c r="F1183" s="6" t="str">
        <x:v>2023-07-31</x:v>
      </x:c>
      <x:c r="G1183" s="5" t="n">
        <x:v>6515.85</x:v>
      </x:c>
      <x:c r="H1183" s="7" t="n">
        <x:f>G1183/E1183-1</x:f>
        <x:v>-0.013055055710053165</x:v>
      </x:c>
      <x:c r="I1183" s="1" t="n">
        <x:v>1</x:v>
      </x:c>
      <x:c r="J1183" s="1" t="n">
        <x:v>1</x:v>
      </x:c>
      <x:c r="K1183" s="1" t="str">
        <x:v>中证官方优先</x:v>
      </x:c>
    </x:row>
    <x:row r="1184" ht="25" customHeight="1">
      <x:c r="A1184" s="1" t="str">
        <x:v>sh000852</x:v>
      </x:c>
      <x:c r="B1184" s="1" t="str">
        <x:v>中证1000</x:v>
      </x:c>
      <x:c r="C1184" s="1" t="str">
        <x:v>2023-08</x:v>
      </x:c>
      <x:c r="D1184" s="1" t="str">
        <x:v>2023-07-31</x:v>
      </x:c>
      <x:c r="E1184" s="5" t="n">
        <x:v>6515.85</x:v>
      </x:c>
      <x:c r="F1184" s="6" t="str">
        <x:v>2023-08-31</x:v>
      </x:c>
      <x:c r="G1184" s="5" t="n">
        <x:v>6104.3</x:v>
      </x:c>
      <x:c r="H1184" s="7" t="n">
        <x:f>G1184/E1184-1</x:f>
        <x:v>-0.06316136804868133</x:v>
      </x:c>
      <x:c r="I1184" s="1" t="n">
        <x:v>1</x:v>
      </x:c>
      <x:c r="J1184" s="1" t="n">
        <x:v>1</x:v>
      </x:c>
      <x:c r="K1184" s="1" t="str">
        <x:v>中证官方优先</x:v>
      </x:c>
    </x:row>
    <x:row r="1185" ht="25" customHeight="1">
      <x:c r="A1185" s="1" t="str">
        <x:v>sh000852</x:v>
      </x:c>
      <x:c r="B1185" s="1" t="str">
        <x:v>中证1000</x:v>
      </x:c>
      <x:c r="C1185" s="1" t="str">
        <x:v>2023-09</x:v>
      </x:c>
      <x:c r="D1185" s="1" t="str">
        <x:v>2023-08-31</x:v>
      </x:c>
      <x:c r="E1185" s="5" t="n">
        <x:v>6104.3</x:v>
      </x:c>
      <x:c r="F1185" s="6" t="str">
        <x:v>2023-09-28</x:v>
      </x:c>
      <x:c r="G1185" s="5" t="n">
        <x:v>6078.94</x:v>
      </x:c>
      <x:c r="H1185" s="7" t="n">
        <x:f>G1185/E1185-1</x:f>
        <x:v>-0.0041544485035139855</x:v>
      </x:c>
      <x:c r="I1185" s="1" t="n">
        <x:v>1</x:v>
      </x:c>
      <x:c r="J1185" s="1" t="n">
        <x:v>1</x:v>
      </x:c>
      <x:c r="K1185" s="1" t="str">
        <x:v>中证官方优先</x:v>
      </x:c>
    </x:row>
    <x:row r="1186" ht="25" customHeight="1">
      <x:c r="A1186" s="1" t="str">
        <x:v>sh000852</x:v>
      </x:c>
      <x:c r="B1186" s="1" t="str">
        <x:v>中证1000</x:v>
      </x:c>
      <x:c r="C1186" s="1" t="str">
        <x:v>2023-10</x:v>
      </x:c>
      <x:c r="D1186" s="1" t="str">
        <x:v>2023-09-28</x:v>
      </x:c>
      <x:c r="E1186" s="5" t="n">
        <x:v>6078.94</x:v>
      </x:c>
      <x:c r="F1186" s="6" t="str">
        <x:v>2023-10-31</x:v>
      </x:c>
      <x:c r="G1186" s="5" t="n">
        <x:v>5969.34</x:v>
      </x:c>
      <x:c r="H1186" s="7" t="n">
        <x:f>G1186/E1186-1</x:f>
        <x:v>-0.018029459083326982</x:v>
      </x:c>
      <x:c r="I1186" s="1" t="n">
        <x:v>1</x:v>
      </x:c>
      <x:c r="J1186" s="1" t="n">
        <x:v>1</x:v>
      </x:c>
      <x:c r="K1186" s="1" t="str">
        <x:v>中证官方优先</x:v>
      </x:c>
    </x:row>
    <x:row r="1187" ht="25" customHeight="1">
      <x:c r="A1187" s="1" t="str">
        <x:v>sh000852</x:v>
      </x:c>
      <x:c r="B1187" s="1" t="str">
        <x:v>中证1000</x:v>
      </x:c>
      <x:c r="C1187" s="1" t="str">
        <x:v>2023-11</x:v>
      </x:c>
      <x:c r="D1187" s="1" t="str">
        <x:v>2023-10-31</x:v>
      </x:c>
      <x:c r="E1187" s="5" t="n">
        <x:v>5969.34</x:v>
      </x:c>
      <x:c r="F1187" s="6" t="str">
        <x:v>2023-11-30</x:v>
      </x:c>
      <x:c r="G1187" s="5" t="n">
        <x:v>6080.55</x:v>
      </x:c>
      <x:c r="H1187" s="7" t="n">
        <x:f>G1187/E1187-1</x:f>
        <x:v>0.01863020032365381</x:v>
      </x:c>
      <x:c r="I1187" s="1" t="n">
        <x:v>1</x:v>
      </x:c>
      <x:c r="J1187" s="1" t="n">
        <x:v>1</x:v>
      </x:c>
      <x:c r="K1187" s="1" t="str">
        <x:v>中证官方优先</x:v>
      </x:c>
    </x:row>
    <x:row r="1188" ht="25" customHeight="1">
      <x:c r="A1188" s="1" t="str">
        <x:v>sh000852</x:v>
      </x:c>
      <x:c r="B1188" s="1" t="str">
        <x:v>中证1000</x:v>
      </x:c>
      <x:c r="C1188" s="1" t="str">
        <x:v>2023-12</x:v>
      </x:c>
      <x:c r="D1188" s="1" t="str">
        <x:v>2023-11-30</x:v>
      </x:c>
      <x:c r="E1188" s="5" t="n">
        <x:v>6080.55</x:v>
      </x:c>
      <x:c r="F1188" s="6" t="str">
        <x:v>2023-12-29</x:v>
      </x:c>
      <x:c r="G1188" s="5" t="n">
        <x:v>5887.24</x:v>
      </x:c>
      <x:c r="H1188" s="7" t="n">
        <x:f>G1188/E1188-1</x:f>
        <x:v>-0.031791532016018365</x:v>
      </x:c>
      <x:c r="I1188" s="1" t="n">
        <x:v>1</x:v>
      </x:c>
      <x:c r="J1188" s="1" t="n">
        <x:v>1</x:v>
      </x:c>
      <x:c r="K1188" s="1" t="str">
        <x:v>中证官方优先</x:v>
      </x:c>
    </x:row>
    <x:row r="1189" ht="25" customHeight="1">
      <x:c r="A1189" s="1" t="str">
        <x:v>sh000852</x:v>
      </x:c>
      <x:c r="B1189" s="1" t="str">
        <x:v>中证1000</x:v>
      </x:c>
      <x:c r="C1189" s="1" t="str">
        <x:v>2024-01</x:v>
      </x:c>
      <x:c r="D1189" s="1" t="str">
        <x:v>2023-12-29</x:v>
      </x:c>
      <x:c r="E1189" s="5" t="n">
        <x:v>5887.24</x:v>
      </x:c>
      <x:c r="F1189" s="6" t="str">
        <x:v>2024-01-31</x:v>
      </x:c>
      <x:c r="G1189" s="5" t="n">
        <x:v>4785.03</x:v>
      </x:c>
      <x:c r="H1189" s="7" t="n">
        <x:f>G1189/E1189-1</x:f>
        <x:v>-0.18722015749315468</x:v>
      </x:c>
      <x:c r="I1189" s="1" t="n">
        <x:v>1</x:v>
      </x:c>
      <x:c r="J1189" s="1" t="n">
        <x:v>1</x:v>
      </x:c>
      <x:c r="K1189" s="1" t="str">
        <x:v>中证官方优先</x:v>
      </x:c>
    </x:row>
    <x:row r="1190" ht="25" customHeight="1">
      <x:c r="A1190" s="1" t="str">
        <x:v>sh000852</x:v>
      </x:c>
      <x:c r="B1190" s="1" t="str">
        <x:v>中证1000</x:v>
      </x:c>
      <x:c r="C1190" s="1" t="str">
        <x:v>2024-02</x:v>
      </x:c>
      <x:c r="D1190" s="1" t="str">
        <x:v>2024-01-31</x:v>
      </x:c>
      <x:c r="E1190" s="5" t="n">
        <x:v>4785.03</x:v>
      </x:c>
      <x:c r="F1190" s="6" t="str">
        <x:v>2024-02-29</x:v>
      </x:c>
      <x:c r="G1190" s="5" t="n">
        <x:v>5344.61</x:v>
      </x:c>
      <x:c r="H1190" s="7" t="n">
        <x:f>G1190/E1190-1</x:f>
        <x:v>0.1169438854092868</x:v>
      </x:c>
      <x:c r="I1190" s="1" t="n">
        <x:v>1</x:v>
      </x:c>
      <x:c r="J1190" s="1" t="n">
        <x:v>1</x:v>
      </x:c>
      <x:c r="K1190" s="1" t="str">
        <x:v>中证官方优先</x:v>
      </x:c>
    </x:row>
    <x:row r="1191" ht="25" customHeight="1">
      <x:c r="A1191" s="1" t="str">
        <x:v>sh000852</x:v>
      </x:c>
      <x:c r="B1191" s="1" t="str">
        <x:v>中证1000</x:v>
      </x:c>
      <x:c r="C1191" s="1" t="str">
        <x:v>2024-03</x:v>
      </x:c>
      <x:c r="D1191" s="1" t="str">
        <x:v>2024-02-29</x:v>
      </x:c>
      <x:c r="E1191" s="5" t="n">
        <x:v>5344.61</x:v>
      </x:c>
      <x:c r="F1191" s="6" t="str">
        <x:v>2024-03-29</x:v>
      </x:c>
      <x:c r="G1191" s="5" t="n">
        <x:v>5441.26</x:v>
      </x:c>
      <x:c r="H1191" s="7" t="n">
        <x:f>G1191/E1191-1</x:f>
        <x:v>0.018083639404933294</x:v>
      </x:c>
      <x:c r="I1191" s="1" t="n">
        <x:v>1</x:v>
      </x:c>
      <x:c r="J1191" s="1" t="n">
        <x:v>1</x:v>
      </x:c>
      <x:c r="K1191" s="1" t="str">
        <x:v>中证官方优先</x:v>
      </x:c>
    </x:row>
    <x:row r="1192" ht="25" customHeight="1">
      <x:c r="A1192" s="1" t="str">
        <x:v>sh000852</x:v>
      </x:c>
      <x:c r="B1192" s="1" t="str">
        <x:v>中证1000</x:v>
      </x:c>
      <x:c r="C1192" s="1" t="str">
        <x:v>2024-04</x:v>
      </x:c>
      <x:c r="D1192" s="1" t="str">
        <x:v>2024-03-29</x:v>
      </x:c>
      <x:c r="E1192" s="5" t="n">
        <x:v>5441.26</x:v>
      </x:c>
      <x:c r="F1192" s="6" t="str">
        <x:v>2024-04-30</x:v>
      </x:c>
      <x:c r="G1192" s="5" t="n">
        <x:v>5497.43</x:v>
      </x:c>
      <x:c r="H1192" s="7" t="n">
        <x:f>G1192/E1192-1</x:f>
        <x:v>0.010322976663493355</x:v>
      </x:c>
      <x:c r="I1192" s="1" t="n">
        <x:v>1</x:v>
      </x:c>
      <x:c r="J1192" s="1" t="n">
        <x:v>1</x:v>
      </x:c>
      <x:c r="K1192" s="1" t="str">
        <x:v>中证官方优先</x:v>
      </x:c>
    </x:row>
    <x:row r="1193" ht="25" customHeight="1">
      <x:c r="A1193" s="1" t="str">
        <x:v>sh000852</x:v>
      </x:c>
      <x:c r="B1193" s="1" t="str">
        <x:v>中证1000</x:v>
      </x:c>
      <x:c r="C1193" s="1" t="str">
        <x:v>2024-05</x:v>
      </x:c>
      <x:c r="D1193" s="1" t="str">
        <x:v>2024-04-30</x:v>
      </x:c>
      <x:c r="E1193" s="5" t="n">
        <x:v>5497.43</x:v>
      </x:c>
      <x:c r="F1193" s="6" t="str">
        <x:v>2024-05-31</x:v>
      </x:c>
      <x:c r="G1193" s="5" t="n">
        <x:v>5355.21</x:v>
      </x:c>
      <x:c r="H1193" s="7" t="n">
        <x:f>G1193/E1193-1</x:f>
        <x:v>-0.025870270289935493</x:v>
      </x:c>
      <x:c r="I1193" s="1" t="n">
        <x:v>1</x:v>
      </x:c>
      <x:c r="J1193" s="1" t="n">
        <x:v>1</x:v>
      </x:c>
      <x:c r="K1193" s="1" t="str">
        <x:v>中证官方优先</x:v>
      </x:c>
    </x:row>
    <x:row r="1194" ht="25" customHeight="1">
      <x:c r="A1194" s="1" t="str">
        <x:v>sh000852</x:v>
      </x:c>
      <x:c r="B1194" s="1" t="str">
        <x:v>中证1000</x:v>
      </x:c>
      <x:c r="C1194" s="1" t="str">
        <x:v>2024-06</x:v>
      </x:c>
      <x:c r="D1194" s="1" t="str">
        <x:v>2024-05-31</x:v>
      </x:c>
      <x:c r="E1194" s="5" t="n">
        <x:v>5355.21</x:v>
      </x:c>
      <x:c r="F1194" s="6" t="str">
        <x:v>2024-06-28</x:v>
      </x:c>
      <x:c r="G1194" s="5" t="n">
        <x:v>4895.99</x:v>
      </x:c>
      <x:c r="H1194" s="7" t="n">
        <x:f>G1194/E1194-1</x:f>
        <x:v>-0.08575200599042809</x:v>
      </x:c>
      <x:c r="I1194" s="1" t="n">
        <x:v>1</x:v>
      </x:c>
      <x:c r="J1194" s="1" t="n">
        <x:v>1</x:v>
      </x:c>
      <x:c r="K1194" s="1" t="str">
        <x:v>中证官方优先</x:v>
      </x:c>
    </x:row>
    <x:row r="1195" ht="25" customHeight="1">
      <x:c r="A1195" s="1" t="str">
        <x:v>sh000852</x:v>
      </x:c>
      <x:c r="B1195" s="1" t="str">
        <x:v>中证1000</x:v>
      </x:c>
      <x:c r="C1195" s="1" t="str">
        <x:v>2024-07</x:v>
      </x:c>
      <x:c r="D1195" s="1" t="str">
        <x:v>2024-06-28</x:v>
      </x:c>
      <x:c r="E1195" s="5" t="n">
        <x:v>4895.99</x:v>
      </x:c>
      <x:c r="F1195" s="6" t="str">
        <x:v>2024-07-31</x:v>
      </x:c>
      <x:c r="G1195" s="5" t="n">
        <x:v>4889.08</x:v>
      </x:c>
      <x:c r="H1195" s="7" t="n">
        <x:f>G1195/E1195-1</x:f>
        <x:v>-0.0014113590918282126</x:v>
      </x:c>
      <x:c r="I1195" s="1" t="n">
        <x:v>1</x:v>
      </x:c>
      <x:c r="J1195" s="1" t="n">
        <x:v>1</x:v>
      </x:c>
      <x:c r="K1195" s="1" t="str">
        <x:v>中证官方优先</x:v>
      </x:c>
    </x:row>
    <x:row r="1196" ht="25" customHeight="1">
      <x:c r="A1196" s="1" t="str">
        <x:v>sh000852</x:v>
      </x:c>
      <x:c r="B1196" s="1" t="str">
        <x:v>中证1000</x:v>
      </x:c>
      <x:c r="C1196" s="1" t="str">
        <x:v>2024-08</x:v>
      </x:c>
      <x:c r="D1196" s="1" t="str">
        <x:v>2024-07-31</x:v>
      </x:c>
      <x:c r="E1196" s="5" t="n">
        <x:v>4889.08</x:v>
      </x:c>
      <x:c r="F1196" s="6" t="str">
        <x:v>2024-08-30</x:v>
      </x:c>
      <x:c r="G1196" s="5" t="n">
        <x:v>4629.32</x:v>
      </x:c>
      <x:c r="H1196" s="7" t="n">
        <x:f>G1196/E1196-1</x:f>
        <x:v>-0.053130650347304686</x:v>
      </x:c>
      <x:c r="I1196" s="1" t="n">
        <x:v>1</x:v>
      </x:c>
      <x:c r="J1196" s="1" t="n">
        <x:v>1</x:v>
      </x:c>
      <x:c r="K1196" s="1" t="str">
        <x:v>中证官方优先</x:v>
      </x:c>
    </x:row>
    <x:row r="1197" ht="25" customHeight="1">
      <x:c r="A1197" s="1" t="str">
        <x:v>sh000852</x:v>
      </x:c>
      <x:c r="B1197" s="1" t="str">
        <x:v>中证1000</x:v>
      </x:c>
      <x:c r="C1197" s="1" t="str">
        <x:v>2024-09</x:v>
      </x:c>
      <x:c r="D1197" s="1" t="str">
        <x:v>2024-08-30</x:v>
      </x:c>
      <x:c r="E1197" s="5" t="n">
        <x:v>4629.32</x:v>
      </x:c>
      <x:c r="F1197" s="6" t="str">
        <x:v>2024-09-30</x:v>
      </x:c>
      <x:c r="G1197" s="5" t="n">
        <x:v>5708.83</x:v>
      </x:c>
      <x:c r="H1197" s="7" t="n">
        <x:f>G1197/E1197-1</x:f>
        <x:v>0.2331897557308633</x:v>
      </x:c>
      <x:c r="I1197" s="1" t="n">
        <x:v>1</x:v>
      </x:c>
      <x:c r="J1197" s="1" t="n">
        <x:v>1</x:v>
      </x:c>
      <x:c r="K1197" s="1" t="str">
        <x:v>中证官方优先</x:v>
      </x:c>
    </x:row>
    <x:row r="1198" ht="25" customHeight="1">
      <x:c r="A1198" s="1" t="str">
        <x:v>sh000852</x:v>
      </x:c>
      <x:c r="B1198" s="1" t="str">
        <x:v>中证1000</x:v>
      </x:c>
      <x:c r="C1198" s="1" t="str">
        <x:v>2024-10</x:v>
      </x:c>
      <x:c r="D1198" s="1" t="str">
        <x:v>2024-09-30</x:v>
      </x:c>
      <x:c r="E1198" s="5" t="n">
        <x:v>5708.83</x:v>
      </x:c>
      <x:c r="F1198" s="6" t="str">
        <x:v>2024-10-31</x:v>
      </x:c>
      <x:c r="G1198" s="5" t="n">
        <x:v>6116.66</x:v>
      </x:c>
      <x:c r="H1198" s="7" t="n">
        <x:f>G1198/E1198-1</x:f>
        <x:v>0.07143845586573772</x:v>
      </x:c>
      <x:c r="I1198" s="1" t="n">
        <x:v>1</x:v>
      </x:c>
      <x:c r="J1198" s="1" t="n">
        <x:v>1</x:v>
      </x:c>
      <x:c r="K1198" s="1" t="str">
        <x:v>中证官方优先</x:v>
      </x:c>
    </x:row>
    <x:row r="1199" ht="25" customHeight="1">
      <x:c r="A1199" s="1" t="str">
        <x:v>sh000852</x:v>
      </x:c>
      <x:c r="B1199" s="1" t="str">
        <x:v>中证1000</x:v>
      </x:c>
      <x:c r="C1199" s="1" t="str">
        <x:v>2024-11</x:v>
      </x:c>
      <x:c r="D1199" s="1" t="str">
        <x:v>2024-10-31</x:v>
      </x:c>
      <x:c r="E1199" s="5" t="n">
        <x:v>6116.66</x:v>
      </x:c>
      <x:c r="F1199" s="6" t="str">
        <x:v>2024-11-29</x:v>
      </x:c>
      <x:c r="G1199" s="5" t="n">
        <x:v>6189.13</x:v>
      </x:c>
      <x:c r="H1199" s="7" t="n">
        <x:f>G1199/E1199-1</x:f>
        <x:v>0.011847969316587825</x:v>
      </x:c>
      <x:c r="I1199" s="1" t="n">
        <x:v>1</x:v>
      </x:c>
      <x:c r="J1199" s="1" t="n">
        <x:v>1</x:v>
      </x:c>
      <x:c r="K1199" s="1" t="str">
        <x:v>中证官方优先</x:v>
      </x:c>
    </x:row>
    <x:row r="1200" ht="25" customHeight="1">
      <x:c r="A1200" s="1" t="str">
        <x:v>sh000852</x:v>
      </x:c>
      <x:c r="B1200" s="1" t="str">
        <x:v>中证1000</x:v>
      </x:c>
      <x:c r="C1200" s="1" t="str">
        <x:v>2024-12</x:v>
      </x:c>
      <x:c r="D1200" s="1" t="str">
        <x:v>2024-11-29</x:v>
      </x:c>
      <x:c r="E1200" s="5" t="n">
        <x:v>6189.13</x:v>
      </x:c>
      <x:c r="F1200" s="6" t="str">
        <x:v>2024-12-31</x:v>
      </x:c>
      <x:c r="G1200" s="5" t="n">
        <x:v>5957.72</x:v>
      </x:c>
      <x:c r="H1200" s="7" t="n">
        <x:f>G1200/E1200-1</x:f>
        <x:v>-0.03738974621635027</x:v>
      </x:c>
      <x:c r="I1200" s="1" t="n">
        <x:v>1</x:v>
      </x:c>
      <x:c r="J1200" s="1" t="n">
        <x:v>1</x:v>
      </x:c>
      <x:c r="K1200" s="1" t="str">
        <x:v>中证官方优先</x:v>
      </x:c>
    </x:row>
    <x:row r="1201" ht="25" customHeight="1">
      <x:c r="A1201" s="1" t="str">
        <x:v>sh000852</x:v>
      </x:c>
      <x:c r="B1201" s="1" t="str">
        <x:v>中证1000</x:v>
      </x:c>
      <x:c r="C1201" s="1" t="str">
        <x:v>2025-01</x:v>
      </x:c>
      <x:c r="D1201" s="1" t="str">
        <x:v>2024-12-31</x:v>
      </x:c>
      <x:c r="E1201" s="5" t="n">
        <x:v>5957.72</x:v>
      </x:c>
      <x:c r="F1201" s="6" t="str">
        <x:v>2025-01-27</x:v>
      </x:c>
      <x:c r="G1201" s="5" t="n">
        <x:v>5846.07</x:v>
      </x:c>
      <x:c r="H1201" s="7" t="n">
        <x:f>G1201/E1201-1</x:f>
        <x:v>-0.018740390619230274</x:v>
      </x:c>
      <x:c r="I1201" s="1" t="n">
        <x:v>1</x:v>
      </x:c>
      <x:c r="J1201" s="1" t="n">
        <x:v>1</x:v>
      </x:c>
      <x:c r="K1201" s="1" t="str">
        <x:v>中证官方优先</x:v>
      </x:c>
    </x:row>
    <x:row r="1202" ht="25" customHeight="1">
      <x:c r="A1202" s="1" t="str">
        <x:v>sh000852</x:v>
      </x:c>
      <x:c r="B1202" s="1" t="str">
        <x:v>中证1000</x:v>
      </x:c>
      <x:c r="C1202" s="1" t="str">
        <x:v>2025-02</x:v>
      </x:c>
      <x:c r="D1202" s="1" t="str">
        <x:v>2025-01-27</x:v>
      </x:c>
      <x:c r="E1202" s="5" t="n">
        <x:v>5846.07</x:v>
      </x:c>
      <x:c r="F1202" s="6" t="str">
        <x:v>2025-02-28</x:v>
      </x:c>
      <x:c r="G1202" s="5" t="n">
        <x:v>6270.42</x:v>
      </x:c>
      <x:c r="H1202" s="7" t="n">
        <x:f>G1202/E1202-1</x:f>
        <x:v>0.07258722526415196</x:v>
      </x:c>
      <x:c r="I1202" s="1" t="n">
        <x:v>1</x:v>
      </x:c>
      <x:c r="J1202" s="1" t="n">
        <x:v>1</x:v>
      </x:c>
      <x:c r="K1202" s="1" t="str">
        <x:v>中证官方优先</x:v>
      </x:c>
    </x:row>
    <x:row r="1203" ht="25" customHeight="1">
      <x:c r="A1203" s="1" t="str">
        <x:v>sh000852</x:v>
      </x:c>
      <x:c r="B1203" s="1" t="str">
        <x:v>中证1000</x:v>
      </x:c>
      <x:c r="C1203" s="1" t="str">
        <x:v>2025-03</x:v>
      </x:c>
      <x:c r="D1203" s="1" t="str">
        <x:v>2025-02-28</x:v>
      </x:c>
      <x:c r="E1203" s="5" t="n">
        <x:v>6270.42</x:v>
      </x:c>
      <x:c r="F1203" s="6" t="str">
        <x:v>2025-03-31</x:v>
      </x:c>
      <x:c r="G1203" s="5" t="n">
        <x:v>6226.65</x:v>
      </x:c>
      <x:c r="H1203" s="7" t="n">
        <x:f>G1203/E1203-1</x:f>
        <x:v>-0.0069803936578412</x:v>
      </x:c>
      <x:c r="I1203" s="1" t="n">
        <x:v>1</x:v>
      </x:c>
      <x:c r="J1203" s="1" t="n">
        <x:v>1</x:v>
      </x:c>
      <x:c r="K1203" s="1" t="str">
        <x:v>中证官方优先</x:v>
      </x:c>
    </x:row>
    <x:row r="1204" ht="25" customHeight="1">
      <x:c r="A1204" s="1" t="str">
        <x:v>sh000852</x:v>
      </x:c>
      <x:c r="B1204" s="1" t="str">
        <x:v>中证1000</x:v>
      </x:c>
      <x:c r="C1204" s="1" t="str">
        <x:v>2025-04</x:v>
      </x:c>
      <x:c r="D1204" s="1" t="str">
        <x:v>2025-03-31</x:v>
      </x:c>
      <x:c r="E1204" s="5" t="n">
        <x:v>6226.65</x:v>
      </x:c>
      <x:c r="F1204" s="6" t="str">
        <x:v>2025-04-30</x:v>
      </x:c>
      <x:c r="G1204" s="5" t="n">
        <x:v>5950.12</x:v>
      </x:c>
      <x:c r="H1204" s="7" t="n">
        <x:f>G1204/E1204-1</x:f>
        <x:v>-0.044410718444107156</x:v>
      </x:c>
      <x:c r="I1204" s="1" t="n">
        <x:v>1</x:v>
      </x:c>
      <x:c r="J1204" s="1" t="n">
        <x:v>1</x:v>
      </x:c>
      <x:c r="K1204" s="1" t="str">
        <x:v>中证官方优先</x:v>
      </x:c>
    </x:row>
    <x:row r="1205" ht="25" customHeight="1">
      <x:c r="A1205" s="1" t="str">
        <x:v>sh000852</x:v>
      </x:c>
      <x:c r="B1205" s="1" t="str">
        <x:v>中证1000</x:v>
      </x:c>
      <x:c r="C1205" s="1" t="str">
        <x:v>2025-05</x:v>
      </x:c>
      <x:c r="D1205" s="1" t="str">
        <x:v>2025-04-30</x:v>
      </x:c>
      <x:c r="E1205" s="5" t="n">
        <x:v>5950.12</x:v>
      </x:c>
      <x:c r="F1205" s="6" t="str">
        <x:v>2025-05-30</x:v>
      </x:c>
      <x:c r="G1205" s="5" t="n">
        <x:v>6026.56</x:v>
      </x:c>
      <x:c r="H1205" s="7" t="n">
        <x:f>G1205/E1205-1</x:f>
        <x:v>0.012846799728408964</x:v>
      </x:c>
      <x:c r="I1205" s="1" t="n">
        <x:v>1</x:v>
      </x:c>
      <x:c r="J1205" s="1" t="n">
        <x:v>1</x:v>
      </x:c>
      <x:c r="K1205" s="1" t="str">
        <x:v>中证官方优先</x:v>
      </x:c>
    </x:row>
    <x:row r="1206" ht="25" customHeight="1">
      <x:c r="A1206" s="1" t="str">
        <x:v>sh000852</x:v>
      </x:c>
      <x:c r="B1206" s="1" t="str">
        <x:v>中证1000</x:v>
      </x:c>
      <x:c r="C1206" s="1" t="str">
        <x:v>2025-06</x:v>
      </x:c>
      <x:c r="D1206" s="1" t="str">
        <x:v>2025-05-30</x:v>
      </x:c>
      <x:c r="E1206" s="5" t="n">
        <x:v>6026.56</x:v>
      </x:c>
      <x:c r="F1206" s="6" t="str">
        <x:v>2025-06-30</x:v>
      </x:c>
      <x:c r="G1206" s="5" t="n">
        <x:v>6356.18</x:v>
      </x:c>
      <x:c r="H1206" s="7" t="n">
        <x:f>G1206/E1206-1</x:f>
        <x:v>0.05469455211596652</x:v>
      </x:c>
      <x:c r="I1206" s="1" t="n">
        <x:v>1</x:v>
      </x:c>
      <x:c r="J1206" s="1" t="n">
        <x:v>1</x:v>
      </x:c>
      <x:c r="K1206" s="1" t="str">
        <x:v>中证官方优先</x:v>
      </x:c>
    </x:row>
    <x:row r="1207" ht="25" customHeight="1">
      <x:c r="A1207" s="1" t="str">
        <x:v>sh000852</x:v>
      </x:c>
      <x:c r="B1207" s="1" t="str">
        <x:v>中证1000</x:v>
      </x:c>
      <x:c r="C1207" s="1" t="str">
        <x:v>2025-07</x:v>
      </x:c>
      <x:c r="D1207" s="1" t="str">
        <x:v>2025-06-30</x:v>
      </x:c>
      <x:c r="E1207" s="5" t="n">
        <x:v>6356.18</x:v>
      </x:c>
      <x:c r="F1207" s="6" t="str">
        <x:v>2025-07-31</x:v>
      </x:c>
      <x:c r="G1207" s="5" t="n">
        <x:v>6661.19</x:v>
      </x:c>
      <x:c r="H1207" s="7" t="n">
        <x:f>G1207/E1207-1</x:f>
        <x:v>0.04798636917142041</x:v>
      </x:c>
      <x:c r="I1207" s="1" t="n">
        <x:v>1</x:v>
      </x:c>
      <x:c r="J1207" s="1" t="n">
        <x:v>1</x:v>
      </x:c>
      <x:c r="K1207" s="1" t="str">
        <x:v>中证官方优先</x:v>
      </x:c>
    </x:row>
    <x:row r="1208" ht="25" customHeight="1">
      <x:c r="A1208" s="1" t="str">
        <x:v>sh000852</x:v>
      </x:c>
      <x:c r="B1208" s="1" t="str">
        <x:v>中证1000</x:v>
      </x:c>
      <x:c r="C1208" s="1" t="str">
        <x:v>2025-08</x:v>
      </x:c>
      <x:c r="D1208" s="1" t="str">
        <x:v>2025-07-31</x:v>
      </x:c>
      <x:c r="E1208" s="5" t="n">
        <x:v>6661.19</x:v>
      </x:c>
      <x:c r="F1208" s="6" t="str">
        <x:v>2025-08-29</x:v>
      </x:c>
      <x:c r="G1208" s="5" t="n">
        <x:v>7438.68</x:v>
      </x:c>
      <x:c r="H1208" s="7" t="n">
        <x:f>G1208/E1208-1</x:f>
        <x:v>0.11671938497475698</x:v>
      </x:c>
      <x:c r="I1208" s="1" t="n">
        <x:v>1</x:v>
      </x:c>
      <x:c r="J1208" s="1" t="n">
        <x:v>1</x:v>
      </x:c>
      <x:c r="K1208" s="1" t="str">
        <x:v>中证官方优先</x:v>
      </x:c>
    </x:row>
    <x:row r="1209" ht="25" customHeight="1">
      <x:c r="A1209" s="1" t="str">
        <x:v>sh000852</x:v>
      </x:c>
      <x:c r="B1209" s="1" t="str">
        <x:v>中证1000</x:v>
      </x:c>
      <x:c r="C1209" s="1" t="str">
        <x:v>2025-09</x:v>
      </x:c>
      <x:c r="D1209" s="1" t="str">
        <x:v>2025-08-29</x:v>
      </x:c>
      <x:c r="E1209" s="5" t="n">
        <x:v>7438.68</x:v>
      </x:c>
      <x:c r="F1209" s="6" t="str">
        <x:v>2025-09-30</x:v>
      </x:c>
      <x:c r="G1209" s="5" t="n">
        <x:v>7574.96</x:v>
      </x:c>
      <x:c r="H1209" s="7" t="n">
        <x:f>G1209/E1209-1</x:f>
        <x:v>0.018320454704329192</x:v>
      </x:c>
      <x:c r="I1209" s="1" t="n">
        <x:v>1</x:v>
      </x:c>
      <x:c r="J1209" s="1" t="n">
        <x:v>1</x:v>
      </x:c>
      <x:c r="K1209" s="1" t="str">
        <x:v>中证官方优先</x:v>
      </x:c>
    </x:row>
    <x:row r="1210" ht="25" customHeight="1">
      <x:c r="A1210" s="1" t="str">
        <x:v>sh000852</x:v>
      </x:c>
      <x:c r="B1210" s="1" t="str">
        <x:v>中证1000</x:v>
      </x:c>
      <x:c r="C1210" s="1" t="str">
        <x:v>2025-10</x:v>
      </x:c>
      <x:c r="D1210" s="1" t="str">
        <x:v>2025-09-30</x:v>
      </x:c>
      <x:c r="E1210" s="5" t="n">
        <x:v>7574.96</x:v>
      </x:c>
      <x:c r="F1210" s="6" t="str">
        <x:v>2025-10-31</x:v>
      </x:c>
      <x:c r="G1210" s="5" t="n">
        <x:v>7506.67</x:v>
      </x:c>
      <x:c r="H1210" s="7" t="n">
        <x:f>G1210/E1210-1</x:f>
        <x:v>-0.009015229123322088</x:v>
      </x:c>
      <x:c r="I1210" s="1" t="n">
        <x:v>1</x:v>
      </x:c>
      <x:c r="J1210" s="1" t="n">
        <x:v>1</x:v>
      </x:c>
      <x:c r="K1210" s="1" t="str">
        <x:v>中证官方优先</x:v>
      </x:c>
    </x:row>
    <x:row r="1211" ht="25" customHeight="1">
      <x:c r="A1211" s="1" t="str">
        <x:v>sh000852</x:v>
      </x:c>
      <x:c r="B1211" s="1" t="str">
        <x:v>中证1000</x:v>
      </x:c>
      <x:c r="C1211" s="1" t="str">
        <x:v>2025-11</x:v>
      </x:c>
      <x:c r="D1211" s="1" t="str">
        <x:v>2025-10-31</x:v>
      </x:c>
      <x:c r="E1211" s="5" t="n">
        <x:v>7506.67</x:v>
      </x:c>
      <x:c r="F1211" s="6" t="str">
        <x:v>2025-11-28</x:v>
      </x:c>
      <x:c r="G1211" s="5" t="n">
        <x:v>7334.21</x:v>
      </x:c>
      <x:c r="H1211" s="7" t="n">
        <x:f>G1211/E1211-1</x:f>
        <x:v>-0.022974234913750058</x:v>
      </x:c>
      <x:c r="I1211" s="1" t="n">
        <x:v>1</x:v>
      </x:c>
      <x:c r="J1211" s="1" t="n">
        <x:v>1</x:v>
      </x:c>
      <x:c r="K1211" s="1" t="str">
        <x:v>中证官方优先</x:v>
      </x:c>
    </x:row>
    <x:row r="1212" ht="25" customHeight="1">
      <x:c r="A1212" s="1" t="str">
        <x:v>sh000852</x:v>
      </x:c>
      <x:c r="B1212" s="1" t="str">
        <x:v>中证1000</x:v>
      </x:c>
      <x:c r="C1212" s="1" t="str">
        <x:v>2025-12</x:v>
      </x:c>
      <x:c r="D1212" s="1" t="str">
        <x:v>2025-11-28</x:v>
      </x:c>
      <x:c r="E1212" s="5" t="n">
        <x:v>7334.21</x:v>
      </x:c>
      <x:c r="F1212" s="6" t="str">
        <x:v>2025-12-31</x:v>
      </x:c>
      <x:c r="G1212" s="5" t="n">
        <x:v>7595.28</x:v>
      </x:c>
      <x:c r="H1212" s="7" t="n">
        <x:f>G1212/E1212-1</x:f>
        <x:v>0.03559619918164314</x:v>
      </x:c>
      <x:c r="I1212" s="1" t="n">
        <x:v>1</x:v>
      </x:c>
      <x:c r="J1212" s="1" t="n">
        <x:v>1</x:v>
      </x:c>
      <x:c r="K1212" s="1" t="str">
        <x:v>中证官方优先</x:v>
      </x:c>
    </x:row>
    <x:row r="1213" ht="25" customHeight="1">
      <x:c r="A1213" s="1" t="str">
        <x:v>sh000852</x:v>
      </x:c>
      <x:c r="B1213" s="1" t="str">
        <x:v>中证1000</x:v>
      </x:c>
      <x:c r="C1213" s="1" t="str">
        <x:v>2026-01</x:v>
      </x:c>
      <x:c r="D1213" s="1" t="str">
        <x:v>2025-12-31</x:v>
      </x:c>
      <x:c r="E1213" s="5" t="n">
        <x:v>7595.28</x:v>
      </x:c>
      <x:c r="F1213" s="6" t="str">
        <x:v>2026-01-30</x:v>
      </x:c>
      <x:c r="G1213" s="5" t="n">
        <x:v>8254.86</x:v>
      </x:c>
      <x:c r="H1213" s="7" t="n">
        <x:f>G1213/E1213-1</x:f>
        <x:v>0.08684077479697927</x:v>
      </x:c>
      <x:c r="I1213" s="1" t="n">
        <x:v>1</x:v>
      </x:c>
      <x:c r="J1213" s="1" t="n">
        <x:v>1</x:v>
      </x:c>
      <x:c r="K1213" s="1" t="str">
        <x:v>中证官方优先</x:v>
      </x:c>
    </x:row>
    <x:row r="1214" ht="25" customHeight="1">
      <x:c r="A1214" s="1" t="str">
        <x:v>sh000852</x:v>
      </x:c>
      <x:c r="B1214" s="1" t="str">
        <x:v>中证1000</x:v>
      </x:c>
      <x:c r="C1214" s="1" t="str">
        <x:v>2026-02</x:v>
      </x:c>
      <x:c r="D1214" s="1" t="str">
        <x:v>2026-01-30</x:v>
      </x:c>
      <x:c r="E1214" s="5" t="n">
        <x:v>8254.86</x:v>
      </x:c>
      <x:c r="F1214" s="6" t="str">
        <x:v>2026-02-27</x:v>
      </x:c>
      <x:c r="G1214" s="5" t="n">
        <x:v>8560.84</x:v>
      </x:c>
      <x:c r="H1214" s="7" t="n">
        <x:f>G1214/E1214-1</x:f>
        <x:v>0.03706664922239744</x:v>
      </x:c>
      <x:c r="I1214" s="1" t="n">
        <x:v>1</x:v>
      </x:c>
      <x:c r="J1214" s="1" t="n">
        <x:v>1</x:v>
      </x:c>
      <x:c r="K1214" s="1" t="str">
        <x:v>中证官方优先</x:v>
      </x:c>
    </x:row>
    <x:row r="1215" ht="25" customHeight="1">
      <x:c r="A1215" s="1" t="str">
        <x:v>sh000852</x:v>
      </x:c>
      <x:c r="B1215" s="1" t="str">
        <x:v>中证1000</x:v>
      </x:c>
      <x:c r="C1215" s="1" t="str">
        <x:v>2026-03</x:v>
      </x:c>
      <x:c r="D1215" s="1" t="str">
        <x:v>2026-02-27</x:v>
      </x:c>
      <x:c r="E1215" s="5" t="n">
        <x:v>8560.84</x:v>
      </x:c>
      <x:c r="F1215" s="6" t="str">
        <x:v>2026-03-31</x:v>
      </x:c>
      <x:c r="G1215" s="5" t="n">
        <x:v>7619.85</x:v>
      </x:c>
      <x:c r="H1215" s="7" t="n">
        <x:f>G1215/E1215-1</x:f>
        <x:v>-0.1099179519766752</x:v>
      </x:c>
      <x:c r="I1215" s="1" t="n">
        <x:v>1</x:v>
      </x:c>
      <x:c r="J1215" s="1" t="n">
        <x:v>1</x:v>
      </x:c>
      <x:c r="K1215" s="1" t="str">
        <x:v>中证官方优先</x:v>
      </x:c>
    </x:row>
    <x:row r="1216" ht="25" customHeight="1">
      <x:c r="A1216" s="1" t="str">
        <x:v>sh000852</x:v>
      </x:c>
      <x:c r="B1216" s="1" t="str">
        <x:v>中证1000</x:v>
      </x:c>
      <x:c r="C1216" s="1" t="str">
        <x:v>2026-04</x:v>
      </x:c>
      <x:c r="D1216" s="1" t="str">
        <x:v>2026-03-31</x:v>
      </x:c>
      <x:c r="E1216" s="5" t="n">
        <x:v>7619.85</x:v>
      </x:c>
      <x:c r="F1216" s="6" t="str">
        <x:v>2026-04-30</x:v>
      </x:c>
      <x:c r="G1216" s="5" t="n">
        <x:v>8381.95</x:v>
      </x:c>
      <x:c r="H1216" s="7" t="n">
        <x:f>G1216/E1216-1</x:f>
        <x:v>0.10001509216060689</x:v>
      </x:c>
      <x:c r="I1216" s="1" t="n">
        <x:v>1</x:v>
      </x:c>
      <x:c r="J1216" s="1" t="n">
        <x:v>1</x:v>
      </x:c>
      <x:c r="K1216" s="1" t="str">
        <x:v>中证官方优先</x:v>
      </x:c>
    </x:row>
    <x:row r="1217" ht="25" customHeight="1">
      <x:c r="A1217" s="1" t="str">
        <x:v>sh000852</x:v>
      </x:c>
      <x:c r="B1217" s="1" t="str">
        <x:v>中证1000</x:v>
      </x:c>
      <x:c r="C1217" s="1" t="str">
        <x:v>2026-05</x:v>
      </x:c>
      <x:c r="D1217" s="1" t="str">
        <x:v>2026-04-30</x:v>
      </x:c>
      <x:c r="E1217" s="5" t="n">
        <x:v>8381.95</x:v>
      </x:c>
      <x:c r="F1217" s="6" t="str">
        <x:v>2026-05-29</x:v>
      </x:c>
      <x:c r="G1217" s="5" t="n">
        <x:v>8408.74</x:v>
      </x:c>
      <x:c r="H1217" s="7" t="n">
        <x:f>G1217/E1217-1</x:f>
        <x:v>0.0031961536396660772</x:v>
      </x:c>
      <x:c r="I1217" s="1" t="n">
        <x:v>1</x:v>
      </x:c>
      <x:c r="J1217" s="1" t="n">
        <x:v>1</x:v>
      </x:c>
      <x:c r="K1217" s="1" t="str">
        <x:v>中证官方优先</x:v>
      </x:c>
    </x:row>
    <x:row r="1218" ht="25" customHeight="1">
      <x:c r="A1218" s="1" t="str">
        <x:v>sh000852</x:v>
      </x:c>
      <x:c r="B1218" s="1" t="str">
        <x:v>中证1000</x:v>
      </x:c>
      <x:c r="C1218" s="1" t="str">
        <x:v>2026-06</x:v>
      </x:c>
      <x:c r="D1218" s="1" t="str">
        <x:v>2026-05-29</x:v>
      </x:c>
      <x:c r="E1218" s="5" t="n">
        <x:v>8408.74</x:v>
      </x:c>
      <x:c r="F1218" s="6" t="str">
        <x:v>2026-06-30</x:v>
      </x:c>
      <x:c r="G1218" s="5" t="n">
        <x:v>8809.79</x:v>
      </x:c>
      <x:c r="H1218" s="7" t="n">
        <x:f>G1218/E1218-1</x:f>
        <x:v>0.047694422707801776</x:v>
      </x:c>
      <x:c r="I1218" s="1" t="n">
        <x:v>1</x:v>
      </x:c>
      <x:c r="J1218" s="1" t="n">
        <x:v>1</x:v>
      </x:c>
      <x:c r="K1218" s="1" t="str">
        <x:v>中证官方优先</x:v>
      </x:c>
    </x:row>
    <x:row r="1219" ht="25" customHeight="1">
      <x:c r="A1219" s="1" t="str">
        <x:v>sh000852</x:v>
      </x:c>
      <x:c r="B1219" s="1" t="str">
        <x:v>中证1000</x:v>
      </x:c>
      <x:c r="C1219" s="1" t="str">
        <x:v>2026-07</x:v>
      </x:c>
      <x:c r="D1219" s="1" t="str">
        <x:v>2026-06-30</x:v>
      </x:c>
      <x:c r="E1219" s="5" t="n">
        <x:v>8809.79</x:v>
      </x:c>
      <x:c r="F1219" s="6" t="str">
        <x:v>2026-07-31</x:v>
      </x:c>
      <x:c r="G1219" s="5" t="n">
        <x:v>7075.51</x:v>
      </x:c>
      <x:c r="H1219" s="7" t="n">
        <x:f>G1219/E1219-1</x:f>
        <x:v>-0.19685826790422933</x:v>
      </x:c>
      <x:c r="I1219" s="1" t="n">
        <x:v>1</x:v>
      </x:c>
      <x:c r="J1219" s="1" t="n">
        <x:v>1</x:v>
      </x:c>
      <x:c r="K1219" s="1" t="str">
        <x:v>中证官方优先</x:v>
      </x:c>
    </x:row>
    <x:row r="1220" ht="25" customHeight="1">
      <x:c r="A1220" s="1" t="str">
        <x:v>sh000852</x:v>
      </x:c>
      <x:c r="B1220" s="1" t="str">
        <x:v>中证1000</x:v>
      </x:c>
      <x:c r="C1220" s="1" t="str">
        <x:v>2026-08</x:v>
      </x:c>
      <x:c r="D1220" s="1" t="str">
        <x:v>2026-07-31</x:v>
      </x:c>
      <x:c r="E1220" s="5" t="n">
        <x:v>7075.51</x:v>
      </x:c>
      <x:c r="F1220" s="6" t="str">
        <x:v>2026-08-31</x:v>
      </x:c>
      <x:c r="G1220" s="5" t="n">
        <x:v>7770.42</x:v>
      </x:c>
      <x:c r="H1220" s="7" t="n">
        <x:f>G1220/E1220-1</x:f>
        <x:v>0.09821341500471337</x:v>
      </x:c>
      <x:c r="I1220" s="1" t="n">
        <x:v>1</x:v>
      </x:c>
      <x:c r="J1220" s="1" t="n">
        <x:v>1</x:v>
      </x:c>
      <x:c r="K1220" s="1" t="str">
        <x:v>中证官方优先</x:v>
      </x:c>
    </x:row>
    <x:row r="1221" ht="25" customHeight="1">
      <x:c r="A1221" s="1" t="str">
        <x:v>sh000852</x:v>
      </x:c>
      <x:c r="B1221" s="1" t="str">
        <x:v>中证1000</x:v>
      </x:c>
      <x:c r="C1221" s="1" t="str">
        <x:v>2026-09</x:v>
      </x:c>
      <x:c r="D1221" s="1" t="str">
        <x:v>2026-08-31</x:v>
      </x:c>
      <x:c r="E1221" s="5" t="n">
        <x:v>7770.42</x:v>
      </x:c>
      <x:c r="F1221" s="6" t="str">
        <x:v>2026-09-30</x:v>
      </x:c>
      <x:c r="G1221" s="5" t="n">
        <x:v>7298.82</x:v>
      </x:c>
      <x:c r="H1221" s="7" t="n">
        <x:f>G1221/E1221-1</x:f>
        <x:v>-0.06069170006254487</x:v>
      </x:c>
      <x:c r="I1221" s="1" t="n">
        <x:v>1</x:v>
      </x:c>
      <x:c r="J1221" s="1" t="n">
        <x:v>1</x:v>
      </x:c>
      <x:c r="K1221" s="1" t="str">
        <x:v>中证官方优先</x:v>
      </x:c>
    </x:row>
    <x:row r="1222" ht="25" customHeight="1">
      <x:c r="A1222" s="1" t="str">
        <x:v>sh000852</x:v>
      </x:c>
      <x:c r="B1222" s="1" t="str">
        <x:v>中证1000</x:v>
      </x:c>
      <x:c r="C1222" s="1" t="str">
        <x:v>2026-10</x:v>
      </x:c>
      <x:c r="D1222" s="1" t="str">
        <x:v>2026-09-30</x:v>
      </x:c>
      <x:c r="E1222" s="5" t="n">
        <x:v>7298.82</x:v>
      </x:c>
      <x:c r="F1222" s="6" t="str">
        <x:v>2026-10-09</x:v>
      </x:c>
      <x:c r="G1222" s="5" t="n">
        <x:v>7155.91</x:v>
      </x:c>
      <x:c r="H1222" s="7" t="n">
        <x:f>G1222/E1222-1</x:f>
        <x:v>-0.019579877295234027</x:v>
      </x:c>
      <x:c r="I1222" s="1" t="n">
        <x:v>0</x:v>
      </x:c>
      <x:c r="J1222" s="1" t="n">
        <x:v>1</x:v>
      </x:c>
      <x:c r="K1222" s="1" t="str">
        <x:v>中证官方优先</x:v>
      </x:c>
    </x:row>
    <x:row r="1223" ht="25" customHeight="1">
      <x:c r="A1223" s="1" t="str">
        <x:v>sh932000</x:v>
      </x:c>
      <x:c r="B1223" s="1" t="str">
        <x:v>中证2000</x:v>
      </x:c>
      <x:c r="C1223" s="1" t="str">
        <x:v>2014-01</x:v>
      </x:c>
      <x:c r="D1223" s="1" t="str">
        <x:v>2013-12-31</x:v>
      </x:c>
      <x:c r="E1223" s="5" t="n">
        <x:v>1000</x:v>
      </x:c>
      <x:c r="F1223" s="6" t="str">
        <x:v>2014-01-30</x:v>
      </x:c>
      <x:c r="G1223" s="5" t="n">
        <x:v>1050.07</x:v>
      </x:c>
      <x:c r="H1223" s="7" t="n">
        <x:f>G1223/E1223-1</x:f>
        <x:v>0.05006999999999984</x:v>
      </x:c>
      <x:c r="I1223" s="1" t="n">
        <x:v>1</x:v>
      </x:c>
      <x:c r="J1223" s="1" t="n">
        <x:v>0</x:v>
      </x:c>
      <x:c r="K1223" s="1" t="str">
        <x:v>中证官方优先</x:v>
      </x:c>
    </x:row>
    <x:row r="1224" ht="25" customHeight="1">
      <x:c r="A1224" s="1" t="str">
        <x:v>sh932000</x:v>
      </x:c>
      <x:c r="B1224" s="1" t="str">
        <x:v>中证2000</x:v>
      </x:c>
      <x:c r="C1224" s="1" t="str">
        <x:v>2014-02</x:v>
      </x:c>
      <x:c r="D1224" s="1" t="str">
        <x:v>2014-01-30</x:v>
      </x:c>
      <x:c r="E1224" s="5" t="n">
        <x:v>1050.07</x:v>
      </x:c>
      <x:c r="F1224" s="6" t="str">
        <x:v>2014-02-28</x:v>
      </x:c>
      <x:c r="G1224" s="5" t="n">
        <x:v>1108</x:v>
      </x:c>
      <x:c r="H1224" s="7" t="n">
        <x:f>G1224/E1224-1</x:f>
        <x:v>0.05516775072138058</x:v>
      </x:c>
      <x:c r="I1224" s="1" t="n">
        <x:v>1</x:v>
      </x:c>
      <x:c r="J1224" s="1" t="n">
        <x:v>0</x:v>
      </x:c>
      <x:c r="K1224" s="1" t="str">
        <x:v>中证官方优先</x:v>
      </x:c>
    </x:row>
    <x:row r="1225" ht="25" customHeight="1">
      <x:c r="A1225" s="1" t="str">
        <x:v>sh932000</x:v>
      </x:c>
      <x:c r="B1225" s="1" t="str">
        <x:v>中证2000</x:v>
      </x:c>
      <x:c r="C1225" s="1" t="str">
        <x:v>2014-03</x:v>
      </x:c>
      <x:c r="D1225" s="1" t="str">
        <x:v>2014-02-28</x:v>
      </x:c>
      <x:c r="E1225" s="5" t="n">
        <x:v>1108</x:v>
      </x:c>
      <x:c r="F1225" s="6" t="str">
        <x:v>2014-03-31</x:v>
      </x:c>
      <x:c r="G1225" s="5" t="n">
        <x:v>1068.61</x:v>
      </x:c>
      <x:c r="H1225" s="7" t="n">
        <x:f>G1225/E1225-1</x:f>
        <x:v>-0.03555054151624559</x:v>
      </x:c>
      <x:c r="I1225" s="1" t="n">
        <x:v>1</x:v>
      </x:c>
      <x:c r="J1225" s="1" t="n">
        <x:v>0</x:v>
      </x:c>
      <x:c r="K1225" s="1" t="str">
        <x:v>中证官方优先</x:v>
      </x:c>
    </x:row>
    <x:row r="1226" ht="25" customHeight="1">
      <x:c r="A1226" s="1" t="str">
        <x:v>sh932000</x:v>
      </x:c>
      <x:c r="B1226" s="1" t="str">
        <x:v>中证2000</x:v>
      </x:c>
      <x:c r="C1226" s="1" t="str">
        <x:v>2014-04</x:v>
      </x:c>
      <x:c r="D1226" s="1" t="str">
        <x:v>2014-03-31</x:v>
      </x:c>
      <x:c r="E1226" s="5" t="n">
        <x:v>1068.61</x:v>
      </x:c>
      <x:c r="F1226" s="6" t="str">
        <x:v>2014-04-30</x:v>
      </x:c>
      <x:c r="G1226" s="5" t="n">
        <x:v>1071.14</x:v>
      </x:c>
      <x:c r="H1226" s="7" t="n">
        <x:f>G1226/E1226-1</x:f>
        <x:v>0.002367561598712431</x:v>
      </x:c>
      <x:c r="I1226" s="1" t="n">
        <x:v>1</x:v>
      </x:c>
      <x:c r="J1226" s="1" t="n">
        <x:v>0</x:v>
      </x:c>
      <x:c r="K1226" s="1" t="str">
        <x:v>中证官方优先</x:v>
      </x:c>
    </x:row>
    <x:row r="1227" ht="25" customHeight="1">
      <x:c r="A1227" s="1" t="str">
        <x:v>sh932000</x:v>
      </x:c>
      <x:c r="B1227" s="1" t="str">
        <x:v>中证2000</x:v>
      </x:c>
      <x:c r="C1227" s="1" t="str">
        <x:v>2014-05</x:v>
      </x:c>
      <x:c r="D1227" s="1" t="str">
        <x:v>2014-04-30</x:v>
      </x:c>
      <x:c r="E1227" s="5" t="n">
        <x:v>1071.14</x:v>
      </x:c>
      <x:c r="F1227" s="6" t="str">
        <x:v>2014-05-30</x:v>
      </x:c>
      <x:c r="G1227" s="5" t="n">
        <x:v>1121.91</x:v>
      </x:c>
      <x:c r="H1227" s="7" t="n">
        <x:f>G1227/E1227-1</x:f>
        <x:v>0.047398099221390266</x:v>
      </x:c>
      <x:c r="I1227" s="1" t="n">
        <x:v>1</x:v>
      </x:c>
      <x:c r="J1227" s="1" t="n">
        <x:v>0</x:v>
      </x:c>
      <x:c r="K1227" s="1" t="str">
        <x:v>中证官方优先</x:v>
      </x:c>
    </x:row>
    <x:row r="1228" ht="25" customHeight="1">
      <x:c r="A1228" s="1" t="str">
        <x:v>sh932000</x:v>
      </x:c>
      <x:c r="B1228" s="1" t="str">
        <x:v>中证2000</x:v>
      </x:c>
      <x:c r="C1228" s="1" t="str">
        <x:v>2014-06</x:v>
      </x:c>
      <x:c r="D1228" s="1" t="str">
        <x:v>2014-05-30</x:v>
      </x:c>
      <x:c r="E1228" s="5" t="n">
        <x:v>1121.91</x:v>
      </x:c>
      <x:c r="F1228" s="6" t="str">
        <x:v>2014-06-30</x:v>
      </x:c>
      <x:c r="G1228" s="5" t="n">
        <x:v>1189.85</x:v>
      </x:c>
      <x:c r="H1228" s="7" t="n">
        <x:f>G1228/E1228-1</x:f>
        <x:v>0.060557442219072666</x:v>
      </x:c>
      <x:c r="I1228" s="1" t="n">
        <x:v>1</x:v>
      </x:c>
      <x:c r="J1228" s="1" t="n">
        <x:v>0</x:v>
      </x:c>
      <x:c r="K1228" s="1" t="str">
        <x:v>中证官方优先</x:v>
      </x:c>
    </x:row>
    <x:row r="1229" ht="25" customHeight="1">
      <x:c r="A1229" s="1" t="str">
        <x:v>sh932000</x:v>
      </x:c>
      <x:c r="B1229" s="1" t="str">
        <x:v>中证2000</x:v>
      </x:c>
      <x:c r="C1229" s="1" t="str">
        <x:v>2014-07</x:v>
      </x:c>
      <x:c r="D1229" s="1" t="str">
        <x:v>2014-06-30</x:v>
      </x:c>
      <x:c r="E1229" s="5" t="n">
        <x:v>1189.85</x:v>
      </x:c>
      <x:c r="F1229" s="6" t="str">
        <x:v>2014-07-31</x:v>
      </x:c>
      <x:c r="G1229" s="5" t="n">
        <x:v>1270.11</x:v>
      </x:c>
      <x:c r="H1229" s="7" t="n">
        <x:f>G1229/E1229-1</x:f>
        <x:v>0.0674538807412699</x:v>
      </x:c>
      <x:c r="I1229" s="1" t="n">
        <x:v>1</x:v>
      </x:c>
      <x:c r="J1229" s="1" t="n">
        <x:v>0</x:v>
      </x:c>
      <x:c r="K1229" s="1" t="str">
        <x:v>中证官方优先</x:v>
      </x:c>
    </x:row>
    <x:row r="1230" ht="25" customHeight="1">
      <x:c r="A1230" s="1" t="str">
        <x:v>sh932000</x:v>
      </x:c>
      <x:c r="B1230" s="1" t="str">
        <x:v>中证2000</x:v>
      </x:c>
      <x:c r="C1230" s="1" t="str">
        <x:v>2014-08</x:v>
      </x:c>
      <x:c r="D1230" s="1" t="str">
        <x:v>2014-07-31</x:v>
      </x:c>
      <x:c r="E1230" s="5" t="n">
        <x:v>1270.11</x:v>
      </x:c>
      <x:c r="F1230" s="6" t="str">
        <x:v>2014-08-29</x:v>
      </x:c>
      <x:c r="G1230" s="5" t="n">
        <x:v>1366.31</x:v>
      </x:c>
      <x:c r="H1230" s="7" t="n">
        <x:f>G1230/E1230-1</x:f>
        <x:v>0.07574147121115504</x:v>
      </x:c>
      <x:c r="I1230" s="1" t="n">
        <x:v>1</x:v>
      </x:c>
      <x:c r="J1230" s="1" t="n">
        <x:v>0</x:v>
      </x:c>
      <x:c r="K1230" s="1" t="str">
        <x:v>中证官方优先</x:v>
      </x:c>
    </x:row>
    <x:row r="1231" ht="25" customHeight="1">
      <x:c r="A1231" s="1" t="str">
        <x:v>sh932000</x:v>
      </x:c>
      <x:c r="B1231" s="1" t="str">
        <x:v>中证2000</x:v>
      </x:c>
      <x:c r="C1231" s="1" t="str">
        <x:v>2014-09</x:v>
      </x:c>
      <x:c r="D1231" s="1" t="str">
        <x:v>2014-08-29</x:v>
      </x:c>
      <x:c r="E1231" s="5" t="n">
        <x:v>1366.31</x:v>
      </x:c>
      <x:c r="F1231" s="6" t="str">
        <x:v>2014-09-30</x:v>
      </x:c>
      <x:c r="G1231" s="5" t="n">
        <x:v>1632.09</x:v>
      </x:c>
      <x:c r="H1231" s="7" t="n">
        <x:f>G1231/E1231-1</x:f>
        <x:v>0.1945239367347087</x:v>
      </x:c>
      <x:c r="I1231" s="1" t="n">
        <x:v>1</x:v>
      </x:c>
      <x:c r="J1231" s="1" t="n">
        <x:v>0</x:v>
      </x:c>
      <x:c r="K1231" s="1" t="str">
        <x:v>中证官方优先</x:v>
      </x:c>
    </x:row>
    <x:row r="1232" ht="25" customHeight="1">
      <x:c r="A1232" s="1" t="str">
        <x:v>sh932000</x:v>
      </x:c>
      <x:c r="B1232" s="1" t="str">
        <x:v>中证2000</x:v>
      </x:c>
      <x:c r="C1232" s="1" t="str">
        <x:v>2014-10</x:v>
      </x:c>
      <x:c r="D1232" s="1" t="str">
        <x:v>2014-09-30</x:v>
      </x:c>
      <x:c r="E1232" s="5" t="n">
        <x:v>1632.09</x:v>
      </x:c>
      <x:c r="F1232" s="6" t="str">
        <x:v>2014-10-31</x:v>
      </x:c>
      <x:c r="G1232" s="5" t="n">
        <x:v>1670.82</x:v>
      </x:c>
      <x:c r="H1232" s="7" t="n">
        <x:f>G1232/E1232-1</x:f>
        <x:v>0.023730308990313143</x:v>
      </x:c>
      <x:c r="I1232" s="1" t="n">
        <x:v>1</x:v>
      </x:c>
      <x:c r="J1232" s="1" t="n">
        <x:v>0</x:v>
      </x:c>
      <x:c r="K1232" s="1" t="str">
        <x:v>中证官方优先</x:v>
      </x:c>
    </x:row>
    <x:row r="1233" ht="25" customHeight="1">
      <x:c r="A1233" s="1" t="str">
        <x:v>sh932000</x:v>
      </x:c>
      <x:c r="B1233" s="1" t="str">
        <x:v>中证2000</x:v>
      </x:c>
      <x:c r="C1233" s="1" t="str">
        <x:v>2014-11</x:v>
      </x:c>
      <x:c r="D1233" s="1" t="str">
        <x:v>2014-10-31</x:v>
      </x:c>
      <x:c r="E1233" s="5" t="n">
        <x:v>1670.82</x:v>
      </x:c>
      <x:c r="F1233" s="6" t="str">
        <x:v>2014-11-28</x:v>
      </x:c>
      <x:c r="G1233" s="5" t="n">
        <x:v>1750.83</x:v>
      </x:c>
      <x:c r="H1233" s="7" t="n">
        <x:f>G1233/E1233-1</x:f>
        <x:v>0.04788666642726325</x:v>
      </x:c>
      <x:c r="I1233" s="1" t="n">
        <x:v>1</x:v>
      </x:c>
      <x:c r="J1233" s="1" t="n">
        <x:v>0</x:v>
      </x:c>
      <x:c r="K1233" s="1" t="str">
        <x:v>中证官方优先</x:v>
      </x:c>
    </x:row>
    <x:row r="1234" ht="25" customHeight="1">
      <x:c r="A1234" s="1" t="str">
        <x:v>sh932000</x:v>
      </x:c>
      <x:c r="B1234" s="1" t="str">
        <x:v>中证2000</x:v>
      </x:c>
      <x:c r="C1234" s="1" t="str">
        <x:v>2014-12</x:v>
      </x:c>
      <x:c r="D1234" s="1" t="str">
        <x:v>2014-11-28</x:v>
      </x:c>
      <x:c r="E1234" s="5" t="n">
        <x:v>1750.83</x:v>
      </x:c>
      <x:c r="F1234" s="6" t="str">
        <x:v>2014-12-31</x:v>
      </x:c>
      <x:c r="G1234" s="5" t="n">
        <x:v>1535.43</x:v>
      </x:c>
      <x:c r="H1234" s="7" t="n">
        <x:f>G1234/E1234-1</x:f>
        <x:v>-0.12302736416442484</x:v>
      </x:c>
      <x:c r="I1234" s="1" t="n">
        <x:v>1</x:v>
      </x:c>
      <x:c r="J1234" s="1" t="n">
        <x:v>0</x:v>
      </x:c>
      <x:c r="K1234" s="1" t="str">
        <x:v>中证官方优先</x:v>
      </x:c>
    </x:row>
    <x:row r="1235" ht="25" customHeight="1">
      <x:c r="A1235" s="1" t="str">
        <x:v>sh932000</x:v>
      </x:c>
      <x:c r="B1235" s="1" t="str">
        <x:v>中证2000</x:v>
      </x:c>
      <x:c r="C1235" s="1" t="str">
        <x:v>2015-01</x:v>
      </x:c>
      <x:c r="D1235" s="1" t="str">
        <x:v>2014-12-31</x:v>
      </x:c>
      <x:c r="E1235" s="5" t="n">
        <x:v>1535.43</x:v>
      </x:c>
      <x:c r="F1235" s="6" t="str">
        <x:v>2015-01-30</x:v>
      </x:c>
      <x:c r="G1235" s="5" t="n">
        <x:v>1678.79</x:v>
      </x:c>
      <x:c r="H1235" s="7" t="n">
        <x:f>G1235/E1235-1</x:f>
        <x:v>0.09336798160775794</x:v>
      </x:c>
      <x:c r="I1235" s="1" t="n">
        <x:v>1</x:v>
      </x:c>
      <x:c r="J1235" s="1" t="n">
        <x:v>0</x:v>
      </x:c>
      <x:c r="K1235" s="1" t="str">
        <x:v>中证官方优先</x:v>
      </x:c>
    </x:row>
    <x:row r="1236" ht="25" customHeight="1">
      <x:c r="A1236" s="1" t="str">
        <x:v>sh932000</x:v>
      </x:c>
      <x:c r="B1236" s="1" t="str">
        <x:v>中证2000</x:v>
      </x:c>
      <x:c r="C1236" s="1" t="str">
        <x:v>2015-02</x:v>
      </x:c>
      <x:c r="D1236" s="1" t="str">
        <x:v>2015-01-30</x:v>
      </x:c>
      <x:c r="E1236" s="5" t="n">
        <x:v>1678.79</x:v>
      </x:c>
      <x:c r="F1236" s="6" t="str">
        <x:v>2015-02-27</x:v>
      </x:c>
      <x:c r="G1236" s="5" t="n">
        <x:v>1824.88</x:v>
      </x:c>
      <x:c r="H1236" s="7" t="n">
        <x:f>G1236/E1236-1</x:f>
        <x:v>0.08702100917923028</x:v>
      </x:c>
      <x:c r="I1236" s="1" t="n">
        <x:v>1</x:v>
      </x:c>
      <x:c r="J1236" s="1" t="n">
        <x:v>0</x:v>
      </x:c>
      <x:c r="K1236" s="1" t="str">
        <x:v>中证官方优先</x:v>
      </x:c>
    </x:row>
    <x:row r="1237" ht="25" customHeight="1">
      <x:c r="A1237" s="1" t="str">
        <x:v>sh932000</x:v>
      </x:c>
      <x:c r="B1237" s="1" t="str">
        <x:v>中证2000</x:v>
      </x:c>
      <x:c r="C1237" s="1" t="str">
        <x:v>2015-03</x:v>
      </x:c>
      <x:c r="D1237" s="1" t="str">
        <x:v>2015-02-27</x:v>
      </x:c>
      <x:c r="E1237" s="5" t="n">
        <x:v>1824.88</x:v>
      </x:c>
      <x:c r="F1237" s="6" t="str">
        <x:v>2015-03-31</x:v>
      </x:c>
      <x:c r="G1237" s="5" t="n">
        <x:v>2311.59</x:v>
      </x:c>
      <x:c r="H1237" s="7" t="n">
        <x:f>G1237/E1237-1</x:f>
        <x:v>0.2667079479198633</x:v>
      </x:c>
      <x:c r="I1237" s="1" t="n">
        <x:v>1</x:v>
      </x:c>
      <x:c r="J1237" s="1" t="n">
        <x:v>0</x:v>
      </x:c>
      <x:c r="K1237" s="1" t="str">
        <x:v>中证官方优先</x:v>
      </x:c>
    </x:row>
    <x:row r="1238" ht="25" customHeight="1">
      <x:c r="A1238" s="1" t="str">
        <x:v>sh932000</x:v>
      </x:c>
      <x:c r="B1238" s="1" t="str">
        <x:v>中证2000</x:v>
      </x:c>
      <x:c r="C1238" s="1" t="str">
        <x:v>2015-04</x:v>
      </x:c>
      <x:c r="D1238" s="1" t="str">
        <x:v>2015-03-31</x:v>
      </x:c>
      <x:c r="E1238" s="5" t="n">
        <x:v>2311.59</x:v>
      </x:c>
      <x:c r="F1238" s="6" t="str">
        <x:v>2015-04-30</x:v>
      </x:c>
      <x:c r="G1238" s="5" t="n">
        <x:v>2773.29</x:v>
      </x:c>
      <x:c r="H1238" s="7" t="n">
        <x:f>G1238/E1238-1</x:f>
        <x:v>0.19973265155152942</x:v>
      </x:c>
      <x:c r="I1238" s="1" t="n">
        <x:v>1</x:v>
      </x:c>
      <x:c r="J1238" s="1" t="n">
        <x:v>0</x:v>
      </x:c>
      <x:c r="K1238" s="1" t="str">
        <x:v>中证官方优先</x:v>
      </x:c>
    </x:row>
    <x:row r="1239" ht="25" customHeight="1">
      <x:c r="A1239" s="1" t="str">
        <x:v>sh932000</x:v>
      </x:c>
      <x:c r="B1239" s="1" t="str">
        <x:v>中证2000</x:v>
      </x:c>
      <x:c r="C1239" s="1" t="str">
        <x:v>2015-05</x:v>
      </x:c>
      <x:c r="D1239" s="1" t="str">
        <x:v>2015-04-30</x:v>
      </x:c>
      <x:c r="E1239" s="5" t="n">
        <x:v>2773.29</x:v>
      </x:c>
      <x:c r="F1239" s="6" t="str">
        <x:v>2015-05-29</x:v>
      </x:c>
      <x:c r="G1239" s="5" t="n">
        <x:v>3751.66</x:v>
      </x:c>
      <x:c r="H1239" s="7" t="n">
        <x:f>G1239/E1239-1</x:f>
        <x:v>0.35278315646758895</x:v>
      </x:c>
      <x:c r="I1239" s="1" t="n">
        <x:v>1</x:v>
      </x:c>
      <x:c r="J1239" s="1" t="n">
        <x:v>0</x:v>
      </x:c>
      <x:c r="K1239" s="1" t="str">
        <x:v>中证官方优先</x:v>
      </x:c>
    </x:row>
    <x:row r="1240" ht="25" customHeight="1">
      <x:c r="A1240" s="1" t="str">
        <x:v>sh932000</x:v>
      </x:c>
      <x:c r="B1240" s="1" t="str">
        <x:v>中证2000</x:v>
      </x:c>
      <x:c r="C1240" s="1" t="str">
        <x:v>2015-06</x:v>
      </x:c>
      <x:c r="D1240" s="1" t="str">
        <x:v>2015-05-29</x:v>
      </x:c>
      <x:c r="E1240" s="5" t="n">
        <x:v>3751.66</x:v>
      </x:c>
      <x:c r="F1240" s="6" t="str">
        <x:v>2015-06-30</x:v>
      </x:c>
      <x:c r="G1240" s="5" t="n">
        <x:v>3264.39</x:v>
      </x:c>
      <x:c r="H1240" s="7" t="n">
        <x:f>G1240/E1240-1</x:f>
        <x:v>-0.12988117260092868</x:v>
      </x:c>
      <x:c r="I1240" s="1" t="n">
        <x:v>1</x:v>
      </x:c>
      <x:c r="J1240" s="1" t="n">
        <x:v>0</x:v>
      </x:c>
      <x:c r="K1240" s="1" t="str">
        <x:v>中证官方优先</x:v>
      </x:c>
    </x:row>
    <x:row r="1241" ht="25" customHeight="1">
      <x:c r="A1241" s="1" t="str">
        <x:v>sh932000</x:v>
      </x:c>
      <x:c r="B1241" s="1" t="str">
        <x:v>中证2000</x:v>
      </x:c>
      <x:c r="C1241" s="1" t="str">
        <x:v>2015-07</x:v>
      </x:c>
      <x:c r="D1241" s="1" t="str">
        <x:v>2015-06-30</x:v>
      </x:c>
      <x:c r="E1241" s="5" t="n">
        <x:v>3264.39</x:v>
      </x:c>
      <x:c r="F1241" s="6" t="str">
        <x:v>2015-07-31</x:v>
      </x:c>
      <x:c r="G1241" s="5" t="n">
        <x:v>2660.02</x:v>
      </x:c>
      <x:c r="H1241" s="7" t="n">
        <x:f>G1241/E1241-1</x:f>
        <x:v>-0.1851402559130496</x:v>
      </x:c>
      <x:c r="I1241" s="1" t="n">
        <x:v>1</x:v>
      </x:c>
      <x:c r="J1241" s="1" t="n">
        <x:v>0</x:v>
      </x:c>
      <x:c r="K1241" s="1" t="str">
        <x:v>中证官方优先</x:v>
      </x:c>
    </x:row>
    <x:row r="1242" ht="25" customHeight="1">
      <x:c r="A1242" s="1" t="str">
        <x:v>sh932000</x:v>
      </x:c>
      <x:c r="B1242" s="1" t="str">
        <x:v>中证2000</x:v>
      </x:c>
      <x:c r="C1242" s="1" t="str">
        <x:v>2015-08</x:v>
      </x:c>
      <x:c r="D1242" s="1" t="str">
        <x:v>2015-07-31</x:v>
      </x:c>
      <x:c r="E1242" s="5" t="n">
        <x:v>2660.02</x:v>
      </x:c>
      <x:c r="F1242" s="6" t="str">
        <x:v>2015-08-31</x:v>
      </x:c>
      <x:c r="G1242" s="5" t="n">
        <x:v>2355.45</x:v>
      </x:c>
      <x:c r="H1242" s="7" t="n">
        <x:f>G1242/E1242-1</x:f>
        <x:v>-0.11449913910421727</x:v>
      </x:c>
      <x:c r="I1242" s="1" t="n">
        <x:v>1</x:v>
      </x:c>
      <x:c r="J1242" s="1" t="n">
        <x:v>0</x:v>
      </x:c>
      <x:c r="K1242" s="1" t="str">
        <x:v>中证官方优先</x:v>
      </x:c>
    </x:row>
    <x:row r="1243" ht="25" customHeight="1">
      <x:c r="A1243" s="1" t="str">
        <x:v>sh932000</x:v>
      </x:c>
      <x:c r="B1243" s="1" t="str">
        <x:v>中证2000</x:v>
      </x:c>
      <x:c r="C1243" s="1" t="str">
        <x:v>2015-09</x:v>
      </x:c>
      <x:c r="D1243" s="1" t="str">
        <x:v>2015-08-31</x:v>
      </x:c>
      <x:c r="E1243" s="5" t="n">
        <x:v>2355.45</x:v>
      </x:c>
      <x:c r="F1243" s="6" t="str">
        <x:v>2015-09-30</x:v>
      </x:c>
      <x:c r="G1243" s="5" t="n">
        <x:v>2208.41</x:v>
      </x:c>
      <x:c r="H1243" s="7" t="n">
        <x:f>G1243/E1243-1</x:f>
        <x:v>-0.062425438875798656</x:v>
      </x:c>
      <x:c r="I1243" s="1" t="n">
        <x:v>1</x:v>
      </x:c>
      <x:c r="J1243" s="1" t="n">
        <x:v>0</x:v>
      </x:c>
      <x:c r="K1243" s="1" t="str">
        <x:v>中证官方优先</x:v>
      </x:c>
    </x:row>
    <x:row r="1244" ht="25" customHeight="1">
      <x:c r="A1244" s="1" t="str">
        <x:v>sh932000</x:v>
      </x:c>
      <x:c r="B1244" s="1" t="str">
        <x:v>中证2000</x:v>
      </x:c>
      <x:c r="C1244" s="1" t="str">
        <x:v>2015-10</x:v>
      </x:c>
      <x:c r="D1244" s="1" t="str">
        <x:v>2015-09-30</x:v>
      </x:c>
      <x:c r="E1244" s="5" t="n">
        <x:v>2208.41</x:v>
      </x:c>
      <x:c r="F1244" s="6" t="str">
        <x:v>2015-10-30</x:v>
      </x:c>
      <x:c r="G1244" s="5" t="n">
        <x:v>2639.54</x:v>
      </x:c>
      <x:c r="H1244" s="7" t="n">
        <x:f>G1244/E1244-1</x:f>
        <x:v>0.19522190173020415</x:v>
      </x:c>
      <x:c r="I1244" s="1" t="n">
        <x:v>1</x:v>
      </x:c>
      <x:c r="J1244" s="1" t="n">
        <x:v>0</x:v>
      </x:c>
      <x:c r="K1244" s="1" t="str">
        <x:v>中证官方优先</x:v>
      </x:c>
    </x:row>
    <x:row r="1245" ht="25" customHeight="1">
      <x:c r="A1245" s="1" t="str">
        <x:v>sh932000</x:v>
      </x:c>
      <x:c r="B1245" s="1" t="str">
        <x:v>中证2000</x:v>
      </x:c>
      <x:c r="C1245" s="1" t="str">
        <x:v>2015-11</x:v>
      </x:c>
      <x:c r="D1245" s="1" t="str">
        <x:v>2015-10-30</x:v>
      </x:c>
      <x:c r="E1245" s="5" t="n">
        <x:v>2639.54</x:v>
      </x:c>
      <x:c r="F1245" s="6" t="str">
        <x:v>2015-11-30</x:v>
      </x:c>
      <x:c r="G1245" s="5" t="n">
        <x:v>2984.18</x:v>
      </x:c>
      <x:c r="H1245" s="7" t="n">
        <x:f>G1245/E1245-1</x:f>
        <x:v>0.13056820506603417</x:v>
      </x:c>
      <x:c r="I1245" s="1" t="n">
        <x:v>1</x:v>
      </x:c>
      <x:c r="J1245" s="1" t="n">
        <x:v>0</x:v>
      </x:c>
      <x:c r="K1245" s="1" t="str">
        <x:v>中证官方优先</x:v>
      </x:c>
    </x:row>
    <x:row r="1246" ht="25" customHeight="1">
      <x:c r="A1246" s="1" t="str">
        <x:v>sh932000</x:v>
      </x:c>
      <x:c r="B1246" s="1" t="str">
        <x:v>中证2000</x:v>
      </x:c>
      <x:c r="C1246" s="1" t="str">
        <x:v>2015-12</x:v>
      </x:c>
      <x:c r="D1246" s="1" t="str">
        <x:v>2015-11-30</x:v>
      </x:c>
      <x:c r="E1246" s="5" t="n">
        <x:v>2984.18</x:v>
      </x:c>
      <x:c r="F1246" s="6" t="str">
        <x:v>2015-12-31</x:v>
      </x:c>
      <x:c r="G1246" s="5" t="n">
        <x:v>3221.09</x:v>
      </x:c>
      <x:c r="H1246" s="7" t="n">
        <x:f>G1246/E1246-1</x:f>
        <x:v>0.07938864277624025</x:v>
      </x:c>
      <x:c r="I1246" s="1" t="n">
        <x:v>1</x:v>
      </x:c>
      <x:c r="J1246" s="1" t="n">
        <x:v>0</x:v>
      </x:c>
      <x:c r="K1246" s="1" t="str">
        <x:v>中证官方优先</x:v>
      </x:c>
    </x:row>
    <x:row r="1247" ht="25" customHeight="1">
      <x:c r="A1247" s="1" t="str">
        <x:v>sh932000</x:v>
      </x:c>
      <x:c r="B1247" s="1" t="str">
        <x:v>中证2000</x:v>
      </x:c>
      <x:c r="C1247" s="1" t="str">
        <x:v>2016-01</x:v>
      </x:c>
      <x:c r="D1247" s="1" t="str">
        <x:v>2015-12-31</x:v>
      </x:c>
      <x:c r="E1247" s="5" t="n">
        <x:v>3221.09</x:v>
      </x:c>
      <x:c r="F1247" s="6" t="str">
        <x:v>2016-01-29</x:v>
      </x:c>
      <x:c r="G1247" s="5" t="n">
        <x:v>2293.66</x:v>
      </x:c>
      <x:c r="H1247" s="7" t="n">
        <x:f>G1247/E1247-1</x:f>
        <x:v>-0.2879242740811341</x:v>
      </x:c>
      <x:c r="I1247" s="1" t="n">
        <x:v>1</x:v>
      </x:c>
      <x:c r="J1247" s="1" t="n">
        <x:v>0</x:v>
      </x:c>
      <x:c r="K1247" s="1" t="str">
        <x:v>中证官方优先</x:v>
      </x:c>
    </x:row>
    <x:row r="1248" ht="25" customHeight="1">
      <x:c r="A1248" s="1" t="str">
        <x:v>sh932000</x:v>
      </x:c>
      <x:c r="B1248" s="1" t="str">
        <x:v>中证2000</x:v>
      </x:c>
      <x:c r="C1248" s="1" t="str">
        <x:v>2016-02</x:v>
      </x:c>
      <x:c r="D1248" s="1" t="str">
        <x:v>2016-01-29</x:v>
      </x:c>
      <x:c r="E1248" s="5" t="n">
        <x:v>2293.66</x:v>
      </x:c>
      <x:c r="F1248" s="6" t="str">
        <x:v>2016-02-29</x:v>
      </x:c>
      <x:c r="G1248" s="5" t="n">
        <x:v>2254.46</x:v>
      </x:c>
      <x:c r="H1248" s="7" t="n">
        <x:f>G1248/E1248-1</x:f>
        <x:v>-0.01709058884054293</x:v>
      </x:c>
      <x:c r="I1248" s="1" t="n">
        <x:v>1</x:v>
      </x:c>
      <x:c r="J1248" s="1" t="n">
        <x:v>0</x:v>
      </x:c>
      <x:c r="K1248" s="1" t="str">
        <x:v>中证官方优先</x:v>
      </x:c>
    </x:row>
    <x:row r="1249" ht="25" customHeight="1">
      <x:c r="A1249" s="1" t="str">
        <x:v>sh932000</x:v>
      </x:c>
      <x:c r="B1249" s="1" t="str">
        <x:v>中证2000</x:v>
      </x:c>
      <x:c r="C1249" s="1" t="str">
        <x:v>2016-03</x:v>
      </x:c>
      <x:c r="D1249" s="1" t="str">
        <x:v>2016-02-29</x:v>
      </x:c>
      <x:c r="E1249" s="5" t="n">
        <x:v>2254.46</x:v>
      </x:c>
      <x:c r="F1249" s="6" t="str">
        <x:v>2016-03-31</x:v>
      </x:c>
      <x:c r="G1249" s="5" t="n">
        <x:v>2672.1</x:v>
      </x:c>
      <x:c r="H1249" s="7" t="n">
        <x:f>G1249/E1249-1</x:f>
        <x:v>0.18525056998128142</x:v>
      </x:c>
      <x:c r="I1249" s="1" t="n">
        <x:v>1</x:v>
      </x:c>
      <x:c r="J1249" s="1" t="n">
        <x:v>0</x:v>
      </x:c>
      <x:c r="K1249" s="1" t="str">
        <x:v>中证官方优先</x:v>
      </x:c>
    </x:row>
    <x:row r="1250" ht="25" customHeight="1">
      <x:c r="A1250" s="1" t="str">
        <x:v>sh932000</x:v>
      </x:c>
      <x:c r="B1250" s="1" t="str">
        <x:v>中证2000</x:v>
      </x:c>
      <x:c r="C1250" s="1" t="str">
        <x:v>2016-04</x:v>
      </x:c>
      <x:c r="D1250" s="1" t="str">
        <x:v>2016-03-31</x:v>
      </x:c>
      <x:c r="E1250" s="5" t="n">
        <x:v>2672.1</x:v>
      </x:c>
      <x:c r="F1250" s="6" t="str">
        <x:v>2016-04-29</x:v>
      </x:c>
      <x:c r="G1250" s="5" t="n">
        <x:v>2695.51</x:v>
      </x:c>
      <x:c r="H1250" s="7" t="n">
        <x:f>G1250/E1250-1</x:f>
        <x:v>0.008760899666928834</x:v>
      </x:c>
      <x:c r="I1250" s="1" t="n">
        <x:v>1</x:v>
      </x:c>
      <x:c r="J1250" s="1" t="n">
        <x:v>0</x:v>
      </x:c>
      <x:c r="K1250" s="1" t="str">
        <x:v>中证官方优先</x:v>
      </x:c>
    </x:row>
    <x:row r="1251" ht="25" customHeight="1">
      <x:c r="A1251" s="1" t="str">
        <x:v>sh932000</x:v>
      </x:c>
      <x:c r="B1251" s="1" t="str">
        <x:v>中证2000</x:v>
      </x:c>
      <x:c r="C1251" s="1" t="str">
        <x:v>2016-05</x:v>
      </x:c>
      <x:c r="D1251" s="1" t="str">
        <x:v>2016-04-29</x:v>
      </x:c>
      <x:c r="E1251" s="5" t="n">
        <x:v>2695.51</x:v>
      </x:c>
      <x:c r="F1251" s="6" t="str">
        <x:v>2016-05-31</x:v>
      </x:c>
      <x:c r="G1251" s="5" t="n">
        <x:v>2604.07</x:v>
      </x:c>
      <x:c r="H1251" s="7" t="n">
        <x:f>G1251/E1251-1</x:f>
        <x:v>-0.03392307949145057</x:v>
      </x:c>
      <x:c r="I1251" s="1" t="n">
        <x:v>1</x:v>
      </x:c>
      <x:c r="J1251" s="1" t="n">
        <x:v>0</x:v>
      </x:c>
      <x:c r="K1251" s="1" t="str">
        <x:v>中证官方优先</x:v>
      </x:c>
    </x:row>
    <x:row r="1252" ht="25" customHeight="1">
      <x:c r="A1252" s="1" t="str">
        <x:v>sh932000</x:v>
      </x:c>
      <x:c r="B1252" s="1" t="str">
        <x:v>中证2000</x:v>
      </x:c>
      <x:c r="C1252" s="1" t="str">
        <x:v>2016-06</x:v>
      </x:c>
      <x:c r="D1252" s="1" t="str">
        <x:v>2016-05-31</x:v>
      </x:c>
      <x:c r="E1252" s="5" t="n">
        <x:v>2604.07</x:v>
      </x:c>
      <x:c r="F1252" s="6" t="str">
        <x:v>2016-06-30</x:v>
      </x:c>
      <x:c r="G1252" s="5" t="n">
        <x:v>2781.97</x:v>
      </x:c>
      <x:c r="H1252" s="7" t="n">
        <x:f>G1252/E1252-1</x:f>
        <x:v>0.06831613589496421</x:v>
      </x:c>
      <x:c r="I1252" s="1" t="n">
        <x:v>1</x:v>
      </x:c>
      <x:c r="J1252" s="1" t="n">
        <x:v>0</x:v>
      </x:c>
      <x:c r="K1252" s="1" t="str">
        <x:v>中证官方优先</x:v>
      </x:c>
    </x:row>
    <x:row r="1253" ht="25" customHeight="1">
      <x:c r="A1253" s="1" t="str">
        <x:v>sh932000</x:v>
      </x:c>
      <x:c r="B1253" s="1" t="str">
        <x:v>中证2000</x:v>
      </x:c>
      <x:c r="C1253" s="1" t="str">
        <x:v>2016-07</x:v>
      </x:c>
      <x:c r="D1253" s="1" t="str">
        <x:v>2016-06-30</x:v>
      </x:c>
      <x:c r="E1253" s="5" t="n">
        <x:v>2781.97</x:v>
      </x:c>
      <x:c r="F1253" s="6" t="str">
        <x:v>2016-07-29</x:v>
      </x:c>
      <x:c r="G1253" s="5" t="n">
        <x:v>2715.81</x:v>
      </x:c>
      <x:c r="H1253" s="7" t="n">
        <x:f>G1253/E1253-1</x:f>
        <x:v>-0.023781708645312483</x:v>
      </x:c>
      <x:c r="I1253" s="1" t="n">
        <x:v>1</x:v>
      </x:c>
      <x:c r="J1253" s="1" t="n">
        <x:v>0</x:v>
      </x:c>
      <x:c r="K1253" s="1" t="str">
        <x:v>中证官方优先</x:v>
      </x:c>
    </x:row>
    <x:row r="1254" ht="25" customHeight="1">
      <x:c r="A1254" s="1" t="str">
        <x:v>sh932000</x:v>
      </x:c>
      <x:c r="B1254" s="1" t="str">
        <x:v>中证2000</x:v>
      </x:c>
      <x:c r="C1254" s="1" t="str">
        <x:v>2016-08</x:v>
      </x:c>
      <x:c r="D1254" s="1" t="str">
        <x:v>2016-07-29</x:v>
      </x:c>
      <x:c r="E1254" s="5" t="n">
        <x:v>2715.81</x:v>
      </x:c>
      <x:c r="F1254" s="6" t="str">
        <x:v>2016-08-31</x:v>
      </x:c>
      <x:c r="G1254" s="5" t="n">
        <x:v>2858.83</x:v>
      </x:c>
      <x:c r="H1254" s="7" t="n">
        <x:f>G1254/E1254-1</x:f>
        <x:v>0.052662005073992546</x:v>
      </x:c>
      <x:c r="I1254" s="1" t="n">
        <x:v>1</x:v>
      </x:c>
      <x:c r="J1254" s="1" t="n">
        <x:v>0</x:v>
      </x:c>
      <x:c r="K1254" s="1" t="str">
        <x:v>中证官方优先</x:v>
      </x:c>
    </x:row>
    <x:row r="1255" ht="25" customHeight="1">
      <x:c r="A1255" s="1" t="str">
        <x:v>sh932000</x:v>
      </x:c>
      <x:c r="B1255" s="1" t="str">
        <x:v>中证2000</x:v>
      </x:c>
      <x:c r="C1255" s="1" t="str">
        <x:v>2016-09</x:v>
      </x:c>
      <x:c r="D1255" s="1" t="str">
        <x:v>2016-08-31</x:v>
      </x:c>
      <x:c r="E1255" s="5" t="n">
        <x:v>2858.83</x:v>
      </x:c>
      <x:c r="F1255" s="6" t="str">
        <x:v>2016-09-30</x:v>
      </x:c>
      <x:c r="G1255" s="5" t="n">
        <x:v>2869.29</x:v>
      </x:c>
      <x:c r="H1255" s="7" t="n">
        <x:f>G1255/E1255-1</x:f>
        <x:v>0.0036588394553016546</x:v>
      </x:c>
      <x:c r="I1255" s="1" t="n">
        <x:v>1</x:v>
      </x:c>
      <x:c r="J1255" s="1" t="n">
        <x:v>0</x:v>
      </x:c>
      <x:c r="K1255" s="1" t="str">
        <x:v>中证官方优先</x:v>
      </x:c>
    </x:row>
    <x:row r="1256" ht="25" customHeight="1">
      <x:c r="A1256" s="1" t="str">
        <x:v>sh932000</x:v>
      </x:c>
      <x:c r="B1256" s="1" t="str">
        <x:v>中证2000</x:v>
      </x:c>
      <x:c r="C1256" s="1" t="str">
        <x:v>2016-10</x:v>
      </x:c>
      <x:c r="D1256" s="1" t="str">
        <x:v>2016-09-30</x:v>
      </x:c>
      <x:c r="E1256" s="5" t="n">
        <x:v>2869.29</x:v>
      </x:c>
      <x:c r="F1256" s="6" t="str">
        <x:v>2016-10-31</x:v>
      </x:c>
      <x:c r="G1256" s="5" t="n">
        <x:v>3012.05</x:v>
      </x:c>
      <x:c r="H1256" s="7" t="n">
        <x:f>G1256/E1256-1</x:f>
        <x:v>0.04975446887557555</x:v>
      </x:c>
      <x:c r="I1256" s="1" t="n">
        <x:v>1</x:v>
      </x:c>
      <x:c r="J1256" s="1" t="n">
        <x:v>0</x:v>
      </x:c>
      <x:c r="K1256" s="1" t="str">
        <x:v>中证官方优先</x:v>
      </x:c>
    </x:row>
    <x:row r="1257" ht="25" customHeight="1">
      <x:c r="A1257" s="1" t="str">
        <x:v>sh932000</x:v>
      </x:c>
      <x:c r="B1257" s="1" t="str">
        <x:v>中证2000</x:v>
      </x:c>
      <x:c r="C1257" s="1" t="str">
        <x:v>2016-11</x:v>
      </x:c>
      <x:c r="D1257" s="1" t="str">
        <x:v>2016-10-31</x:v>
      </x:c>
      <x:c r="E1257" s="5" t="n">
        <x:v>3012.05</x:v>
      </x:c>
      <x:c r="F1257" s="6" t="str">
        <x:v>2016-11-30</x:v>
      </x:c>
      <x:c r="G1257" s="5" t="n">
        <x:v>3104.65</x:v>
      </x:c>
      <x:c r="H1257" s="7" t="n">
        <x:f>G1257/E1257-1</x:f>
        <x:v>0.03074318155409106</x:v>
      </x:c>
      <x:c r="I1257" s="1" t="n">
        <x:v>1</x:v>
      </x:c>
      <x:c r="J1257" s="1" t="n">
        <x:v>0</x:v>
      </x:c>
      <x:c r="K1257" s="1" t="str">
        <x:v>中证官方优先</x:v>
      </x:c>
    </x:row>
    <x:row r="1258" ht="25" customHeight="1">
      <x:c r="A1258" s="1" t="str">
        <x:v>sh932000</x:v>
      </x:c>
      <x:c r="B1258" s="1" t="str">
        <x:v>中证2000</x:v>
      </x:c>
      <x:c r="C1258" s="1" t="str">
        <x:v>2016-12</x:v>
      </x:c>
      <x:c r="D1258" s="1" t="str">
        <x:v>2016-11-30</x:v>
      </x:c>
      <x:c r="E1258" s="5" t="n">
        <x:v>3104.65</x:v>
      </x:c>
      <x:c r="F1258" s="6" t="str">
        <x:v>2016-12-30</x:v>
      </x:c>
      <x:c r="G1258" s="5" t="n">
        <x:v>2975.34</x:v>
      </x:c>
      <x:c r="H1258" s="7" t="n">
        <x:f>G1258/E1258-1</x:f>
        <x:v>-0.04165042758442983</x:v>
      </x:c>
      <x:c r="I1258" s="1" t="n">
        <x:v>1</x:v>
      </x:c>
      <x:c r="J1258" s="1" t="n">
        <x:v>0</x:v>
      </x:c>
      <x:c r="K1258" s="1" t="str">
        <x:v>中证官方优先</x:v>
      </x:c>
    </x:row>
    <x:row r="1259" ht="25" customHeight="1">
      <x:c r="A1259" s="1" t="str">
        <x:v>sh932000</x:v>
      </x:c>
      <x:c r="B1259" s="1" t="str">
        <x:v>中证2000</x:v>
      </x:c>
      <x:c r="C1259" s="1" t="str">
        <x:v>2017-01</x:v>
      </x:c>
      <x:c r="D1259" s="1" t="str">
        <x:v>2016-12-30</x:v>
      </x:c>
      <x:c r="E1259" s="5" t="n">
        <x:v>2975.34</x:v>
      </x:c>
      <x:c r="F1259" s="6" t="str">
        <x:v>2017-01-26</x:v>
      </x:c>
      <x:c r="G1259" s="5" t="n">
        <x:v>2859.43</x:v>
      </x:c>
      <x:c r="H1259" s="7" t="n">
        <x:f>G1259/E1259-1</x:f>
        <x:v>-0.03895689232154986</x:v>
      </x:c>
      <x:c r="I1259" s="1" t="n">
        <x:v>1</x:v>
      </x:c>
      <x:c r="J1259" s="1" t="n">
        <x:v>0</x:v>
      </x:c>
      <x:c r="K1259" s="1" t="str">
        <x:v>中证官方优先</x:v>
      </x:c>
    </x:row>
    <x:row r="1260" ht="25" customHeight="1">
      <x:c r="A1260" s="1" t="str">
        <x:v>sh932000</x:v>
      </x:c>
      <x:c r="B1260" s="1" t="str">
        <x:v>中证2000</x:v>
      </x:c>
      <x:c r="C1260" s="1" t="str">
        <x:v>2017-02</x:v>
      </x:c>
      <x:c r="D1260" s="1" t="str">
        <x:v>2017-01-26</x:v>
      </x:c>
      <x:c r="E1260" s="5" t="n">
        <x:v>2859.43</x:v>
      </x:c>
      <x:c r="F1260" s="6" t="str">
        <x:v>2017-02-28</x:v>
      </x:c>
      <x:c r="G1260" s="5" t="n">
        <x:v>2966.08</x:v>
      </x:c>
      <x:c r="H1260" s="7" t="n">
        <x:f>G1260/E1260-1</x:f>
        <x:v>0.03729764323658924</x:v>
      </x:c>
      <x:c r="I1260" s="1" t="n">
        <x:v>1</x:v>
      </x:c>
      <x:c r="J1260" s="1" t="n">
        <x:v>0</x:v>
      </x:c>
      <x:c r="K1260" s="1" t="str">
        <x:v>中证官方优先</x:v>
      </x:c>
    </x:row>
    <x:row r="1261" ht="25" customHeight="1">
      <x:c r="A1261" s="1" t="str">
        <x:v>sh932000</x:v>
      </x:c>
      <x:c r="B1261" s="1" t="str">
        <x:v>中证2000</x:v>
      </x:c>
      <x:c r="C1261" s="1" t="str">
        <x:v>2017-03</x:v>
      </x:c>
      <x:c r="D1261" s="1" t="str">
        <x:v>2017-02-28</x:v>
      </x:c>
      <x:c r="E1261" s="5" t="n">
        <x:v>2966.08</x:v>
      </x:c>
      <x:c r="F1261" s="6" t="str">
        <x:v>2017-03-31</x:v>
      </x:c>
      <x:c r="G1261" s="5" t="n">
        <x:v>2886.06</x:v>
      </x:c>
      <x:c r="H1261" s="7" t="n">
        <x:f>G1261/E1261-1</x:f>
        <x:v>-0.026978368756068627</x:v>
      </x:c>
      <x:c r="I1261" s="1" t="n">
        <x:v>1</x:v>
      </x:c>
      <x:c r="J1261" s="1" t="n">
        <x:v>0</x:v>
      </x:c>
      <x:c r="K1261" s="1" t="str">
        <x:v>中证官方优先</x:v>
      </x:c>
    </x:row>
    <x:row r="1262" ht="25" customHeight="1">
      <x:c r="A1262" s="1" t="str">
        <x:v>sh932000</x:v>
      </x:c>
      <x:c r="B1262" s="1" t="str">
        <x:v>中证2000</x:v>
      </x:c>
      <x:c r="C1262" s="1" t="str">
        <x:v>2017-04</x:v>
      </x:c>
      <x:c r="D1262" s="1" t="str">
        <x:v>2017-03-31</x:v>
      </x:c>
      <x:c r="E1262" s="5" t="n">
        <x:v>2886.06</x:v>
      </x:c>
      <x:c r="F1262" s="6" t="str">
        <x:v>2017-04-28</x:v>
      </x:c>
      <x:c r="G1262" s="5" t="n">
        <x:v>2647.38</x:v>
      </x:c>
      <x:c r="H1262" s="7" t="n">
        <x:f>G1262/E1262-1</x:f>
        <x:v>-0.0827009833475395</x:v>
      </x:c>
      <x:c r="I1262" s="1" t="n">
        <x:v>1</x:v>
      </x:c>
      <x:c r="J1262" s="1" t="n">
        <x:v>0</x:v>
      </x:c>
      <x:c r="K1262" s="1" t="str">
        <x:v>中证官方优先</x:v>
      </x:c>
    </x:row>
    <x:row r="1263" ht="25" customHeight="1">
      <x:c r="A1263" s="1" t="str">
        <x:v>sh932000</x:v>
      </x:c>
      <x:c r="B1263" s="1" t="str">
        <x:v>中证2000</x:v>
      </x:c>
      <x:c r="C1263" s="1" t="str">
        <x:v>2017-05</x:v>
      </x:c>
      <x:c r="D1263" s="1" t="str">
        <x:v>2017-04-28</x:v>
      </x:c>
      <x:c r="E1263" s="5" t="n">
        <x:v>2647.38</x:v>
      </x:c>
      <x:c r="F1263" s="6" t="str">
        <x:v>2017-05-31</x:v>
      </x:c>
      <x:c r="G1263" s="5" t="n">
        <x:v>2425.39</x:v>
      </x:c>
      <x:c r="H1263" s="7" t="n">
        <x:f>G1263/E1263-1</x:f>
        <x:v>-0.08385271475949818</x:v>
      </x:c>
      <x:c r="I1263" s="1" t="n">
        <x:v>1</x:v>
      </x:c>
      <x:c r="J1263" s="1" t="n">
        <x:v>0</x:v>
      </x:c>
      <x:c r="K1263" s="1" t="str">
        <x:v>中证官方优先</x:v>
      </x:c>
    </x:row>
    <x:row r="1264" ht="25" customHeight="1">
      <x:c r="A1264" s="1" t="str">
        <x:v>sh932000</x:v>
      </x:c>
      <x:c r="B1264" s="1" t="str">
        <x:v>中证2000</x:v>
      </x:c>
      <x:c r="C1264" s="1" t="str">
        <x:v>2017-06</x:v>
      </x:c>
      <x:c r="D1264" s="1" t="str">
        <x:v>2017-05-31</x:v>
      </x:c>
      <x:c r="E1264" s="5" t="n">
        <x:v>2425.39</x:v>
      </x:c>
      <x:c r="F1264" s="6" t="str">
        <x:v>2017-06-30</x:v>
      </x:c>
      <x:c r="G1264" s="5" t="n">
        <x:v>2478.22</x:v>
      </x:c>
      <x:c r="H1264" s="7" t="n">
        <x:f>G1264/E1264-1</x:f>
        <x:v>0.021782063915493977</x:v>
      </x:c>
      <x:c r="I1264" s="1" t="n">
        <x:v>1</x:v>
      </x:c>
      <x:c r="J1264" s="1" t="n">
        <x:v>0</x:v>
      </x:c>
      <x:c r="K1264" s="1" t="str">
        <x:v>中证官方优先</x:v>
      </x:c>
    </x:row>
    <x:row r="1265" ht="25" customHeight="1">
      <x:c r="A1265" s="1" t="str">
        <x:v>sh932000</x:v>
      </x:c>
      <x:c r="B1265" s="1" t="str">
        <x:v>中证2000</x:v>
      </x:c>
      <x:c r="C1265" s="1" t="str">
        <x:v>2017-07</x:v>
      </x:c>
      <x:c r="D1265" s="1" t="str">
        <x:v>2017-06-30</x:v>
      </x:c>
      <x:c r="E1265" s="5" t="n">
        <x:v>2478.22</x:v>
      </x:c>
      <x:c r="F1265" s="6" t="str">
        <x:v>2017-07-31</x:v>
      </x:c>
      <x:c r="G1265" s="5" t="n">
        <x:v>2432.69</x:v>
      </x:c>
      <x:c r="H1265" s="7" t="n">
        <x:f>G1265/E1265-1</x:f>
        <x:v>-0.018372057363752914</x:v>
      </x:c>
      <x:c r="I1265" s="1" t="n">
        <x:v>1</x:v>
      </x:c>
      <x:c r="J1265" s="1" t="n">
        <x:v>0</x:v>
      </x:c>
      <x:c r="K1265" s="1" t="str">
        <x:v>中证官方优先</x:v>
      </x:c>
    </x:row>
    <x:row r="1266" ht="25" customHeight="1">
      <x:c r="A1266" s="1" t="str">
        <x:v>sh932000</x:v>
      </x:c>
      <x:c r="B1266" s="1" t="str">
        <x:v>中证2000</x:v>
      </x:c>
      <x:c r="C1266" s="1" t="str">
        <x:v>2017-08</x:v>
      </x:c>
      <x:c r="D1266" s="1" t="str">
        <x:v>2017-07-31</x:v>
      </x:c>
      <x:c r="E1266" s="5" t="n">
        <x:v>2432.69</x:v>
      </x:c>
      <x:c r="F1266" s="6" t="str">
        <x:v>2017-08-31</x:v>
      </x:c>
      <x:c r="G1266" s="5" t="n">
        <x:v>2513.94</x:v>
      </x:c>
      <x:c r="H1266" s="7" t="n">
        <x:f>G1266/E1266-1</x:f>
        <x:v>0.033399241169240534</x:v>
      </x:c>
      <x:c r="I1266" s="1" t="n">
        <x:v>1</x:v>
      </x:c>
      <x:c r="J1266" s="1" t="n">
        <x:v>0</x:v>
      </x:c>
      <x:c r="K1266" s="1" t="str">
        <x:v>中证官方优先</x:v>
      </x:c>
    </x:row>
    <x:row r="1267" ht="25" customHeight="1">
      <x:c r="A1267" s="1" t="str">
        <x:v>sh932000</x:v>
      </x:c>
      <x:c r="B1267" s="1" t="str">
        <x:v>中证2000</x:v>
      </x:c>
      <x:c r="C1267" s="1" t="str">
        <x:v>2017-09</x:v>
      </x:c>
      <x:c r="D1267" s="1" t="str">
        <x:v>2017-08-31</x:v>
      </x:c>
      <x:c r="E1267" s="5" t="n">
        <x:v>2513.94</x:v>
      </x:c>
      <x:c r="F1267" s="6" t="str">
        <x:v>2017-09-29</x:v>
      </x:c>
      <x:c r="G1267" s="5" t="n">
        <x:v>2560.16</x:v>
      </x:c>
      <x:c r="H1267" s="7" t="n">
        <x:f>G1267/E1267-1</x:f>
        <x:v>0.018385482549305054</x:v>
      </x:c>
      <x:c r="I1267" s="1" t="n">
        <x:v>1</x:v>
      </x:c>
      <x:c r="J1267" s="1" t="n">
        <x:v>0</x:v>
      </x:c>
      <x:c r="K1267" s="1" t="str">
        <x:v>中证官方优先</x:v>
      </x:c>
    </x:row>
    <x:row r="1268" ht="25" customHeight="1">
      <x:c r="A1268" s="1" t="str">
        <x:v>sh932000</x:v>
      </x:c>
      <x:c r="B1268" s="1" t="str">
        <x:v>中证2000</x:v>
      </x:c>
      <x:c r="C1268" s="1" t="str">
        <x:v>2017-10</x:v>
      </x:c>
      <x:c r="D1268" s="1" t="str">
        <x:v>2017-09-29</x:v>
      </x:c>
      <x:c r="E1268" s="5" t="n">
        <x:v>2560.16</x:v>
      </x:c>
      <x:c r="F1268" s="6" t="str">
        <x:v>2017-10-31</x:v>
      </x:c>
      <x:c r="G1268" s="5" t="n">
        <x:v>2491.87</x:v>
      </x:c>
      <x:c r="H1268" s="7" t="n">
        <x:f>G1268/E1268-1</x:f>
        <x:v>-0.026674114117867576</x:v>
      </x:c>
      <x:c r="I1268" s="1" t="n">
        <x:v>1</x:v>
      </x:c>
      <x:c r="J1268" s="1" t="n">
        <x:v>0</x:v>
      </x:c>
      <x:c r="K1268" s="1" t="str">
        <x:v>中证官方优先</x:v>
      </x:c>
    </x:row>
    <x:row r="1269" ht="25" customHeight="1">
      <x:c r="A1269" s="1" t="str">
        <x:v>sh932000</x:v>
      </x:c>
      <x:c r="B1269" s="1" t="str">
        <x:v>中证2000</x:v>
      </x:c>
      <x:c r="C1269" s="1" t="str">
        <x:v>2017-11</x:v>
      </x:c>
      <x:c r="D1269" s="1" t="str">
        <x:v>2017-10-31</x:v>
      </x:c>
      <x:c r="E1269" s="5" t="n">
        <x:v>2491.87</x:v>
      </x:c>
      <x:c r="F1269" s="6" t="str">
        <x:v>2017-11-30</x:v>
      </x:c>
      <x:c r="G1269" s="5" t="n">
        <x:v>2303.69</x:v>
      </x:c>
      <x:c r="H1269" s="7" t="n">
        <x:f>G1269/E1269-1</x:f>
        <x:v>-0.07551758318050295</x:v>
      </x:c>
      <x:c r="I1269" s="1" t="n">
        <x:v>1</x:v>
      </x:c>
      <x:c r="J1269" s="1" t="n">
        <x:v>0</x:v>
      </x:c>
      <x:c r="K1269" s="1" t="str">
        <x:v>中证官方优先</x:v>
      </x:c>
    </x:row>
    <x:row r="1270" ht="25" customHeight="1">
      <x:c r="A1270" s="1" t="str">
        <x:v>sh932000</x:v>
      </x:c>
      <x:c r="B1270" s="1" t="str">
        <x:v>中证2000</x:v>
      </x:c>
      <x:c r="C1270" s="1" t="str">
        <x:v>2017-12</x:v>
      </x:c>
      <x:c r="D1270" s="1" t="str">
        <x:v>2017-11-30</x:v>
      </x:c>
      <x:c r="E1270" s="5" t="n">
        <x:v>2303.69</x:v>
      </x:c>
      <x:c r="F1270" s="6" t="str">
        <x:v>2017-12-29</x:v>
      </x:c>
      <x:c r="G1270" s="5" t="n">
        <x:v>2258.28</x:v>
      </x:c>
      <x:c r="H1270" s="7" t="n">
        <x:f>G1270/E1270-1</x:f>
        <x:v>-0.01971185359141192</x:v>
      </x:c>
      <x:c r="I1270" s="1" t="n">
        <x:v>1</x:v>
      </x:c>
      <x:c r="J1270" s="1" t="n">
        <x:v>0</x:v>
      </x:c>
      <x:c r="K1270" s="1" t="str">
        <x:v>中证官方优先</x:v>
      </x:c>
    </x:row>
    <x:row r="1271" ht="25" customHeight="1">
      <x:c r="A1271" s="1" t="str">
        <x:v>sh932000</x:v>
      </x:c>
      <x:c r="B1271" s="1" t="str">
        <x:v>中证2000</x:v>
      </x:c>
      <x:c r="C1271" s="1" t="str">
        <x:v>2018-01</x:v>
      </x:c>
      <x:c r="D1271" s="1" t="str">
        <x:v>2017-12-29</x:v>
      </x:c>
      <x:c r="E1271" s="5" t="n">
        <x:v>2258.28</x:v>
      </x:c>
      <x:c r="F1271" s="6" t="str">
        <x:v>2018-01-31</x:v>
      </x:c>
      <x:c r="G1271" s="5" t="n">
        <x:v>2155.03</x:v>
      </x:c>
      <x:c r="H1271" s="7" t="n">
        <x:f>G1271/E1271-1</x:f>
        <x:v>-0.04572063694493156</x:v>
      </x:c>
      <x:c r="I1271" s="1" t="n">
        <x:v>1</x:v>
      </x:c>
      <x:c r="J1271" s="1" t="n">
        <x:v>0</x:v>
      </x:c>
      <x:c r="K1271" s="1" t="str">
        <x:v>中证官方优先</x:v>
      </x:c>
    </x:row>
    <x:row r="1272" ht="25" customHeight="1">
      <x:c r="A1272" s="1" t="str">
        <x:v>sh932000</x:v>
      </x:c>
      <x:c r="B1272" s="1" t="str">
        <x:v>中证2000</x:v>
      </x:c>
      <x:c r="C1272" s="1" t="str">
        <x:v>2018-02</x:v>
      </x:c>
      <x:c r="D1272" s="1" t="str">
        <x:v>2018-01-31</x:v>
      </x:c>
      <x:c r="E1272" s="5" t="n">
        <x:v>2155.03</x:v>
      </x:c>
      <x:c r="F1272" s="6" t="str">
        <x:v>2018-02-28</x:v>
      </x:c>
      <x:c r="G1272" s="5" t="n">
        <x:v>2045.3</x:v>
      </x:c>
      <x:c r="H1272" s="7" t="n">
        <x:f>G1272/E1272-1</x:f>
        <x:v>-0.05091808466703496</x:v>
      </x:c>
      <x:c r="I1272" s="1" t="n">
        <x:v>1</x:v>
      </x:c>
      <x:c r="J1272" s="1" t="n">
        <x:v>0</x:v>
      </x:c>
      <x:c r="K1272" s="1" t="str">
        <x:v>中证官方优先</x:v>
      </x:c>
    </x:row>
    <x:row r="1273" ht="25" customHeight="1">
      <x:c r="A1273" s="1" t="str">
        <x:v>sh932000</x:v>
      </x:c>
      <x:c r="B1273" s="1" t="str">
        <x:v>中证2000</x:v>
      </x:c>
      <x:c r="C1273" s="1" t="str">
        <x:v>2018-03</x:v>
      </x:c>
      <x:c r="D1273" s="1" t="str">
        <x:v>2018-02-28</x:v>
      </x:c>
      <x:c r="E1273" s="5" t="n">
        <x:v>2045.3</x:v>
      </x:c>
      <x:c r="F1273" s="6" t="str">
        <x:v>2018-03-30</x:v>
      </x:c>
      <x:c r="G1273" s="5" t="n">
        <x:v>2145.26</x:v>
      </x:c>
      <x:c r="H1273" s="7" t="n">
        <x:f>G1273/E1273-1</x:f>
        <x:v>0.048873025961961636</x:v>
      </x:c>
      <x:c r="I1273" s="1" t="n">
        <x:v>1</x:v>
      </x:c>
      <x:c r="J1273" s="1" t="n">
        <x:v>0</x:v>
      </x:c>
      <x:c r="K1273" s="1" t="str">
        <x:v>中证官方优先</x:v>
      </x:c>
    </x:row>
    <x:row r="1274" ht="25" customHeight="1">
      <x:c r="A1274" s="1" t="str">
        <x:v>sh932000</x:v>
      </x:c>
      <x:c r="B1274" s="1" t="str">
        <x:v>中证2000</x:v>
      </x:c>
      <x:c r="C1274" s="1" t="str">
        <x:v>2018-04</x:v>
      </x:c>
      <x:c r="D1274" s="1" t="str">
        <x:v>2018-03-30</x:v>
      </x:c>
      <x:c r="E1274" s="5" t="n">
        <x:v>2145.26</x:v>
      </x:c>
      <x:c r="F1274" s="6" t="str">
        <x:v>2018-04-27</x:v>
      </x:c>
      <x:c r="G1274" s="5" t="n">
        <x:v>2051.62</x:v>
      </x:c>
      <x:c r="H1274" s="7" t="n">
        <x:f>G1274/E1274-1</x:f>
        <x:v>-0.04364972077976581</x:v>
      </x:c>
      <x:c r="I1274" s="1" t="n">
        <x:v>1</x:v>
      </x:c>
      <x:c r="J1274" s="1" t="n">
        <x:v>0</x:v>
      </x:c>
      <x:c r="K1274" s="1" t="str">
        <x:v>中证官方优先</x:v>
      </x:c>
    </x:row>
    <x:row r="1275" ht="25" customHeight="1">
      <x:c r="A1275" s="1" t="str">
        <x:v>sh932000</x:v>
      </x:c>
      <x:c r="B1275" s="1" t="str">
        <x:v>中证2000</x:v>
      </x:c>
      <x:c r="C1275" s="1" t="str">
        <x:v>2018-05</x:v>
      </x:c>
      <x:c r="D1275" s="1" t="str">
        <x:v>2018-04-27</x:v>
      </x:c>
      <x:c r="E1275" s="5" t="n">
        <x:v>2051.62</x:v>
      </x:c>
      <x:c r="F1275" s="6" t="str">
        <x:v>2018-05-31</x:v>
      </x:c>
      <x:c r="G1275" s="5" t="n">
        <x:v>2041.56</x:v>
      </x:c>
      <x:c r="H1275" s="7" t="n">
        <x:f>G1275/E1275-1</x:f>
        <x:v>-0.004903442157904503</x:v>
      </x:c>
      <x:c r="I1275" s="1" t="n">
        <x:v>1</x:v>
      </x:c>
      <x:c r="J1275" s="1" t="n">
        <x:v>0</x:v>
      </x:c>
      <x:c r="K1275" s="1" t="str">
        <x:v>中证官方优先</x:v>
      </x:c>
    </x:row>
    <x:row r="1276" ht="25" customHeight="1">
      <x:c r="A1276" s="1" t="str">
        <x:v>sh932000</x:v>
      </x:c>
      <x:c r="B1276" s="1" t="str">
        <x:v>中证2000</x:v>
      </x:c>
      <x:c r="C1276" s="1" t="str">
        <x:v>2018-06</x:v>
      </x:c>
      <x:c r="D1276" s="1" t="str">
        <x:v>2018-05-31</x:v>
      </x:c>
      <x:c r="E1276" s="5" t="n">
        <x:v>2041.56</x:v>
      </x:c>
      <x:c r="F1276" s="6" t="str">
        <x:v>2018-06-29</x:v>
      </x:c>
      <x:c r="G1276" s="5" t="n">
        <x:v>1822.81</x:v>
      </x:c>
      <x:c r="H1276" s="7" t="n">
        <x:f>G1276/E1276-1</x:f>
        <x:v>-0.10714845510296045</x:v>
      </x:c>
      <x:c r="I1276" s="1" t="n">
        <x:v>1</x:v>
      </x:c>
      <x:c r="J1276" s="1" t="n">
        <x:v>0</x:v>
      </x:c>
      <x:c r="K1276" s="1" t="str">
        <x:v>中证官方优先</x:v>
      </x:c>
    </x:row>
    <x:row r="1277" ht="25" customHeight="1">
      <x:c r="A1277" s="1" t="str">
        <x:v>sh932000</x:v>
      </x:c>
      <x:c r="B1277" s="1" t="str">
        <x:v>中证2000</x:v>
      </x:c>
      <x:c r="C1277" s="1" t="str">
        <x:v>2018-07</x:v>
      </x:c>
      <x:c r="D1277" s="1" t="str">
        <x:v>2018-06-29</x:v>
      </x:c>
      <x:c r="E1277" s="5" t="n">
        <x:v>1822.81</x:v>
      </x:c>
      <x:c r="F1277" s="6" t="str">
        <x:v>2018-07-31</x:v>
      </x:c>
      <x:c r="G1277" s="5" t="n">
        <x:v>1804.55</x:v>
      </x:c>
      <x:c r="H1277" s="7" t="n">
        <x:f>G1277/E1277-1</x:f>
        <x:v>-0.01001750045259786</x:v>
      </x:c>
      <x:c r="I1277" s="1" t="n">
        <x:v>1</x:v>
      </x:c>
      <x:c r="J1277" s="1" t="n">
        <x:v>0</x:v>
      </x:c>
      <x:c r="K1277" s="1" t="str">
        <x:v>中证官方优先</x:v>
      </x:c>
    </x:row>
    <x:row r="1278" ht="25" customHeight="1">
      <x:c r="A1278" s="1" t="str">
        <x:v>sh932000</x:v>
      </x:c>
      <x:c r="B1278" s="1" t="str">
        <x:v>中证2000</x:v>
      </x:c>
      <x:c r="C1278" s="1" t="str">
        <x:v>2018-08</x:v>
      </x:c>
      <x:c r="D1278" s="1" t="str">
        <x:v>2018-07-31</x:v>
      </x:c>
      <x:c r="E1278" s="5" t="n">
        <x:v>1804.55</x:v>
      </x:c>
      <x:c r="F1278" s="6" t="str">
        <x:v>2018-08-31</x:v>
      </x:c>
      <x:c r="G1278" s="5" t="n">
        <x:v>1662.54</x:v>
      </x:c>
      <x:c r="H1278" s="7" t="n">
        <x:f>G1278/E1278-1</x:f>
        <x:v>-0.07869551965864063</x:v>
      </x:c>
      <x:c r="I1278" s="1" t="n">
        <x:v>1</x:v>
      </x:c>
      <x:c r="J1278" s="1" t="n">
        <x:v>0</x:v>
      </x:c>
      <x:c r="K1278" s="1" t="str">
        <x:v>中证官方优先</x:v>
      </x:c>
    </x:row>
    <x:row r="1279" ht="25" customHeight="1">
      <x:c r="A1279" s="1" t="str">
        <x:v>sh932000</x:v>
      </x:c>
      <x:c r="B1279" s="1" t="str">
        <x:v>中证2000</x:v>
      </x:c>
      <x:c r="C1279" s="1" t="str">
        <x:v>2018-09</x:v>
      </x:c>
      <x:c r="D1279" s="1" t="str">
        <x:v>2018-08-31</x:v>
      </x:c>
      <x:c r="E1279" s="5" t="n">
        <x:v>1662.54</x:v>
      </x:c>
      <x:c r="F1279" s="6" t="str">
        <x:v>2018-09-28</x:v>
      </x:c>
      <x:c r="G1279" s="5" t="n">
        <x:v>1641.98</x:v>
      </x:c>
      <x:c r="H1279" s="7" t="n">
        <x:f>G1279/E1279-1</x:f>
        <x:v>-0.012366619750502239</x:v>
      </x:c>
      <x:c r="I1279" s="1" t="n">
        <x:v>1</x:v>
      </x:c>
      <x:c r="J1279" s="1" t="n">
        <x:v>0</x:v>
      </x:c>
      <x:c r="K1279" s="1" t="str">
        <x:v>中证官方优先</x:v>
      </x:c>
    </x:row>
    <x:row r="1280" ht="25" customHeight="1">
      <x:c r="A1280" s="1" t="str">
        <x:v>sh932000</x:v>
      </x:c>
      <x:c r="B1280" s="1" t="str">
        <x:v>中证2000</x:v>
      </x:c>
      <x:c r="C1280" s="1" t="str">
        <x:v>2018-10</x:v>
      </x:c>
      <x:c r="D1280" s="1" t="str">
        <x:v>2018-09-28</x:v>
      </x:c>
      <x:c r="E1280" s="5" t="n">
        <x:v>1641.98</x:v>
      </x:c>
      <x:c r="F1280" s="6" t="str">
        <x:v>2018-10-31</x:v>
      </x:c>
      <x:c r="G1280" s="5" t="n">
        <x:v>1492.49</x:v>
      </x:c>
      <x:c r="H1280" s="7" t="n">
        <x:f>G1280/E1280-1</x:f>
        <x:v>-0.09104252183339623</x:v>
      </x:c>
      <x:c r="I1280" s="1" t="n">
        <x:v>1</x:v>
      </x:c>
      <x:c r="J1280" s="1" t="n">
        <x:v>0</x:v>
      </x:c>
      <x:c r="K1280" s="1" t="str">
        <x:v>中证官方优先</x:v>
      </x:c>
    </x:row>
    <x:row r="1281" ht="25" customHeight="1">
      <x:c r="A1281" s="1" t="str">
        <x:v>sh932000</x:v>
      </x:c>
      <x:c r="B1281" s="1" t="str">
        <x:v>中证2000</x:v>
      </x:c>
      <x:c r="C1281" s="1" t="str">
        <x:v>2018-11</x:v>
      </x:c>
      <x:c r="D1281" s="1" t="str">
        <x:v>2018-10-31</x:v>
      </x:c>
      <x:c r="E1281" s="5" t="n">
        <x:v>1492.49</x:v>
      </x:c>
      <x:c r="F1281" s="6" t="str">
        <x:v>2018-11-30</x:v>
      </x:c>
      <x:c r="G1281" s="5" t="n">
        <x:v>1570.65</x:v>
      </x:c>
      <x:c r="H1281" s="7" t="n">
        <x:f>G1281/E1281-1</x:f>
        <x:v>0.0523688600928649</x:v>
      </x:c>
      <x:c r="I1281" s="1" t="n">
        <x:v>1</x:v>
      </x:c>
      <x:c r="J1281" s="1" t="n">
        <x:v>0</x:v>
      </x:c>
      <x:c r="K1281" s="1" t="str">
        <x:v>中证官方优先</x:v>
      </x:c>
    </x:row>
    <x:row r="1282" ht="25" customHeight="1">
      <x:c r="A1282" s="1" t="str">
        <x:v>sh932000</x:v>
      </x:c>
      <x:c r="B1282" s="1" t="str">
        <x:v>中证2000</x:v>
      </x:c>
      <x:c r="C1282" s="1" t="str">
        <x:v>2018-12</x:v>
      </x:c>
      <x:c r="D1282" s="1" t="str">
        <x:v>2018-11-30</x:v>
      </x:c>
      <x:c r="E1282" s="5" t="n">
        <x:v>1570.65</x:v>
      </x:c>
      <x:c r="F1282" s="6" t="str">
        <x:v>2018-12-28</x:v>
      </x:c>
      <x:c r="G1282" s="5" t="n">
        <x:v>1505.31</x:v>
      </x:c>
      <x:c r="H1282" s="7" t="n">
        <x:f>G1282/E1282-1</x:f>
        <x:v>-0.041600611211918714</x:v>
      </x:c>
      <x:c r="I1282" s="1" t="n">
        <x:v>1</x:v>
      </x:c>
      <x:c r="J1282" s="1" t="n">
        <x:v>0</x:v>
      </x:c>
      <x:c r="K1282" s="1" t="str">
        <x:v>中证官方优先</x:v>
      </x:c>
    </x:row>
    <x:row r="1283" ht="25" customHeight="1">
      <x:c r="A1283" s="1" t="str">
        <x:v>sh932000</x:v>
      </x:c>
      <x:c r="B1283" s="1" t="str">
        <x:v>中证2000</x:v>
      </x:c>
      <x:c r="C1283" s="1" t="str">
        <x:v>2019-01</x:v>
      </x:c>
      <x:c r="D1283" s="1" t="str">
        <x:v>2018-12-28</x:v>
      </x:c>
      <x:c r="E1283" s="5" t="n">
        <x:v>1505.31</x:v>
      </x:c>
      <x:c r="F1283" s="6" t="str">
        <x:v>2019-01-31</x:v>
      </x:c>
      <x:c r="G1283" s="5" t="n">
        <x:v>1458.46</x:v>
      </x:c>
      <x:c r="H1283" s="7" t="n">
        <x:f>G1283/E1283-1</x:f>
        <x:v>-0.03112315735629201</x:v>
      </x:c>
      <x:c r="I1283" s="1" t="n">
        <x:v>1</x:v>
      </x:c>
      <x:c r="J1283" s="1" t="n">
        <x:v>0</x:v>
      </x:c>
      <x:c r="K1283" s="1" t="str">
        <x:v>中证官方优先</x:v>
      </x:c>
    </x:row>
    <x:row r="1284" ht="25" customHeight="1">
      <x:c r="A1284" s="1" t="str">
        <x:v>sh932000</x:v>
      </x:c>
      <x:c r="B1284" s="1" t="str">
        <x:v>中证2000</x:v>
      </x:c>
      <x:c r="C1284" s="1" t="str">
        <x:v>2019-02</x:v>
      </x:c>
      <x:c r="D1284" s="1" t="str">
        <x:v>2019-01-31</x:v>
      </x:c>
      <x:c r="E1284" s="5" t="n">
        <x:v>1458.46</x:v>
      </x:c>
      <x:c r="F1284" s="6" t="str">
        <x:v>2019-02-28</x:v>
      </x:c>
      <x:c r="G1284" s="5" t="n">
        <x:v>1780.06</x:v>
      </x:c>
      <x:c r="H1284" s="7" t="n">
        <x:f>G1284/E1284-1</x:f>
        <x:v>0.22050656171578242</x:v>
      </x:c>
      <x:c r="I1284" s="1" t="n">
        <x:v>1</x:v>
      </x:c>
      <x:c r="J1284" s="1" t="n">
        <x:v>0</x:v>
      </x:c>
      <x:c r="K1284" s="1" t="str">
        <x:v>中证官方优先</x:v>
      </x:c>
    </x:row>
    <x:row r="1285" ht="25" customHeight="1">
      <x:c r="A1285" s="1" t="str">
        <x:v>sh932000</x:v>
      </x:c>
      <x:c r="B1285" s="1" t="str">
        <x:v>中证2000</x:v>
      </x:c>
      <x:c r="C1285" s="1" t="str">
        <x:v>2019-03</x:v>
      </x:c>
      <x:c r="D1285" s="1" t="str">
        <x:v>2019-02-28</x:v>
      </x:c>
      <x:c r="E1285" s="5" t="n">
        <x:v>1780.06</x:v>
      </x:c>
      <x:c r="F1285" s="6" t="str">
        <x:v>2019-03-29</x:v>
      </x:c>
      <x:c r="G1285" s="5" t="n">
        <x:v>1982.67</x:v>
      </x:c>
      <x:c r="H1285" s="7" t="n">
        <x:f>G1285/E1285-1</x:f>
        <x:v>0.11382200599979786</x:v>
      </x:c>
      <x:c r="I1285" s="1" t="n">
        <x:v>1</x:v>
      </x:c>
      <x:c r="J1285" s="1" t="n">
        <x:v>0</x:v>
      </x:c>
      <x:c r="K1285" s="1" t="str">
        <x:v>中证官方优先</x:v>
      </x:c>
    </x:row>
    <x:row r="1286" ht="25" customHeight="1">
      <x:c r="A1286" s="1" t="str">
        <x:v>sh932000</x:v>
      </x:c>
      <x:c r="B1286" s="1" t="str">
        <x:v>中证2000</x:v>
      </x:c>
      <x:c r="C1286" s="1" t="str">
        <x:v>2019-04</x:v>
      </x:c>
      <x:c r="D1286" s="1" t="str">
        <x:v>2019-03-29</x:v>
      </x:c>
      <x:c r="E1286" s="5" t="n">
        <x:v>1982.67</x:v>
      </x:c>
      <x:c r="F1286" s="6" t="str">
        <x:v>2019-04-30</x:v>
      </x:c>
      <x:c r="G1286" s="5" t="n">
        <x:v>1884.93</x:v>
      </x:c>
      <x:c r="H1286" s="7" t="n">
        <x:f>G1286/E1286-1</x:f>
        <x:v>-0.049297159890450803</x:v>
      </x:c>
      <x:c r="I1286" s="1" t="n">
        <x:v>1</x:v>
      </x:c>
      <x:c r="J1286" s="1" t="n">
        <x:v>0</x:v>
      </x:c>
      <x:c r="K1286" s="1" t="str">
        <x:v>中证官方优先</x:v>
      </x:c>
    </x:row>
    <x:row r="1287" ht="25" customHeight="1">
      <x:c r="A1287" s="1" t="str">
        <x:v>sh932000</x:v>
      </x:c>
      <x:c r="B1287" s="1" t="str">
        <x:v>中证2000</x:v>
      </x:c>
      <x:c r="C1287" s="1" t="str">
        <x:v>2019-05</x:v>
      </x:c>
      <x:c r="D1287" s="1" t="str">
        <x:v>2019-04-30</x:v>
      </x:c>
      <x:c r="E1287" s="5" t="n">
        <x:v>1884.93</x:v>
      </x:c>
      <x:c r="F1287" s="6" t="str">
        <x:v>2019-05-31</x:v>
      </x:c>
      <x:c r="G1287" s="5" t="n">
        <x:v>1804.96</x:v>
      </x:c>
      <x:c r="H1287" s="7" t="n">
        <x:f>G1287/E1287-1</x:f>
        <x:v>-0.042425978683558574</x:v>
      </x:c>
      <x:c r="I1287" s="1" t="n">
        <x:v>1</x:v>
      </x:c>
      <x:c r="J1287" s="1" t="n">
        <x:v>0</x:v>
      </x:c>
      <x:c r="K1287" s="1" t="str">
        <x:v>中证官方优先</x:v>
      </x:c>
    </x:row>
    <x:row r="1288" ht="25" customHeight="1">
      <x:c r="A1288" s="1" t="str">
        <x:v>sh932000</x:v>
      </x:c>
      <x:c r="B1288" s="1" t="str">
        <x:v>中证2000</x:v>
      </x:c>
      <x:c r="C1288" s="1" t="str">
        <x:v>2019-06</x:v>
      </x:c>
      <x:c r="D1288" s="1" t="str">
        <x:v>2019-05-31</x:v>
      </x:c>
      <x:c r="E1288" s="5" t="n">
        <x:v>1804.96</x:v>
      </x:c>
      <x:c r="F1288" s="6" t="str">
        <x:v>2019-06-28</x:v>
      </x:c>
      <x:c r="G1288" s="5" t="n">
        <x:v>1798.05</x:v>
      </x:c>
      <x:c r="H1288" s="7" t="n">
        <x:f>G1288/E1288-1</x:f>
        <x:v>-0.0038283396861981123</x:v>
      </x:c>
      <x:c r="I1288" s="1" t="n">
        <x:v>1</x:v>
      </x:c>
      <x:c r="J1288" s="1" t="n">
        <x:v>0</x:v>
      </x:c>
      <x:c r="K1288" s="1" t="str">
        <x:v>中证官方优先</x:v>
      </x:c>
    </x:row>
    <x:row r="1289" ht="25" customHeight="1">
      <x:c r="A1289" s="1" t="str">
        <x:v>sh932000</x:v>
      </x:c>
      <x:c r="B1289" s="1" t="str">
        <x:v>中证2000</x:v>
      </x:c>
      <x:c r="C1289" s="1" t="str">
        <x:v>2019-07</x:v>
      </x:c>
      <x:c r="D1289" s="1" t="str">
        <x:v>2019-06-28</x:v>
      </x:c>
      <x:c r="E1289" s="5" t="n">
        <x:v>1798.05</x:v>
      </x:c>
      <x:c r="F1289" s="6" t="str">
        <x:v>2019-07-31</x:v>
      </x:c>
      <x:c r="G1289" s="5" t="n">
        <x:v>1754.97</x:v>
      </x:c>
      <x:c r="H1289" s="7" t="n">
        <x:f>G1289/E1289-1</x:f>
        <x:v>-0.023959289229999126</x:v>
      </x:c>
      <x:c r="I1289" s="1" t="n">
        <x:v>1</x:v>
      </x:c>
      <x:c r="J1289" s="1" t="n">
        <x:v>0</x:v>
      </x:c>
      <x:c r="K1289" s="1" t="str">
        <x:v>中证官方优先</x:v>
      </x:c>
    </x:row>
    <x:row r="1290" ht="25" customHeight="1">
      <x:c r="A1290" s="1" t="str">
        <x:v>sh932000</x:v>
      </x:c>
      <x:c r="B1290" s="1" t="str">
        <x:v>中证2000</x:v>
      </x:c>
      <x:c r="C1290" s="1" t="str">
        <x:v>2019-08</x:v>
      </x:c>
      <x:c r="D1290" s="1" t="str">
        <x:v>2019-07-31</x:v>
      </x:c>
      <x:c r="E1290" s="5" t="n">
        <x:v>1754.97</x:v>
      </x:c>
      <x:c r="F1290" s="6" t="str">
        <x:v>2019-08-30</x:v>
      </x:c>
      <x:c r="G1290" s="5" t="n">
        <x:v>1733.41</x:v>
      </x:c>
      <x:c r="H1290" s="7" t="n">
        <x:f>G1290/E1290-1</x:f>
        <x:v>-0.012285110286785472</x:v>
      </x:c>
      <x:c r="I1290" s="1" t="n">
        <x:v>1</x:v>
      </x:c>
      <x:c r="J1290" s="1" t="n">
        <x:v>0</x:v>
      </x:c>
      <x:c r="K1290" s="1" t="str">
        <x:v>中证官方优先</x:v>
      </x:c>
    </x:row>
    <x:row r="1291" ht="25" customHeight="1">
      <x:c r="A1291" s="1" t="str">
        <x:v>sh932000</x:v>
      </x:c>
      <x:c r="B1291" s="1" t="str">
        <x:v>中证2000</x:v>
      </x:c>
      <x:c r="C1291" s="1" t="str">
        <x:v>2019-09</x:v>
      </x:c>
      <x:c r="D1291" s="1" t="str">
        <x:v>2019-08-30</x:v>
      </x:c>
      <x:c r="E1291" s="5" t="n">
        <x:v>1733.41</x:v>
      </x:c>
      <x:c r="F1291" s="6" t="str">
        <x:v>2019-09-30</x:v>
      </x:c>
      <x:c r="G1291" s="5" t="n">
        <x:v>1761.23</x:v>
      </x:c>
      <x:c r="H1291" s="7" t="n">
        <x:f>G1291/E1291-1</x:f>
        <x:v>0.016049290127551963</x:v>
      </x:c>
      <x:c r="I1291" s="1" t="n">
        <x:v>1</x:v>
      </x:c>
      <x:c r="J1291" s="1" t="n">
        <x:v>0</x:v>
      </x:c>
      <x:c r="K1291" s="1" t="str">
        <x:v>中证官方优先</x:v>
      </x:c>
    </x:row>
    <x:row r="1292" ht="25" customHeight="1">
      <x:c r="A1292" s="1" t="str">
        <x:v>sh932000</x:v>
      </x:c>
      <x:c r="B1292" s="1" t="str">
        <x:v>中证2000</x:v>
      </x:c>
      <x:c r="C1292" s="1" t="str">
        <x:v>2019-10</x:v>
      </x:c>
      <x:c r="D1292" s="1" t="str">
        <x:v>2019-09-30</x:v>
      </x:c>
      <x:c r="E1292" s="5" t="n">
        <x:v>1761.23</x:v>
      </x:c>
      <x:c r="F1292" s="6" t="str">
        <x:v>2019-10-31</x:v>
      </x:c>
      <x:c r="G1292" s="5" t="n">
        <x:v>1754.72</x:v>
      </x:c>
      <x:c r="H1292" s="7" t="n">
        <x:f>G1292/E1292-1</x:f>
        <x:v>-0.0036962804403740668</x:v>
      </x:c>
      <x:c r="I1292" s="1" t="n">
        <x:v>1</x:v>
      </x:c>
      <x:c r="J1292" s="1" t="n">
        <x:v>0</x:v>
      </x:c>
      <x:c r="K1292" s="1" t="str">
        <x:v>中证官方优先</x:v>
      </x:c>
    </x:row>
    <x:row r="1293" ht="25" customHeight="1">
      <x:c r="A1293" s="1" t="str">
        <x:v>sh932000</x:v>
      </x:c>
      <x:c r="B1293" s="1" t="str">
        <x:v>中证2000</x:v>
      </x:c>
      <x:c r="C1293" s="1" t="str">
        <x:v>2019-11</x:v>
      </x:c>
      <x:c r="D1293" s="1" t="str">
        <x:v>2019-10-31</x:v>
      </x:c>
      <x:c r="E1293" s="5" t="n">
        <x:v>1754.72</x:v>
      </x:c>
      <x:c r="F1293" s="6" t="str">
        <x:v>2019-11-29</x:v>
      </x:c>
      <x:c r="G1293" s="5" t="n">
        <x:v>1697.35</x:v>
      </x:c>
      <x:c r="H1293" s="7" t="n">
        <x:f>G1293/E1293-1</x:f>
        <x:v>-0.032694674933892665</x:v>
      </x:c>
      <x:c r="I1293" s="1" t="n">
        <x:v>1</x:v>
      </x:c>
      <x:c r="J1293" s="1" t="n">
        <x:v>0</x:v>
      </x:c>
      <x:c r="K1293" s="1" t="str">
        <x:v>中证官方优先</x:v>
      </x:c>
    </x:row>
    <x:row r="1294" ht="25" customHeight="1">
      <x:c r="A1294" s="1" t="str">
        <x:v>sh932000</x:v>
      </x:c>
      <x:c r="B1294" s="1" t="str">
        <x:v>中证2000</x:v>
      </x:c>
      <x:c r="C1294" s="1" t="str">
        <x:v>2019-12</x:v>
      </x:c>
      <x:c r="D1294" s="1" t="str">
        <x:v>2019-11-29</x:v>
      </x:c>
      <x:c r="E1294" s="5" t="n">
        <x:v>1697.35</x:v>
      </x:c>
      <x:c r="F1294" s="6" t="str">
        <x:v>2019-12-31</x:v>
      </x:c>
      <x:c r="G1294" s="5" t="n">
        <x:v>1835.89</x:v>
      </x:c>
      <x:c r="H1294" s="7" t="n">
        <x:f>G1294/E1294-1</x:f>
        <x:v>0.08162135092939016</x:v>
      </x:c>
      <x:c r="I1294" s="1" t="n">
        <x:v>1</x:v>
      </x:c>
      <x:c r="J1294" s="1" t="n">
        <x:v>0</x:v>
      </x:c>
      <x:c r="K1294" s="1" t="str">
        <x:v>中证官方优先</x:v>
      </x:c>
    </x:row>
    <x:row r="1295" ht="25" customHeight="1">
      <x:c r="A1295" s="1" t="str">
        <x:v>sh932000</x:v>
      </x:c>
      <x:c r="B1295" s="1" t="str">
        <x:v>中证2000</x:v>
      </x:c>
      <x:c r="C1295" s="1" t="str">
        <x:v>2020-01</x:v>
      </x:c>
      <x:c r="D1295" s="1" t="str">
        <x:v>2019-12-31</x:v>
      </x:c>
      <x:c r="E1295" s="5" t="n">
        <x:v>1835.89</x:v>
      </x:c>
      <x:c r="F1295" s="6" t="str">
        <x:v>2020-01-23</x:v>
      </x:c>
      <x:c r="G1295" s="5" t="n">
        <x:v>1867.38</x:v>
      </x:c>
      <x:c r="H1295" s="7" t="n">
        <x:f>G1295/E1295-1</x:f>
        <x:v>0.01715244377386438</x:v>
      </x:c>
      <x:c r="I1295" s="1" t="n">
        <x:v>1</x:v>
      </x:c>
      <x:c r="J1295" s="1" t="n">
        <x:v>0</x:v>
      </x:c>
      <x:c r="K1295" s="1" t="str">
        <x:v>中证官方优先</x:v>
      </x:c>
    </x:row>
    <x:row r="1296" ht="25" customHeight="1">
      <x:c r="A1296" s="1" t="str">
        <x:v>sh932000</x:v>
      </x:c>
      <x:c r="B1296" s="1" t="str">
        <x:v>中证2000</x:v>
      </x:c>
      <x:c r="C1296" s="1" t="str">
        <x:v>2020-02</x:v>
      </x:c>
      <x:c r="D1296" s="1" t="str">
        <x:v>2020-01-23</x:v>
      </x:c>
      <x:c r="E1296" s="5" t="n">
        <x:v>1867.38</x:v>
      </x:c>
      <x:c r="F1296" s="6" t="str">
        <x:v>2020-02-28</x:v>
      </x:c>
      <x:c r="G1296" s="5" t="n">
        <x:v>1897.57</x:v>
      </x:c>
      <x:c r="H1296" s="7" t="n">
        <x:f>G1296/E1296-1</x:f>
        <x:v>0.01616703616832127</x:v>
      </x:c>
      <x:c r="I1296" s="1" t="n">
        <x:v>1</x:v>
      </x:c>
      <x:c r="J1296" s="1" t="n">
        <x:v>0</x:v>
      </x:c>
      <x:c r="K1296" s="1" t="str">
        <x:v>中证官方优先</x:v>
      </x:c>
    </x:row>
    <x:row r="1297" ht="25" customHeight="1">
      <x:c r="A1297" s="1" t="str">
        <x:v>sh932000</x:v>
      </x:c>
      <x:c r="B1297" s="1" t="str">
        <x:v>中证2000</x:v>
      </x:c>
      <x:c r="C1297" s="1" t="str">
        <x:v>2020-03</x:v>
      </x:c>
      <x:c r="D1297" s="1" t="str">
        <x:v>2020-02-28</x:v>
      </x:c>
      <x:c r="E1297" s="5" t="n">
        <x:v>1897.57</x:v>
      </x:c>
      <x:c r="F1297" s="6" t="str">
        <x:v>2020-03-31</x:v>
      </x:c>
      <x:c r="G1297" s="5" t="n">
        <x:v>1813.21</x:v>
      </x:c>
      <x:c r="H1297" s="7" t="n">
        <x:f>G1297/E1297-1</x:f>
        <x:v>-0.044456857981523656</x:v>
      </x:c>
      <x:c r="I1297" s="1" t="n">
        <x:v>1</x:v>
      </x:c>
      <x:c r="J1297" s="1" t="n">
        <x:v>0</x:v>
      </x:c>
      <x:c r="K1297" s="1" t="str">
        <x:v>中证官方优先</x:v>
      </x:c>
    </x:row>
    <x:row r="1298" ht="25" customHeight="1">
      <x:c r="A1298" s="1" t="str">
        <x:v>sh932000</x:v>
      </x:c>
      <x:c r="B1298" s="1" t="str">
        <x:v>中证2000</x:v>
      </x:c>
      <x:c r="C1298" s="1" t="str">
        <x:v>2020-04</x:v>
      </x:c>
      <x:c r="D1298" s="1" t="str">
        <x:v>2020-03-31</x:v>
      </x:c>
      <x:c r="E1298" s="5" t="n">
        <x:v>1813.21</x:v>
      </x:c>
      <x:c r="F1298" s="6" t="str">
        <x:v>2020-04-30</x:v>
      </x:c>
      <x:c r="G1298" s="5" t="n">
        <x:v>1842.51</x:v>
      </x:c>
      <x:c r="H1298" s="7" t="n">
        <x:f>G1298/E1298-1</x:f>
        <x:v>0.01615918729766541</x:v>
      </x:c>
      <x:c r="I1298" s="1" t="n">
        <x:v>1</x:v>
      </x:c>
      <x:c r="J1298" s="1" t="n">
        <x:v>0</x:v>
      </x:c>
      <x:c r="K1298" s="1" t="str">
        <x:v>中证官方优先</x:v>
      </x:c>
    </x:row>
    <x:row r="1299" ht="25" customHeight="1">
      <x:c r="A1299" s="1" t="str">
        <x:v>sh932000</x:v>
      </x:c>
      <x:c r="B1299" s="1" t="str">
        <x:v>中证2000</x:v>
      </x:c>
      <x:c r="C1299" s="1" t="str">
        <x:v>2020-05</x:v>
      </x:c>
      <x:c r="D1299" s="1" t="str">
        <x:v>2020-04-30</x:v>
      </x:c>
      <x:c r="E1299" s="5" t="n">
        <x:v>1842.51</x:v>
      </x:c>
      <x:c r="F1299" s="6" t="str">
        <x:v>2020-05-29</x:v>
      </x:c>
      <x:c r="G1299" s="5" t="n">
        <x:v>1882.33</x:v>
      </x:c>
      <x:c r="H1299" s="7" t="n">
        <x:f>G1299/E1299-1</x:f>
        <x:v>0.021611823002317454</x:v>
      </x:c>
      <x:c r="I1299" s="1" t="n">
        <x:v>1</x:v>
      </x:c>
      <x:c r="J1299" s="1" t="n">
        <x:v>0</x:v>
      </x:c>
      <x:c r="K1299" s="1" t="str">
        <x:v>中证官方优先</x:v>
      </x:c>
    </x:row>
    <x:row r="1300" ht="25" customHeight="1">
      <x:c r="A1300" s="1" t="str">
        <x:v>sh932000</x:v>
      </x:c>
      <x:c r="B1300" s="1" t="str">
        <x:v>中证2000</x:v>
      </x:c>
      <x:c r="C1300" s="1" t="str">
        <x:v>2020-06</x:v>
      </x:c>
      <x:c r="D1300" s="1" t="str">
        <x:v>2020-05-29</x:v>
      </x:c>
      <x:c r="E1300" s="5" t="n">
        <x:v>1882.33</x:v>
      </x:c>
      <x:c r="F1300" s="6" t="str">
        <x:v>2020-06-30</x:v>
      </x:c>
      <x:c r="G1300" s="5" t="n">
        <x:v>2012.28</x:v>
      </x:c>
      <x:c r="H1300" s="7" t="n">
        <x:f>G1300/E1300-1</x:f>
        <x:v>0.06903677888574267</x:v>
      </x:c>
      <x:c r="I1300" s="1" t="n">
        <x:v>1</x:v>
      </x:c>
      <x:c r="J1300" s="1" t="n">
        <x:v>0</x:v>
      </x:c>
      <x:c r="K1300" s="1" t="str">
        <x:v>中证官方优先</x:v>
      </x:c>
    </x:row>
    <x:row r="1301" ht="25" customHeight="1">
      <x:c r="A1301" s="1" t="str">
        <x:v>sh932000</x:v>
      </x:c>
      <x:c r="B1301" s="1" t="str">
        <x:v>中证2000</x:v>
      </x:c>
      <x:c r="C1301" s="1" t="str">
        <x:v>2020-07</x:v>
      </x:c>
      <x:c r="D1301" s="1" t="str">
        <x:v>2020-06-30</x:v>
      </x:c>
      <x:c r="E1301" s="5" t="n">
        <x:v>2012.28</x:v>
      </x:c>
      <x:c r="F1301" s="6" t="str">
        <x:v>2020-07-31</x:v>
      </x:c>
      <x:c r="G1301" s="5" t="n">
        <x:v>2291.58</x:v>
      </x:c>
      <x:c r="H1301" s="7" t="n">
        <x:f>G1301/E1301-1</x:f>
        <x:v>0.13879778162084788</x:v>
      </x:c>
      <x:c r="I1301" s="1" t="n">
        <x:v>1</x:v>
      </x:c>
      <x:c r="J1301" s="1" t="n">
        <x:v>0</x:v>
      </x:c>
      <x:c r="K1301" s="1" t="str">
        <x:v>中证官方优先</x:v>
      </x:c>
    </x:row>
    <x:row r="1302" ht="25" customHeight="1">
      <x:c r="A1302" s="1" t="str">
        <x:v>sh932000</x:v>
      </x:c>
      <x:c r="B1302" s="1" t="str">
        <x:v>中证2000</x:v>
      </x:c>
      <x:c r="C1302" s="1" t="str">
        <x:v>2020-08</x:v>
      </x:c>
      <x:c r="D1302" s="1" t="str">
        <x:v>2020-07-31</x:v>
      </x:c>
      <x:c r="E1302" s="5" t="n">
        <x:v>2291.58</x:v>
      </x:c>
      <x:c r="F1302" s="6" t="str">
        <x:v>2020-08-31</x:v>
      </x:c>
      <x:c r="G1302" s="5" t="n">
        <x:v>2368.49</x:v>
      </x:c>
      <x:c r="H1302" s="7" t="n">
        <x:f>G1302/E1302-1</x:f>
        <x:v>0.033561996526414006</x:v>
      </x:c>
      <x:c r="I1302" s="1" t="n">
        <x:v>1</x:v>
      </x:c>
      <x:c r="J1302" s="1" t="n">
        <x:v>0</x:v>
      </x:c>
      <x:c r="K1302" s="1" t="str">
        <x:v>中证官方优先</x:v>
      </x:c>
    </x:row>
    <x:row r="1303" ht="25" customHeight="1">
      <x:c r="A1303" s="1" t="str">
        <x:v>sh932000</x:v>
      </x:c>
      <x:c r="B1303" s="1" t="str">
        <x:v>中证2000</x:v>
      </x:c>
      <x:c r="C1303" s="1" t="str">
        <x:v>2020-09</x:v>
      </x:c>
      <x:c r="D1303" s="1" t="str">
        <x:v>2020-08-31</x:v>
      </x:c>
      <x:c r="E1303" s="5" t="n">
        <x:v>2368.49</x:v>
      </x:c>
      <x:c r="F1303" s="6" t="str">
        <x:v>2020-09-30</x:v>
      </x:c>
      <x:c r="G1303" s="5" t="n">
        <x:v>2191.64</x:v>
      </x:c>
      <x:c r="H1303" s="7" t="n">
        <x:f>G1303/E1303-1</x:f>
        <x:v>-0.07466782633661107</x:v>
      </x:c>
      <x:c r="I1303" s="1" t="n">
        <x:v>1</x:v>
      </x:c>
      <x:c r="J1303" s="1" t="n">
        <x:v>0</x:v>
      </x:c>
      <x:c r="K1303" s="1" t="str">
        <x:v>中证官方优先</x:v>
      </x:c>
    </x:row>
    <x:row r="1304" ht="25" customHeight="1">
      <x:c r="A1304" s="1" t="str">
        <x:v>sh932000</x:v>
      </x:c>
      <x:c r="B1304" s="1" t="str">
        <x:v>中证2000</x:v>
      </x:c>
      <x:c r="C1304" s="1" t="str">
        <x:v>2020-10</x:v>
      </x:c>
      <x:c r="D1304" s="1" t="str">
        <x:v>2020-09-30</x:v>
      </x:c>
      <x:c r="E1304" s="5" t="n">
        <x:v>2191.64</x:v>
      </x:c>
      <x:c r="F1304" s="6" t="str">
        <x:v>2020-10-30</x:v>
      </x:c>
      <x:c r="G1304" s="5" t="n">
        <x:v>2210.34</x:v>
      </x:c>
      <x:c r="H1304" s="7" t="n">
        <x:f>G1304/E1304-1</x:f>
        <x:v>0.008532423208191142</x:v>
      </x:c>
      <x:c r="I1304" s="1" t="n">
        <x:v>1</x:v>
      </x:c>
      <x:c r="J1304" s="1" t="n">
        <x:v>0</x:v>
      </x:c>
      <x:c r="K1304" s="1" t="str">
        <x:v>中证官方优先</x:v>
      </x:c>
    </x:row>
    <x:row r="1305" ht="25" customHeight="1">
      <x:c r="A1305" s="1" t="str">
        <x:v>sh932000</x:v>
      </x:c>
      <x:c r="B1305" s="1" t="str">
        <x:v>中证2000</x:v>
      </x:c>
      <x:c r="C1305" s="1" t="str">
        <x:v>2020-11</x:v>
      </x:c>
      <x:c r="D1305" s="1" t="str">
        <x:v>2020-10-30</x:v>
      </x:c>
      <x:c r="E1305" s="5" t="n">
        <x:v>2210.34</x:v>
      </x:c>
      <x:c r="F1305" s="6" t="str">
        <x:v>2020-11-30</x:v>
      </x:c>
      <x:c r="G1305" s="5" t="n">
        <x:v>2215.26</x:v>
      </x:c>
      <x:c r="H1305" s="7" t="n">
        <x:f>G1305/E1305-1</x:f>
        <x:v>0.002225901897445759</x:v>
      </x:c>
      <x:c r="I1305" s="1" t="n">
        <x:v>1</x:v>
      </x:c>
      <x:c r="J1305" s="1" t="n">
        <x:v>0</x:v>
      </x:c>
      <x:c r="K1305" s="1" t="str">
        <x:v>中证官方优先</x:v>
      </x:c>
    </x:row>
    <x:row r="1306" ht="25" customHeight="1">
      <x:c r="A1306" s="1" t="str">
        <x:v>sh932000</x:v>
      </x:c>
      <x:c r="B1306" s="1" t="str">
        <x:v>中证2000</x:v>
      </x:c>
      <x:c r="C1306" s="1" t="str">
        <x:v>2020-12</x:v>
      </x:c>
      <x:c r="D1306" s="1" t="str">
        <x:v>2020-11-30</x:v>
      </x:c>
      <x:c r="E1306" s="5" t="n">
        <x:v>2215.26</x:v>
      </x:c>
      <x:c r="F1306" s="6" t="str">
        <x:v>2020-12-31</x:v>
      </x:c>
      <x:c r="G1306" s="5" t="n">
        <x:v>2118.43</x:v>
      </x:c>
      <x:c r="H1306" s="7" t="n">
        <x:f>G1306/E1306-1</x:f>
        <x:v>-0.04371044482363262</x:v>
      </x:c>
      <x:c r="I1306" s="1" t="n">
        <x:v>1</x:v>
      </x:c>
      <x:c r="J1306" s="1" t="n">
        <x:v>0</x:v>
      </x:c>
      <x:c r="K1306" s="1" t="str">
        <x:v>中证官方优先</x:v>
      </x:c>
    </x:row>
    <x:row r="1307" ht="25" customHeight="1">
      <x:c r="A1307" s="1" t="str">
        <x:v>sh932000</x:v>
      </x:c>
      <x:c r="B1307" s="1" t="str">
        <x:v>中证2000</x:v>
      </x:c>
      <x:c r="C1307" s="1" t="str">
        <x:v>2021-01</x:v>
      </x:c>
      <x:c r="D1307" s="1" t="str">
        <x:v>2020-12-31</x:v>
      </x:c>
      <x:c r="E1307" s="5" t="n">
        <x:v>2118.43</x:v>
      </x:c>
      <x:c r="F1307" s="6" t="str">
        <x:v>2021-01-29</x:v>
      </x:c>
      <x:c r="G1307" s="5" t="n">
        <x:v>1928.58</x:v>
      </x:c>
      <x:c r="H1307" s="7" t="n">
        <x:f>G1307/E1307-1</x:f>
        <x:v>-0.08961825502848808</x:v>
      </x:c>
      <x:c r="I1307" s="1" t="n">
        <x:v>1</x:v>
      </x:c>
      <x:c r="J1307" s="1" t="n">
        <x:v>0</x:v>
      </x:c>
      <x:c r="K1307" s="1" t="str">
        <x:v>中证官方优先</x:v>
      </x:c>
    </x:row>
    <x:row r="1308" ht="25" customHeight="1">
      <x:c r="A1308" s="1" t="str">
        <x:v>sh932000</x:v>
      </x:c>
      <x:c r="B1308" s="1" t="str">
        <x:v>中证2000</x:v>
      </x:c>
      <x:c r="C1308" s="1" t="str">
        <x:v>2021-02</x:v>
      </x:c>
      <x:c r="D1308" s="1" t="str">
        <x:v>2021-01-29</x:v>
      </x:c>
      <x:c r="E1308" s="5" t="n">
        <x:v>1928.58</x:v>
      </x:c>
      <x:c r="F1308" s="6" t="str">
        <x:v>2021-02-26</x:v>
      </x:c>
      <x:c r="G1308" s="5" t="n">
        <x:v>1991.7</x:v>
      </x:c>
      <x:c r="H1308" s="7" t="n">
        <x:f>G1308/E1308-1</x:f>
        <x:v>0.03272874342780696</x:v>
      </x:c>
      <x:c r="I1308" s="1" t="n">
        <x:v>1</x:v>
      </x:c>
      <x:c r="J1308" s="1" t="n">
        <x:v>0</x:v>
      </x:c>
      <x:c r="K1308" s="1" t="str">
        <x:v>中证官方优先</x:v>
      </x:c>
    </x:row>
    <x:row r="1309" ht="25" customHeight="1">
      <x:c r="A1309" s="1" t="str">
        <x:v>sh932000</x:v>
      </x:c>
      <x:c r="B1309" s="1" t="str">
        <x:v>中证2000</x:v>
      </x:c>
      <x:c r="C1309" s="1" t="str">
        <x:v>2021-03</x:v>
      </x:c>
      <x:c r="D1309" s="1" t="str">
        <x:v>2021-02-26</x:v>
      </x:c>
      <x:c r="E1309" s="5" t="n">
        <x:v>1991.7</x:v>
      </x:c>
      <x:c r="F1309" s="6" t="str">
        <x:v>2021-03-31</x:v>
      </x:c>
      <x:c r="G1309" s="5" t="n">
        <x:v>2023.18</x:v>
      </x:c>
      <x:c r="H1309" s="7" t="n">
        <x:f>G1309/E1309-1</x:f>
        <x:v>0.01580559321182906</x:v>
      </x:c>
      <x:c r="I1309" s="1" t="n">
        <x:v>1</x:v>
      </x:c>
      <x:c r="J1309" s="1" t="n">
        <x:v>0</x:v>
      </x:c>
      <x:c r="K1309" s="1" t="str">
        <x:v>中证官方优先</x:v>
      </x:c>
    </x:row>
    <x:row r="1310" ht="25" customHeight="1">
      <x:c r="A1310" s="1" t="str">
        <x:v>sh932000</x:v>
      </x:c>
      <x:c r="B1310" s="1" t="str">
        <x:v>中证2000</x:v>
      </x:c>
      <x:c r="C1310" s="1" t="str">
        <x:v>2021-04</x:v>
      </x:c>
      <x:c r="D1310" s="1" t="str">
        <x:v>2021-03-31</x:v>
      </x:c>
      <x:c r="E1310" s="5" t="n">
        <x:v>2023.18</x:v>
      </x:c>
      <x:c r="F1310" s="6" t="str">
        <x:v>2021-04-30</x:v>
      </x:c>
      <x:c r="G1310" s="5" t="n">
        <x:v>2031.33</x:v>
      </x:c>
      <x:c r="H1310" s="7" t="n">
        <x:f>G1310/E1310-1</x:f>
        <x:v>0.0040283118654791394</x:v>
      </x:c>
      <x:c r="I1310" s="1" t="n">
        <x:v>1</x:v>
      </x:c>
      <x:c r="J1310" s="1" t="n">
        <x:v>0</x:v>
      </x:c>
      <x:c r="K1310" s="1" t="str">
        <x:v>中证官方优先</x:v>
      </x:c>
    </x:row>
    <x:row r="1311" ht="25" customHeight="1">
      <x:c r="A1311" s="1" t="str">
        <x:v>sh932000</x:v>
      </x:c>
      <x:c r="B1311" s="1" t="str">
        <x:v>中证2000</x:v>
      </x:c>
      <x:c r="C1311" s="1" t="str">
        <x:v>2021-05</x:v>
      </x:c>
      <x:c r="D1311" s="1" t="str">
        <x:v>2021-04-30</x:v>
      </x:c>
      <x:c r="E1311" s="5" t="n">
        <x:v>2031.33</x:v>
      </x:c>
      <x:c r="F1311" s="6" t="str">
        <x:v>2021-05-31</x:v>
      </x:c>
      <x:c r="G1311" s="5" t="n">
        <x:v>2163.08</x:v>
      </x:c>
      <x:c r="H1311" s="7" t="n">
        <x:f>G1311/E1311-1</x:f>
        <x:v>0.0648589840153988</x:v>
      </x:c>
      <x:c r="I1311" s="1" t="n">
        <x:v>1</x:v>
      </x:c>
      <x:c r="J1311" s="1" t="n">
        <x:v>0</x:v>
      </x:c>
      <x:c r="K1311" s="1" t="str">
        <x:v>中证官方优先</x:v>
      </x:c>
    </x:row>
    <x:row r="1312" ht="25" customHeight="1">
      <x:c r="A1312" s="1" t="str">
        <x:v>sh932000</x:v>
      </x:c>
      <x:c r="B1312" s="1" t="str">
        <x:v>中证2000</x:v>
      </x:c>
      <x:c r="C1312" s="1" t="str">
        <x:v>2021-06</x:v>
      </x:c>
      <x:c r="D1312" s="1" t="str">
        <x:v>2021-05-31</x:v>
      </x:c>
      <x:c r="E1312" s="5" t="n">
        <x:v>2163.08</x:v>
      </x:c>
      <x:c r="F1312" s="6" t="str">
        <x:v>2021-06-30</x:v>
      </x:c>
      <x:c r="G1312" s="5" t="n">
        <x:v>2236.24</x:v>
      </x:c>
      <x:c r="H1312" s="7" t="n">
        <x:f>G1312/E1312-1</x:f>
        <x:v>0.03382214250050852</x:v>
      </x:c>
      <x:c r="I1312" s="1" t="n">
        <x:v>1</x:v>
      </x:c>
      <x:c r="J1312" s="1" t="n">
        <x:v>0</x:v>
      </x:c>
      <x:c r="K1312" s="1" t="str">
        <x:v>中证官方优先</x:v>
      </x:c>
    </x:row>
    <x:row r="1313" ht="25" customHeight="1">
      <x:c r="A1313" s="1" t="str">
        <x:v>sh932000</x:v>
      </x:c>
      <x:c r="B1313" s="1" t="str">
        <x:v>中证2000</x:v>
      </x:c>
      <x:c r="C1313" s="1" t="str">
        <x:v>2021-07</x:v>
      </x:c>
      <x:c r="D1313" s="1" t="str">
        <x:v>2021-06-30</x:v>
      </x:c>
      <x:c r="E1313" s="5" t="n">
        <x:v>2236.24</x:v>
      </x:c>
      <x:c r="F1313" s="6" t="str">
        <x:v>2021-07-30</x:v>
      </x:c>
      <x:c r="G1313" s="5" t="n">
        <x:v>2310.83</x:v>
      </x:c>
      <x:c r="H1313" s="7" t="n">
        <x:f>G1313/E1313-1</x:f>
        <x:v>0.03335509605409093</x:v>
      </x:c>
      <x:c r="I1313" s="1" t="n">
        <x:v>1</x:v>
      </x:c>
      <x:c r="J1313" s="1" t="n">
        <x:v>0</x:v>
      </x:c>
      <x:c r="K1313" s="1" t="str">
        <x:v>中证官方优先</x:v>
      </x:c>
    </x:row>
    <x:row r="1314" ht="25" customHeight="1">
      <x:c r="A1314" s="1" t="str">
        <x:v>sh932000</x:v>
      </x:c>
      <x:c r="B1314" s="1" t="str">
        <x:v>中证2000</x:v>
      </x:c>
      <x:c r="C1314" s="1" t="str">
        <x:v>2021-08</x:v>
      </x:c>
      <x:c r="D1314" s="1" t="str">
        <x:v>2021-07-30</x:v>
      </x:c>
      <x:c r="E1314" s="5" t="n">
        <x:v>2310.83</x:v>
      </x:c>
      <x:c r="F1314" s="6" t="str">
        <x:v>2021-08-31</x:v>
      </x:c>
      <x:c r="G1314" s="5" t="n">
        <x:v>2458.86</x:v>
      </x:c>
      <x:c r="H1314" s="7" t="n">
        <x:f>G1314/E1314-1</x:f>
        <x:v>0.0640592341279973</x:v>
      </x:c>
      <x:c r="I1314" s="1" t="n">
        <x:v>1</x:v>
      </x:c>
      <x:c r="J1314" s="1" t="n">
        <x:v>0</x:v>
      </x:c>
      <x:c r="K1314" s="1" t="str">
        <x:v>中证官方优先</x:v>
      </x:c>
    </x:row>
    <x:row r="1315" ht="25" customHeight="1">
      <x:c r="A1315" s="1" t="str">
        <x:v>sh932000</x:v>
      </x:c>
      <x:c r="B1315" s="1" t="str">
        <x:v>中证2000</x:v>
      </x:c>
      <x:c r="C1315" s="1" t="str">
        <x:v>2021-09</x:v>
      </x:c>
      <x:c r="D1315" s="1" t="str">
        <x:v>2021-08-31</x:v>
      </x:c>
      <x:c r="E1315" s="5" t="n">
        <x:v>2458.86</x:v>
      </x:c>
      <x:c r="F1315" s="6" t="str">
        <x:v>2021-09-30</x:v>
      </x:c>
      <x:c r="G1315" s="5" t="n">
        <x:v>2370.07</x:v>
      </x:c>
      <x:c r="H1315" s="7" t="n">
        <x:f>G1315/E1315-1</x:f>
        <x:v>-0.03611022994395774</x:v>
      </x:c>
      <x:c r="I1315" s="1" t="n">
        <x:v>1</x:v>
      </x:c>
      <x:c r="J1315" s="1" t="n">
        <x:v>0</x:v>
      </x:c>
      <x:c r="K1315" s="1" t="str">
        <x:v>中证官方优先</x:v>
      </x:c>
    </x:row>
    <x:row r="1316" ht="25" customHeight="1">
      <x:c r="A1316" s="1" t="str">
        <x:v>sh932000</x:v>
      </x:c>
      <x:c r="B1316" s="1" t="str">
        <x:v>中证2000</x:v>
      </x:c>
      <x:c r="C1316" s="1" t="str">
        <x:v>2021-10</x:v>
      </x:c>
      <x:c r="D1316" s="1" t="str">
        <x:v>2021-09-30</x:v>
      </x:c>
      <x:c r="E1316" s="5" t="n">
        <x:v>2370.07</x:v>
      </x:c>
      <x:c r="F1316" s="6" t="str">
        <x:v>2021-10-29</x:v>
      </x:c>
      <x:c r="G1316" s="5" t="n">
        <x:v>2325.64</x:v>
      </x:c>
      <x:c r="H1316" s="7" t="n">
        <x:f>G1316/E1316-1</x:f>
        <x:v>-0.01874628175539128</x:v>
      </x:c>
      <x:c r="I1316" s="1" t="n">
        <x:v>1</x:v>
      </x:c>
      <x:c r="J1316" s="1" t="n">
        <x:v>0</x:v>
      </x:c>
      <x:c r="K1316" s="1" t="str">
        <x:v>中证官方优先</x:v>
      </x:c>
    </x:row>
    <x:row r="1317" ht="25" customHeight="1">
      <x:c r="A1317" s="1" t="str">
        <x:v>sh932000</x:v>
      </x:c>
      <x:c r="B1317" s="1" t="str">
        <x:v>中证2000</x:v>
      </x:c>
      <x:c r="C1317" s="1" t="str">
        <x:v>2021-11</x:v>
      </x:c>
      <x:c r="D1317" s="1" t="str">
        <x:v>2021-10-29</x:v>
      </x:c>
      <x:c r="E1317" s="5" t="n">
        <x:v>2325.64</x:v>
      </x:c>
      <x:c r="F1317" s="6" t="str">
        <x:v>2021-11-30</x:v>
      </x:c>
      <x:c r="G1317" s="5" t="n">
        <x:v>2624.98</x:v>
      </x:c>
      <x:c r="H1317" s="7" t="n">
        <x:f>G1317/E1317-1</x:f>
        <x:v>0.1287129564334979</x:v>
      </x:c>
      <x:c r="I1317" s="1" t="n">
        <x:v>1</x:v>
      </x:c>
      <x:c r="J1317" s="1" t="n">
        <x:v>0</x:v>
      </x:c>
      <x:c r="K1317" s="1" t="str">
        <x:v>中证官方优先</x:v>
      </x:c>
    </x:row>
    <x:row r="1318" ht="25" customHeight="1">
      <x:c r="A1318" s="1" t="str">
        <x:v>sh932000</x:v>
      </x:c>
      <x:c r="B1318" s="1" t="str">
        <x:v>中证2000</x:v>
      </x:c>
      <x:c r="C1318" s="1" t="str">
        <x:v>2021-12</x:v>
      </x:c>
      <x:c r="D1318" s="1" t="str">
        <x:v>2021-11-30</x:v>
      </x:c>
      <x:c r="E1318" s="5" t="n">
        <x:v>2624.98</x:v>
      </x:c>
      <x:c r="F1318" s="6" t="str">
        <x:v>2021-12-31</x:v>
      </x:c>
      <x:c r="G1318" s="5" t="n">
        <x:v>2666.97</x:v>
      </x:c>
      <x:c r="H1318" s="7" t="n">
        <x:f>G1318/E1318-1</x:f>
        <x:v>0.015996312352855924</x:v>
      </x:c>
      <x:c r="I1318" s="1" t="n">
        <x:v>1</x:v>
      </x:c>
      <x:c r="J1318" s="1" t="n">
        <x:v>0</x:v>
      </x:c>
      <x:c r="K1318" s="1" t="str">
        <x:v>中证官方优先</x:v>
      </x:c>
    </x:row>
    <x:row r="1319" ht="25" customHeight="1">
      <x:c r="A1319" s="1" t="str">
        <x:v>sh932000</x:v>
      </x:c>
      <x:c r="B1319" s="1" t="str">
        <x:v>中证2000</x:v>
      </x:c>
      <x:c r="C1319" s="1" t="str">
        <x:v>2022-01</x:v>
      </x:c>
      <x:c r="D1319" s="1" t="str">
        <x:v>2021-12-31</x:v>
      </x:c>
      <x:c r="E1319" s="5" t="n">
        <x:v>2666.97</x:v>
      </x:c>
      <x:c r="F1319" s="6" t="str">
        <x:v>2022-01-28</x:v>
      </x:c>
      <x:c r="G1319" s="5" t="n">
        <x:v>2388.82</x:v>
      </x:c>
      <x:c r="H1319" s="7" t="n">
        <x:f>G1319/E1319-1</x:f>
        <x:v>-0.10429438651353395</x:v>
      </x:c>
      <x:c r="I1319" s="1" t="n">
        <x:v>1</x:v>
      </x:c>
      <x:c r="J1319" s="1" t="n">
        <x:v>0</x:v>
      </x:c>
      <x:c r="K1319" s="1" t="str">
        <x:v>中证官方优先</x:v>
      </x:c>
    </x:row>
    <x:row r="1320" ht="25" customHeight="1">
      <x:c r="A1320" s="1" t="str">
        <x:v>sh932000</x:v>
      </x:c>
      <x:c r="B1320" s="1" t="str">
        <x:v>中证2000</x:v>
      </x:c>
      <x:c r="C1320" s="1" t="str">
        <x:v>2022-02</x:v>
      </x:c>
      <x:c r="D1320" s="1" t="str">
        <x:v>2022-01-28</x:v>
      </x:c>
      <x:c r="E1320" s="5" t="n">
        <x:v>2388.82</x:v>
      </x:c>
      <x:c r="F1320" s="6" t="str">
        <x:v>2022-02-28</x:v>
      </x:c>
      <x:c r="G1320" s="5" t="n">
        <x:v>2517.85</x:v>
      </x:c>
      <x:c r="H1320" s="7" t="n">
        <x:f>G1320/E1320-1</x:f>
        <x:v>0.05401411575589621</x:v>
      </x:c>
      <x:c r="I1320" s="1" t="n">
        <x:v>1</x:v>
      </x:c>
      <x:c r="J1320" s="1" t="n">
        <x:v>0</x:v>
      </x:c>
      <x:c r="K1320" s="1" t="str">
        <x:v>中证官方优先</x:v>
      </x:c>
    </x:row>
    <x:row r="1321" ht="25" customHeight="1">
      <x:c r="A1321" s="1" t="str">
        <x:v>sh932000</x:v>
      </x:c>
      <x:c r="B1321" s="1" t="str">
        <x:v>中证2000</x:v>
      </x:c>
      <x:c r="C1321" s="1" t="str">
        <x:v>2022-03</x:v>
      </x:c>
      <x:c r="D1321" s="1" t="str">
        <x:v>2022-02-28</x:v>
      </x:c>
      <x:c r="E1321" s="5" t="n">
        <x:v>2517.85</x:v>
      </x:c>
      <x:c r="F1321" s="6" t="str">
        <x:v>2022-03-31</x:v>
      </x:c>
      <x:c r="G1321" s="5" t="n">
        <x:v>2391.28</x:v>
      </x:c>
      <x:c r="H1321" s="7" t="n">
        <x:f>G1321/E1321-1</x:f>
        <x:v>-0.05026907877752829</x:v>
      </x:c>
      <x:c r="I1321" s="1" t="n">
        <x:v>1</x:v>
      </x:c>
      <x:c r="J1321" s="1" t="n">
        <x:v>0</x:v>
      </x:c>
      <x:c r="K1321" s="1" t="str">
        <x:v>中证官方优先</x:v>
      </x:c>
    </x:row>
    <x:row r="1322" ht="25" customHeight="1">
      <x:c r="A1322" s="1" t="str">
        <x:v>sh932000</x:v>
      </x:c>
      <x:c r="B1322" s="1" t="str">
        <x:v>中证2000</x:v>
      </x:c>
      <x:c r="C1322" s="1" t="str">
        <x:v>2022-04</x:v>
      </x:c>
      <x:c r="D1322" s="1" t="str">
        <x:v>2022-03-31</x:v>
      </x:c>
      <x:c r="E1322" s="5" t="n">
        <x:v>2391.28</x:v>
      </x:c>
      <x:c r="F1322" s="6" t="str">
        <x:v>2022-04-29</x:v>
      </x:c>
      <x:c r="G1322" s="5" t="n">
        <x:v>1953.11</x:v>
      </x:c>
      <x:c r="H1322" s="7" t="n">
        <x:f>G1322/E1322-1</x:f>
        <x:v>-0.1832365929544011</x:v>
      </x:c>
      <x:c r="I1322" s="1" t="n">
        <x:v>1</x:v>
      </x:c>
      <x:c r="J1322" s="1" t="n">
        <x:v>0</x:v>
      </x:c>
      <x:c r="K1322" s="1" t="str">
        <x:v>中证官方优先</x:v>
      </x:c>
    </x:row>
    <x:row r="1323" ht="25" customHeight="1">
      <x:c r="A1323" s="1" t="str">
        <x:v>sh932000</x:v>
      </x:c>
      <x:c r="B1323" s="1" t="str">
        <x:v>中证2000</x:v>
      </x:c>
      <x:c r="C1323" s="1" t="str">
        <x:v>2022-05</x:v>
      </x:c>
      <x:c r="D1323" s="1" t="str">
        <x:v>2022-04-29</x:v>
      </x:c>
      <x:c r="E1323" s="5" t="n">
        <x:v>1953.11</x:v>
      </x:c>
      <x:c r="F1323" s="6" t="str">
        <x:v>2022-05-31</x:v>
      </x:c>
      <x:c r="G1323" s="5" t="n">
        <x:v>2182.77</x:v>
      </x:c>
      <x:c r="H1323" s="7" t="n">
        <x:f>G1323/E1323-1</x:f>
        <x:v>0.11758682306680113</x:v>
      </x:c>
      <x:c r="I1323" s="1" t="n">
        <x:v>1</x:v>
      </x:c>
      <x:c r="J1323" s="1" t="n">
        <x:v>0</x:v>
      </x:c>
      <x:c r="K1323" s="1" t="str">
        <x:v>中证官方优先</x:v>
      </x:c>
    </x:row>
    <x:row r="1324" ht="25" customHeight="1">
      <x:c r="A1324" s="1" t="str">
        <x:v>sh932000</x:v>
      </x:c>
      <x:c r="B1324" s="1" t="str">
        <x:v>中证2000</x:v>
      </x:c>
      <x:c r="C1324" s="1" t="str">
        <x:v>2022-06</x:v>
      </x:c>
      <x:c r="D1324" s="1" t="str">
        <x:v>2022-05-31</x:v>
      </x:c>
      <x:c r="E1324" s="5" t="n">
        <x:v>2182.77</x:v>
      </x:c>
      <x:c r="F1324" s="6" t="str">
        <x:v>2022-06-30</x:v>
      </x:c>
      <x:c r="G1324" s="5" t="n">
        <x:v>2361.88</x:v>
      </x:c>
      <x:c r="H1324" s="7" t="n">
        <x:f>G1324/E1324-1</x:f>
        <x:v>0.08205628627844441</x:v>
      </x:c>
      <x:c r="I1324" s="1" t="n">
        <x:v>1</x:v>
      </x:c>
      <x:c r="J1324" s="1" t="n">
        <x:v>0</x:v>
      </x:c>
      <x:c r="K1324" s="1" t="str">
        <x:v>中证官方优先</x:v>
      </x:c>
    </x:row>
    <x:row r="1325" ht="25" customHeight="1">
      <x:c r="A1325" s="1" t="str">
        <x:v>sh932000</x:v>
      </x:c>
      <x:c r="B1325" s="1" t="str">
        <x:v>中证2000</x:v>
      </x:c>
      <x:c r="C1325" s="1" t="str">
        <x:v>2022-07</x:v>
      </x:c>
      <x:c r="D1325" s="1" t="str">
        <x:v>2022-06-30</x:v>
      </x:c>
      <x:c r="E1325" s="5" t="n">
        <x:v>2361.88</x:v>
      </x:c>
      <x:c r="F1325" s="6" t="str">
        <x:v>2022-07-29</x:v>
      </x:c>
      <x:c r="G1325" s="5" t="n">
        <x:v>2473.74</x:v>
      </x:c>
      <x:c r="H1325" s="7" t="n">
        <x:f>G1325/E1325-1</x:f>
        <x:v>0.0473605771673411</x:v>
      </x:c>
      <x:c r="I1325" s="1" t="n">
        <x:v>1</x:v>
      </x:c>
      <x:c r="J1325" s="1" t="n">
        <x:v>0</x:v>
      </x:c>
      <x:c r="K1325" s="1" t="str">
        <x:v>中证官方优先</x:v>
      </x:c>
    </x:row>
    <x:row r="1326" ht="25" customHeight="1">
      <x:c r="A1326" s="1" t="str">
        <x:v>sh932000</x:v>
      </x:c>
      <x:c r="B1326" s="1" t="str">
        <x:v>中证2000</x:v>
      </x:c>
      <x:c r="C1326" s="1" t="str">
        <x:v>2022-08</x:v>
      </x:c>
      <x:c r="D1326" s="1" t="str">
        <x:v>2022-07-29</x:v>
      </x:c>
      <x:c r="E1326" s="5" t="n">
        <x:v>2473.74</x:v>
      </x:c>
      <x:c r="F1326" s="6" t="str">
        <x:v>2022-08-31</x:v>
      </x:c>
      <x:c r="G1326" s="5" t="n">
        <x:v>2357.87</x:v>
      </x:c>
      <x:c r="H1326" s="7" t="n">
        <x:f>G1326/E1326-1</x:f>
        <x:v>-0.046840007438130105</x:v>
      </x:c>
      <x:c r="I1326" s="1" t="n">
        <x:v>1</x:v>
      </x:c>
      <x:c r="J1326" s="1" t="n">
        <x:v>0</x:v>
      </x:c>
      <x:c r="K1326" s="1" t="str">
        <x:v>中证官方优先</x:v>
      </x:c>
    </x:row>
    <x:row r="1327" ht="25" customHeight="1">
      <x:c r="A1327" s="1" t="str">
        <x:v>sh932000</x:v>
      </x:c>
      <x:c r="B1327" s="1" t="str">
        <x:v>中证2000</x:v>
      </x:c>
      <x:c r="C1327" s="1" t="str">
        <x:v>2022-09</x:v>
      </x:c>
      <x:c r="D1327" s="1" t="str">
        <x:v>2022-08-31</x:v>
      </x:c>
      <x:c r="E1327" s="5" t="n">
        <x:v>2357.87</x:v>
      </x:c>
      <x:c r="F1327" s="6" t="str">
        <x:v>2022-09-30</x:v>
      </x:c>
      <x:c r="G1327" s="5" t="n">
        <x:v>2136.37</x:v>
      </x:c>
      <x:c r="H1327" s="7" t="n">
        <x:f>G1327/E1327-1</x:f>
        <x:v>-0.09394071768163637</x:v>
      </x:c>
      <x:c r="I1327" s="1" t="n">
        <x:v>1</x:v>
      </x:c>
      <x:c r="J1327" s="1" t="n">
        <x:v>0</x:v>
      </x:c>
      <x:c r="K1327" s="1" t="str">
        <x:v>中证官方优先</x:v>
      </x:c>
    </x:row>
    <x:row r="1328" ht="25" customHeight="1">
      <x:c r="A1328" s="1" t="str">
        <x:v>sh932000</x:v>
      </x:c>
      <x:c r="B1328" s="1" t="str">
        <x:v>中证2000</x:v>
      </x:c>
      <x:c r="C1328" s="1" t="str">
        <x:v>2022-10</x:v>
      </x:c>
      <x:c r="D1328" s="1" t="str">
        <x:v>2022-09-30</x:v>
      </x:c>
      <x:c r="E1328" s="5" t="n">
        <x:v>2136.37</x:v>
      </x:c>
      <x:c r="F1328" s="6" t="str">
        <x:v>2022-10-31</x:v>
      </x:c>
      <x:c r="G1328" s="5" t="n">
        <x:v>2226.29</x:v>
      </x:c>
      <x:c r="H1328" s="7" t="n">
        <x:f>G1328/E1328-1</x:f>
        <x:v>0.0420900873912291</x:v>
      </x:c>
      <x:c r="I1328" s="1" t="n">
        <x:v>1</x:v>
      </x:c>
      <x:c r="J1328" s="1" t="n">
        <x:v>0</x:v>
      </x:c>
      <x:c r="K1328" s="1" t="str">
        <x:v>中证官方优先</x:v>
      </x:c>
    </x:row>
    <x:row r="1329" ht="25" customHeight="1">
      <x:c r="A1329" s="1" t="str">
        <x:v>sh932000</x:v>
      </x:c>
      <x:c r="B1329" s="1" t="str">
        <x:v>中证2000</x:v>
      </x:c>
      <x:c r="C1329" s="1" t="str">
        <x:v>2022-11</x:v>
      </x:c>
      <x:c r="D1329" s="1" t="str">
        <x:v>2022-10-31</x:v>
      </x:c>
      <x:c r="E1329" s="5" t="n">
        <x:v>2226.29</x:v>
      </x:c>
      <x:c r="F1329" s="6" t="str">
        <x:v>2022-11-30</x:v>
      </x:c>
      <x:c r="G1329" s="5" t="n">
        <x:v>2389.46</x:v>
      </x:c>
      <x:c r="H1329" s="7" t="n">
        <x:f>G1329/E1329-1</x:f>
        <x:v>0.07329233837460536</x:v>
      </x:c>
      <x:c r="I1329" s="1" t="n">
        <x:v>1</x:v>
      </x:c>
      <x:c r="J1329" s="1" t="n">
        <x:v>0</x:v>
      </x:c>
      <x:c r="K1329" s="1" t="str">
        <x:v>中证官方优先</x:v>
      </x:c>
    </x:row>
    <x:row r="1330" ht="25" customHeight="1">
      <x:c r="A1330" s="1" t="str">
        <x:v>sh932000</x:v>
      </x:c>
      <x:c r="B1330" s="1" t="str">
        <x:v>中证2000</x:v>
      </x:c>
      <x:c r="C1330" s="1" t="str">
        <x:v>2022-12</x:v>
      </x:c>
      <x:c r="D1330" s="1" t="str">
        <x:v>2022-11-30</x:v>
      </x:c>
      <x:c r="E1330" s="5" t="n">
        <x:v>2389.46</x:v>
      </x:c>
      <x:c r="F1330" s="6" t="str">
        <x:v>2022-12-30</x:v>
      </x:c>
      <x:c r="G1330" s="5" t="n">
        <x:v>2272.93</x:v>
      </x:c>
      <x:c r="H1330" s="7" t="n">
        <x:f>G1330/E1330-1</x:f>
        <x:v>-0.048768340964067236</x:v>
      </x:c>
      <x:c r="I1330" s="1" t="n">
        <x:v>1</x:v>
      </x:c>
      <x:c r="J1330" s="1" t="n">
        <x:v>0</x:v>
      </x:c>
      <x:c r="K1330" s="1" t="str">
        <x:v>中证官方优先</x:v>
      </x:c>
    </x:row>
    <x:row r="1331" ht="25" customHeight="1">
      <x:c r="A1331" s="1" t="str">
        <x:v>sh932000</x:v>
      </x:c>
      <x:c r="B1331" s="1" t="str">
        <x:v>中证2000</x:v>
      </x:c>
      <x:c r="C1331" s="1" t="str">
        <x:v>2023-01</x:v>
      </x:c>
      <x:c r="D1331" s="1" t="str">
        <x:v>2022-12-30</x:v>
      </x:c>
      <x:c r="E1331" s="5" t="n">
        <x:v>2272.93</x:v>
      </x:c>
      <x:c r="F1331" s="6" t="str">
        <x:v>2023-01-31</x:v>
      </x:c>
      <x:c r="G1331" s="5" t="n">
        <x:v>2458.57</x:v>
      </x:c>
      <x:c r="H1331" s="7" t="n">
        <x:f>G1331/E1331-1</x:f>
        <x:v>0.08167431465113317</x:v>
      </x:c>
      <x:c r="I1331" s="1" t="n">
        <x:v>1</x:v>
      </x:c>
      <x:c r="J1331" s="1" t="n">
        <x:v>0</x:v>
      </x:c>
      <x:c r="K1331" s="1" t="str">
        <x:v>中证官方优先</x:v>
      </x:c>
    </x:row>
    <x:row r="1332" ht="25" customHeight="1">
      <x:c r="A1332" s="1" t="str">
        <x:v>sh932000</x:v>
      </x:c>
      <x:c r="B1332" s="1" t="str">
        <x:v>中证2000</x:v>
      </x:c>
      <x:c r="C1332" s="1" t="str">
        <x:v>2023-02</x:v>
      </x:c>
      <x:c r="D1332" s="1" t="str">
        <x:v>2023-01-31</x:v>
      </x:c>
      <x:c r="E1332" s="5" t="n">
        <x:v>2458.57</x:v>
      </x:c>
      <x:c r="F1332" s="6" t="str">
        <x:v>2023-02-28</x:v>
      </x:c>
      <x:c r="G1332" s="5" t="n">
        <x:v>2539.19</x:v>
      </x:c>
      <x:c r="H1332" s="7" t="n">
        <x:f>G1332/E1332-1</x:f>
        <x:v>0.03279141940233554</x:v>
      </x:c>
      <x:c r="I1332" s="1" t="n">
        <x:v>1</x:v>
      </x:c>
      <x:c r="J1332" s="1" t="n">
        <x:v>0</x:v>
      </x:c>
      <x:c r="K1332" s="1" t="str">
        <x:v>中证官方优先</x:v>
      </x:c>
    </x:row>
    <x:row r="1333" ht="25" customHeight="1">
      <x:c r="A1333" s="1" t="str">
        <x:v>sh932000</x:v>
      </x:c>
      <x:c r="B1333" s="1" t="str">
        <x:v>中证2000</x:v>
      </x:c>
      <x:c r="C1333" s="1" t="str">
        <x:v>2023-03</x:v>
      </x:c>
      <x:c r="D1333" s="1" t="str">
        <x:v>2023-02-28</x:v>
      </x:c>
      <x:c r="E1333" s="5" t="n">
        <x:v>2539.19</x:v>
      </x:c>
      <x:c r="F1333" s="6" t="str">
        <x:v>2023-03-31</x:v>
      </x:c>
      <x:c r="G1333" s="5" t="n">
        <x:v>2486.72</x:v>
      </x:c>
      <x:c r="H1333" s="7" t="n">
        <x:f>G1333/E1333-1</x:f>
        <x:v>-0.020664070038083127</x:v>
      </x:c>
      <x:c r="I1333" s="1" t="n">
        <x:v>1</x:v>
      </x:c>
      <x:c r="J1333" s="1" t="n">
        <x:v>0</x:v>
      </x:c>
      <x:c r="K1333" s="1" t="str">
        <x:v>中证官方优先</x:v>
      </x:c>
    </x:row>
    <x:row r="1334" ht="25" customHeight="1">
      <x:c r="A1334" s="1" t="str">
        <x:v>sh932000</x:v>
      </x:c>
      <x:c r="B1334" s="1" t="str">
        <x:v>中证2000</x:v>
      </x:c>
      <x:c r="C1334" s="1" t="str">
        <x:v>2023-04</x:v>
      </x:c>
      <x:c r="D1334" s="1" t="str">
        <x:v>2023-03-31</x:v>
      </x:c>
      <x:c r="E1334" s="5" t="n">
        <x:v>2486.72</x:v>
      </x:c>
      <x:c r="F1334" s="6" t="str">
        <x:v>2023-04-28</x:v>
      </x:c>
      <x:c r="G1334" s="5" t="n">
        <x:v>2403.17</x:v>
      </x:c>
      <x:c r="H1334" s="7" t="n">
        <x:f>G1334/E1334-1</x:f>
        <x:v>-0.033598475099729685</x:v>
      </x:c>
      <x:c r="I1334" s="1" t="n">
        <x:v>1</x:v>
      </x:c>
      <x:c r="J1334" s="1" t="n">
        <x:v>0</x:v>
      </x:c>
      <x:c r="K1334" s="1" t="str">
        <x:v>中证官方优先</x:v>
      </x:c>
    </x:row>
    <x:row r="1335" ht="25" customHeight="1">
      <x:c r="A1335" s="1" t="str">
        <x:v>sh932000</x:v>
      </x:c>
      <x:c r="B1335" s="1" t="str">
        <x:v>中证2000</x:v>
      </x:c>
      <x:c r="C1335" s="1" t="str">
        <x:v>2023-05</x:v>
      </x:c>
      <x:c r="D1335" s="1" t="str">
        <x:v>2023-04-28</x:v>
      </x:c>
      <x:c r="E1335" s="5" t="n">
        <x:v>2403.17</x:v>
      </x:c>
      <x:c r="F1335" s="6" t="str">
        <x:v>2023-05-31</x:v>
      </x:c>
      <x:c r="G1335" s="5" t="n">
        <x:v>2428.62</x:v>
      </x:c>
      <x:c r="H1335" s="7" t="n">
        <x:f>G1335/E1335-1</x:f>
        <x:v>0.010590178805494288</x:v>
      </x:c>
      <x:c r="I1335" s="1" t="n">
        <x:v>1</x:v>
      </x:c>
      <x:c r="J1335" s="1" t="n">
        <x:v>0</x:v>
      </x:c>
      <x:c r="K1335" s="1" t="str">
        <x:v>中证官方优先</x:v>
      </x:c>
    </x:row>
    <x:row r="1336" ht="25" customHeight="1">
      <x:c r="A1336" s="1" t="str">
        <x:v>sh932000</x:v>
      </x:c>
      <x:c r="B1336" s="1" t="str">
        <x:v>中证2000</x:v>
      </x:c>
      <x:c r="C1336" s="1" t="str">
        <x:v>2023-06</x:v>
      </x:c>
      <x:c r="D1336" s="1" t="str">
        <x:v>2023-05-31</x:v>
      </x:c>
      <x:c r="E1336" s="5" t="n">
        <x:v>2428.62</x:v>
      </x:c>
      <x:c r="F1336" s="6" t="str">
        <x:v>2023-06-30</x:v>
      </x:c>
      <x:c r="G1336" s="5" t="n">
        <x:v>2497.15</x:v>
      </x:c>
      <x:c r="H1336" s="7" t="n">
        <x:f>G1336/E1336-1</x:f>
        <x:v>0.028217670940698936</x:v>
      </x:c>
      <x:c r="I1336" s="1" t="n">
        <x:v>1</x:v>
      </x:c>
      <x:c r="J1336" s="1" t="n">
        <x:v>0</x:v>
      </x:c>
      <x:c r="K1336" s="1" t="str">
        <x:v>中证官方优先</x:v>
      </x:c>
    </x:row>
    <x:row r="1337" ht="25" customHeight="1">
      <x:c r="A1337" s="1" t="str">
        <x:v>sh932000</x:v>
      </x:c>
      <x:c r="B1337" s="1" t="str">
        <x:v>中证2000</x:v>
      </x:c>
      <x:c r="C1337" s="1" t="str">
        <x:v>2023-07</x:v>
      </x:c>
      <x:c r="D1337" s="1" t="str">
        <x:v>2023-06-30</x:v>
      </x:c>
      <x:c r="E1337" s="5" t="n">
        <x:v>2497.15</x:v>
      </x:c>
      <x:c r="F1337" s="6" t="str">
        <x:v>2023-07-31</x:v>
      </x:c>
      <x:c r="G1337" s="5" t="n">
        <x:v>2445.07</x:v>
      </x:c>
      <x:c r="H1337" s="7" t="n">
        <x:f>G1337/E1337-1</x:f>
        <x:v>-0.02085577558416596</x:v>
      </x:c>
      <x:c r="I1337" s="1" t="n">
        <x:v>1</x:v>
      </x:c>
      <x:c r="J1337" s="1" t="n">
        <x:v>0</x:v>
      </x:c>
      <x:c r="K1337" s="1" t="str">
        <x:v>中证官方优先</x:v>
      </x:c>
    </x:row>
    <x:row r="1338" ht="25" customHeight="1">
      <x:c r="A1338" s="1" t="str">
        <x:v>sh932000</x:v>
      </x:c>
      <x:c r="B1338" s="1" t="str">
        <x:v>中证2000</x:v>
      </x:c>
      <x:c r="C1338" s="1" t="str">
        <x:v>2023-08</x:v>
      </x:c>
      <x:c r="D1338" s="1" t="str">
        <x:v>2023-07-31</x:v>
      </x:c>
      <x:c r="E1338" s="5" t="n">
        <x:v>2445.07</x:v>
      </x:c>
      <x:c r="F1338" s="6" t="str">
        <x:v>2023-08-31</x:v>
      </x:c>
      <x:c r="G1338" s="5" t="n">
        <x:v>2349.25</x:v>
      </x:c>
      <x:c r="H1338" s="7" t="n">
        <x:f>G1338/E1338-1</x:f>
        <x:v>-0.039189062071842584</x:v>
      </x:c>
      <x:c r="I1338" s="1" t="n">
        <x:v>1</x:v>
      </x:c>
      <x:c r="J1338" s="1" t="n">
        <x:v>0</x:v>
      </x:c>
      <x:c r="K1338" s="1" t="str">
        <x:v>中证官方优先</x:v>
      </x:c>
    </x:row>
    <x:row r="1339" ht="25" customHeight="1">
      <x:c r="A1339" s="1" t="str">
        <x:v>sh932000</x:v>
      </x:c>
      <x:c r="B1339" s="1" t="str">
        <x:v>中证2000</x:v>
      </x:c>
      <x:c r="C1339" s="1" t="str">
        <x:v>2023-09</x:v>
      </x:c>
      <x:c r="D1339" s="1" t="str">
        <x:v>2023-08-31</x:v>
      </x:c>
      <x:c r="E1339" s="5" t="n">
        <x:v>2349.25</x:v>
      </x:c>
      <x:c r="F1339" s="6" t="str">
        <x:v>2023-09-28</x:v>
      </x:c>
      <x:c r="G1339" s="5" t="n">
        <x:v>2354.17</x:v>
      </x:c>
      <x:c r="H1339" s="7" t="n">
        <x:f>G1339/E1339-1</x:f>
        <x:v>0.002094285410237262</x:v>
      </x:c>
      <x:c r="I1339" s="1" t="n">
        <x:v>1</x:v>
      </x:c>
      <x:c r="J1339" s="1" t="n">
        <x:v>1</x:v>
      </x:c>
      <x:c r="K1339" s="1" t="str">
        <x:v>中证官方优先</x:v>
      </x:c>
    </x:row>
    <x:row r="1340" ht="25" customHeight="1">
      <x:c r="A1340" s="1" t="str">
        <x:v>sh932000</x:v>
      </x:c>
      <x:c r="B1340" s="1" t="str">
        <x:v>中证2000</x:v>
      </x:c>
      <x:c r="C1340" s="1" t="str">
        <x:v>2023-10</x:v>
      </x:c>
      <x:c r="D1340" s="1" t="str">
        <x:v>2023-09-28</x:v>
      </x:c>
      <x:c r="E1340" s="5" t="n">
        <x:v>2354.17</x:v>
      </x:c>
      <x:c r="F1340" s="6" t="str">
        <x:v>2023-10-31</x:v>
      </x:c>
      <x:c r="G1340" s="5" t="n">
        <x:v>2336.73</x:v>
      </x:c>
      <x:c r="H1340" s="7" t="n">
        <x:f>G1340/E1340-1</x:f>
        <x:v>-0.007408131103531224</x:v>
      </x:c>
      <x:c r="I1340" s="1" t="n">
        <x:v>1</x:v>
      </x:c>
      <x:c r="J1340" s="1" t="n">
        <x:v>1</x:v>
      </x:c>
      <x:c r="K1340" s="1" t="str">
        <x:v>中证官方优先</x:v>
      </x:c>
    </x:row>
    <x:row r="1341" ht="25" customHeight="1">
      <x:c r="A1341" s="1" t="str">
        <x:v>sh932000</x:v>
      </x:c>
      <x:c r="B1341" s="1" t="str">
        <x:v>中证2000</x:v>
      </x:c>
      <x:c r="C1341" s="1" t="str">
        <x:v>2023-11</x:v>
      </x:c>
      <x:c r="D1341" s="1" t="str">
        <x:v>2023-10-31</x:v>
      </x:c>
      <x:c r="E1341" s="5" t="n">
        <x:v>2336.73</x:v>
      </x:c>
      <x:c r="F1341" s="6" t="str">
        <x:v>2023-11-30</x:v>
      </x:c>
      <x:c r="G1341" s="5" t="n">
        <x:v>2453.68</x:v>
      </x:c>
      <x:c r="H1341" s="7" t="n">
        <x:f>G1341/E1341-1</x:f>
        <x:v>0.05004857214997016</x:v>
      </x:c>
      <x:c r="I1341" s="1" t="n">
        <x:v>1</x:v>
      </x:c>
      <x:c r="J1341" s="1" t="n">
        <x:v>1</x:v>
      </x:c>
      <x:c r="K1341" s="1" t="str">
        <x:v>中证官方优先</x:v>
      </x:c>
    </x:row>
    <x:row r="1342" ht="25" customHeight="1">
      <x:c r="A1342" s="1" t="str">
        <x:v>sh932000</x:v>
      </x:c>
      <x:c r="B1342" s="1" t="str">
        <x:v>中证2000</x:v>
      </x:c>
      <x:c r="C1342" s="1" t="str">
        <x:v>2023-12</x:v>
      </x:c>
      <x:c r="D1342" s="1" t="str">
        <x:v>2023-11-30</x:v>
      </x:c>
      <x:c r="E1342" s="5" t="n">
        <x:v>2453.68</x:v>
      </x:c>
      <x:c r="F1342" s="6" t="str">
        <x:v>2023-12-29</x:v>
      </x:c>
      <x:c r="G1342" s="5" t="n">
        <x:v>2399.47</x:v>
      </x:c>
      <x:c r="H1342" s="7" t="n">
        <x:f>G1342/E1342-1</x:f>
        <x:v>-0.02209334550552644</x:v>
      </x:c>
      <x:c r="I1342" s="1" t="n">
        <x:v>1</x:v>
      </x:c>
      <x:c r="J1342" s="1" t="n">
        <x:v>1</x:v>
      </x:c>
      <x:c r="K1342" s="1" t="str">
        <x:v>中证官方优先</x:v>
      </x:c>
    </x:row>
    <x:row r="1343" ht="25" customHeight="1">
      <x:c r="A1343" s="1" t="str">
        <x:v>sh932000</x:v>
      </x:c>
      <x:c r="B1343" s="1" t="str">
        <x:v>中证2000</x:v>
      </x:c>
      <x:c r="C1343" s="1" t="str">
        <x:v>2024-01</x:v>
      </x:c>
      <x:c r="D1343" s="1" t="str">
        <x:v>2023-12-29</x:v>
      </x:c>
      <x:c r="E1343" s="5" t="n">
        <x:v>2399.47</x:v>
      </x:c>
      <x:c r="F1343" s="6" t="str">
        <x:v>2024-01-31</x:v>
      </x:c>
      <x:c r="G1343" s="5" t="n">
        <x:v>1896.36</x:v>
      </x:c>
      <x:c r="H1343" s="7" t="n">
        <x:f>G1343/E1343-1</x:f>
        <x:v>-0.20967546999962494</x:v>
      </x:c>
      <x:c r="I1343" s="1" t="n">
        <x:v>1</x:v>
      </x:c>
      <x:c r="J1343" s="1" t="n">
        <x:v>1</x:v>
      </x:c>
      <x:c r="K1343" s="1" t="str">
        <x:v>中证官方优先</x:v>
      </x:c>
    </x:row>
    <x:row r="1344" ht="25" customHeight="1">
      <x:c r="A1344" s="1" t="str">
        <x:v>sh932000</x:v>
      </x:c>
      <x:c r="B1344" s="1" t="str">
        <x:v>中证2000</x:v>
      </x:c>
      <x:c r="C1344" s="1" t="str">
        <x:v>2024-02</x:v>
      </x:c>
      <x:c r="D1344" s="1" t="str">
        <x:v>2024-01-31</x:v>
      </x:c>
      <x:c r="E1344" s="5" t="n">
        <x:v>1896.36</x:v>
      </x:c>
      <x:c r="F1344" s="6" t="str">
        <x:v>2024-02-29</x:v>
      </x:c>
      <x:c r="G1344" s="5" t="n">
        <x:v>2009.66</x:v>
      </x:c>
      <x:c r="H1344" s="7" t="n">
        <x:f>G1344/E1344-1</x:f>
        <x:v>0.05974603978147619</x:v>
      </x:c>
      <x:c r="I1344" s="1" t="n">
        <x:v>1</x:v>
      </x:c>
      <x:c r="J1344" s="1" t="n">
        <x:v>1</x:v>
      </x:c>
      <x:c r="K1344" s="1" t="str">
        <x:v>中证官方优先</x:v>
      </x:c>
    </x:row>
    <x:row r="1345" ht="25" customHeight="1">
      <x:c r="A1345" s="1" t="str">
        <x:v>sh932000</x:v>
      </x:c>
      <x:c r="B1345" s="1" t="str">
        <x:v>中证2000</x:v>
      </x:c>
      <x:c r="C1345" s="1" t="str">
        <x:v>2024-03</x:v>
      </x:c>
      <x:c r="D1345" s="1" t="str">
        <x:v>2024-02-29</x:v>
      </x:c>
      <x:c r="E1345" s="5" t="n">
        <x:v>2009.66</x:v>
      </x:c>
      <x:c r="F1345" s="6" t="str">
        <x:v>2024-03-29</x:v>
      </x:c>
      <x:c r="G1345" s="5" t="n">
        <x:v>2134.42</x:v>
      </x:c>
      <x:c r="H1345" s="7" t="n">
        <x:f>G1345/E1345-1</x:f>
        <x:v>0.06208015286167812</x:v>
      </x:c>
      <x:c r="I1345" s="1" t="n">
        <x:v>1</x:v>
      </x:c>
      <x:c r="J1345" s="1" t="n">
        <x:v>1</x:v>
      </x:c>
      <x:c r="K1345" s="1" t="str">
        <x:v>中证官方优先</x:v>
      </x:c>
    </x:row>
    <x:row r="1346" ht="25" customHeight="1">
      <x:c r="A1346" s="1" t="str">
        <x:v>sh932000</x:v>
      </x:c>
      <x:c r="B1346" s="1" t="str">
        <x:v>中证2000</x:v>
      </x:c>
      <x:c r="C1346" s="1" t="str">
        <x:v>2024-04</x:v>
      </x:c>
      <x:c r="D1346" s="1" t="str">
        <x:v>2024-03-29</x:v>
      </x:c>
      <x:c r="E1346" s="5" t="n">
        <x:v>2134.42</x:v>
      </x:c>
      <x:c r="F1346" s="6" t="str">
        <x:v>2024-04-30</x:v>
      </x:c>
      <x:c r="G1346" s="5" t="n">
        <x:v>2071.94</x:v>
      </x:c>
      <x:c r="H1346" s="7" t="n">
        <x:f>G1346/E1346-1</x:f>
        <x:v>-0.029272589274838112</x:v>
      </x:c>
      <x:c r="I1346" s="1" t="n">
        <x:v>1</x:v>
      </x:c>
      <x:c r="J1346" s="1" t="n">
        <x:v>1</x:v>
      </x:c>
      <x:c r="K1346" s="1" t="str">
        <x:v>中证官方优先</x:v>
      </x:c>
    </x:row>
    <x:row r="1347" ht="25" customHeight="1">
      <x:c r="A1347" s="1" t="str">
        <x:v>sh932000</x:v>
      </x:c>
      <x:c r="B1347" s="1" t="str">
        <x:v>中证2000</x:v>
      </x:c>
      <x:c r="C1347" s="1" t="str">
        <x:v>2024-05</x:v>
      </x:c>
      <x:c r="D1347" s="1" t="str">
        <x:v>2024-04-30</x:v>
      </x:c>
      <x:c r="E1347" s="5" t="n">
        <x:v>2071.94</x:v>
      </x:c>
      <x:c r="F1347" s="6" t="str">
        <x:v>2024-05-31</x:v>
      </x:c>
      <x:c r="G1347" s="5" t="n">
        <x:v>2026.29</x:v>
      </x:c>
      <x:c r="H1347" s="7" t="n">
        <x:f>G1347/E1347-1</x:f>
        <x:v>-0.022032491288357825</x:v>
      </x:c>
      <x:c r="I1347" s="1" t="n">
        <x:v>1</x:v>
      </x:c>
      <x:c r="J1347" s="1" t="n">
        <x:v>1</x:v>
      </x:c>
      <x:c r="K1347" s="1" t="str">
        <x:v>中证官方优先</x:v>
      </x:c>
    </x:row>
    <x:row r="1348" ht="25" customHeight="1">
      <x:c r="A1348" s="1" t="str">
        <x:v>sh932000</x:v>
      </x:c>
      <x:c r="B1348" s="1" t="str">
        <x:v>中证2000</x:v>
      </x:c>
      <x:c r="C1348" s="1" t="str">
        <x:v>2024-06</x:v>
      </x:c>
      <x:c r="D1348" s="1" t="str">
        <x:v>2024-05-31</x:v>
      </x:c>
      <x:c r="E1348" s="5" t="n">
        <x:v>2026.29</x:v>
      </x:c>
      <x:c r="F1348" s="6" t="str">
        <x:v>2024-06-28</x:v>
      </x:c>
      <x:c r="G1348" s="5" t="n">
        <x:v>1840.84</x:v>
      </x:c>
      <x:c r="H1348" s="7" t="n">
        <x:f>G1348/E1348-1</x:f>
        <x:v>-0.09152194404552161</x:v>
      </x:c>
      <x:c r="I1348" s="1" t="n">
        <x:v>1</x:v>
      </x:c>
      <x:c r="J1348" s="1" t="n">
        <x:v>1</x:v>
      </x:c>
      <x:c r="K1348" s="1" t="str">
        <x:v>中证官方优先</x:v>
      </x:c>
    </x:row>
    <x:row r="1349" ht="25" customHeight="1">
      <x:c r="A1349" s="1" t="str">
        <x:v>sh932000</x:v>
      </x:c>
      <x:c r="B1349" s="1" t="str">
        <x:v>中证2000</x:v>
      </x:c>
      <x:c r="C1349" s="1" t="str">
        <x:v>2024-07</x:v>
      </x:c>
      <x:c r="D1349" s="1" t="str">
        <x:v>2024-06-28</x:v>
      </x:c>
      <x:c r="E1349" s="5" t="n">
        <x:v>1840.84</x:v>
      </x:c>
      <x:c r="F1349" s="6" t="str">
        <x:v>2024-07-31</x:v>
      </x:c>
      <x:c r="G1349" s="5" t="n">
        <x:v>1837.79</x:v>
      </x:c>
      <x:c r="H1349" s="7" t="n">
        <x:f>G1349/E1349-1</x:f>
        <x:v>-0.0016568523065556562</x:v>
      </x:c>
      <x:c r="I1349" s="1" t="n">
        <x:v>1</x:v>
      </x:c>
      <x:c r="J1349" s="1" t="n">
        <x:v>1</x:v>
      </x:c>
      <x:c r="K1349" s="1" t="str">
        <x:v>中证官方优先</x:v>
      </x:c>
    </x:row>
    <x:row r="1350" ht="25" customHeight="1">
      <x:c r="A1350" s="1" t="str">
        <x:v>sh932000</x:v>
      </x:c>
      <x:c r="B1350" s="1" t="str">
        <x:v>中证2000</x:v>
      </x:c>
      <x:c r="C1350" s="1" t="str">
        <x:v>2024-08</x:v>
      </x:c>
      <x:c r="D1350" s="1" t="str">
        <x:v>2024-07-31</x:v>
      </x:c>
      <x:c r="E1350" s="5" t="n">
        <x:v>1837.79</x:v>
      </x:c>
      <x:c r="F1350" s="6" t="str">
        <x:v>2024-08-30</x:v>
      </x:c>
      <x:c r="G1350" s="5" t="n">
        <x:v>1768.38</x:v>
      </x:c>
      <x:c r="H1350" s="7" t="n">
        <x:f>G1350/E1350-1</x:f>
        <x:v>-0.03776818896609502</x:v>
      </x:c>
      <x:c r="I1350" s="1" t="n">
        <x:v>1</x:v>
      </x:c>
      <x:c r="J1350" s="1" t="n">
        <x:v>1</x:v>
      </x:c>
      <x:c r="K1350" s="1" t="str">
        <x:v>中证官方优先</x:v>
      </x:c>
    </x:row>
    <x:row r="1351" ht="25" customHeight="1">
      <x:c r="A1351" s="1" t="str">
        <x:v>sh932000</x:v>
      </x:c>
      <x:c r="B1351" s="1" t="str">
        <x:v>中证2000</x:v>
      </x:c>
      <x:c r="C1351" s="1" t="str">
        <x:v>2024-09</x:v>
      </x:c>
      <x:c r="D1351" s="1" t="str">
        <x:v>2024-08-30</x:v>
      </x:c>
      <x:c r="E1351" s="5" t="n">
        <x:v>1768.38</x:v>
      </x:c>
      <x:c r="F1351" s="6" t="str">
        <x:v>2024-09-30</x:v>
      </x:c>
      <x:c r="G1351" s="5" t="n">
        <x:v>2166.17</x:v>
      </x:c>
      <x:c r="H1351" s="7" t="n">
        <x:f>G1351/E1351-1</x:f>
        <x:v>0.22494599577013985</x:v>
      </x:c>
      <x:c r="I1351" s="1" t="n">
        <x:v>1</x:v>
      </x:c>
      <x:c r="J1351" s="1" t="n">
        <x:v>1</x:v>
      </x:c>
      <x:c r="K1351" s="1" t="str">
        <x:v>中证官方优先</x:v>
      </x:c>
    </x:row>
    <x:row r="1352" ht="25" customHeight="1">
      <x:c r="A1352" s="1" t="str">
        <x:v>sh932000</x:v>
      </x:c>
      <x:c r="B1352" s="1" t="str">
        <x:v>中证2000</x:v>
      </x:c>
      <x:c r="C1352" s="1" t="str">
        <x:v>2024-10</x:v>
      </x:c>
      <x:c r="D1352" s="1" t="str">
        <x:v>2024-09-30</x:v>
      </x:c>
      <x:c r="E1352" s="5" t="n">
        <x:v>2166.17</x:v>
      </x:c>
      <x:c r="F1352" s="6" t="str">
        <x:v>2024-10-31</x:v>
      </x:c>
      <x:c r="G1352" s="5" t="n">
        <x:v>2377</x:v>
      </x:c>
      <x:c r="H1352" s="7" t="n">
        <x:f>G1352/E1352-1</x:f>
        <x:v>0.09732846452494481</x:v>
      </x:c>
      <x:c r="I1352" s="1" t="n">
        <x:v>1</x:v>
      </x:c>
      <x:c r="J1352" s="1" t="n">
        <x:v>1</x:v>
      </x:c>
      <x:c r="K1352" s="1" t="str">
        <x:v>中证官方优先</x:v>
      </x:c>
    </x:row>
    <x:row r="1353" ht="25" customHeight="1">
      <x:c r="A1353" s="1" t="str">
        <x:v>sh932000</x:v>
      </x:c>
      <x:c r="B1353" s="1" t="str">
        <x:v>中证2000</x:v>
      </x:c>
      <x:c r="C1353" s="1" t="str">
        <x:v>2024-11</x:v>
      </x:c>
      <x:c r="D1353" s="1" t="str">
        <x:v>2024-10-31</x:v>
      </x:c>
      <x:c r="E1353" s="5" t="n">
        <x:v>2377</x:v>
      </x:c>
      <x:c r="F1353" s="6" t="str">
        <x:v>2024-11-29</x:v>
      </x:c>
      <x:c r="G1353" s="5" t="n">
        <x:v>2471.13</x:v>
      </x:c>
      <x:c r="H1353" s="7" t="n">
        <x:f>G1353/E1353-1</x:f>
        <x:v>0.03960033655868744</x:v>
      </x:c>
      <x:c r="I1353" s="1" t="n">
        <x:v>1</x:v>
      </x:c>
      <x:c r="J1353" s="1" t="n">
        <x:v>1</x:v>
      </x:c>
      <x:c r="K1353" s="1" t="str">
        <x:v>中证官方优先</x:v>
      </x:c>
    </x:row>
    <x:row r="1354" ht="25" customHeight="1">
      <x:c r="A1354" s="1" t="str">
        <x:v>sh932000</x:v>
      </x:c>
      <x:c r="B1354" s="1" t="str">
        <x:v>中证2000</x:v>
      </x:c>
      <x:c r="C1354" s="1" t="str">
        <x:v>2024-12</x:v>
      </x:c>
      <x:c r="D1354" s="1" t="str">
        <x:v>2024-11-29</x:v>
      </x:c>
      <x:c r="E1354" s="5" t="n">
        <x:v>2471.13</x:v>
      </x:c>
      <x:c r="F1354" s="6" t="str">
        <x:v>2024-12-31</x:v>
      </x:c>
      <x:c r="G1354" s="5" t="n">
        <x:v>2348.11</x:v>
      </x:c>
      <x:c r="H1354" s="7" t="n">
        <x:f>G1354/E1354-1</x:f>
        <x:v>-0.04978289284659243</x:v>
      </x:c>
      <x:c r="I1354" s="1" t="n">
        <x:v>1</x:v>
      </x:c>
      <x:c r="J1354" s="1" t="n">
        <x:v>1</x:v>
      </x:c>
      <x:c r="K1354" s="1" t="str">
        <x:v>中证官方优先</x:v>
      </x:c>
    </x:row>
    <x:row r="1355" ht="25" customHeight="1">
      <x:c r="A1355" s="1" t="str">
        <x:v>sh932000</x:v>
      </x:c>
      <x:c r="B1355" s="1" t="str">
        <x:v>中证2000</x:v>
      </x:c>
      <x:c r="C1355" s="1" t="str">
        <x:v>2025-01</x:v>
      </x:c>
      <x:c r="D1355" s="1" t="str">
        <x:v>2024-12-31</x:v>
      </x:c>
      <x:c r="E1355" s="5" t="n">
        <x:v>2348.11</x:v>
      </x:c>
      <x:c r="F1355" s="6" t="str">
        <x:v>2025-01-27</x:v>
      </x:c>
      <x:c r="G1355" s="5" t="n">
        <x:v>2322.82</x:v>
      </x:c>
      <x:c r="H1355" s="7" t="n">
        <x:f>G1355/E1355-1</x:f>
        <x:v>-0.010770364250397124</x:v>
      </x:c>
      <x:c r="I1355" s="1" t="n">
        <x:v>1</x:v>
      </x:c>
      <x:c r="J1355" s="1" t="n">
        <x:v>1</x:v>
      </x:c>
      <x:c r="K1355" s="1" t="str">
        <x:v>中证官方优先</x:v>
      </x:c>
    </x:row>
    <x:row r="1356" ht="25" customHeight="1">
      <x:c r="A1356" s="1" t="str">
        <x:v>sh932000</x:v>
      </x:c>
      <x:c r="B1356" s="1" t="str">
        <x:v>中证2000</x:v>
      </x:c>
      <x:c r="C1356" s="1" t="str">
        <x:v>2025-02</x:v>
      </x:c>
      <x:c r="D1356" s="1" t="str">
        <x:v>2025-01-27</x:v>
      </x:c>
      <x:c r="E1356" s="5" t="n">
        <x:v>2322.82</x:v>
      </x:c>
      <x:c r="F1356" s="6" t="str">
        <x:v>2025-02-28</x:v>
      </x:c>
      <x:c r="G1356" s="5" t="n">
        <x:v>2542.85</x:v>
      </x:c>
      <x:c r="H1356" s="7" t="n">
        <x:f>G1356/E1356-1</x:f>
        <x:v>0.09472537691254579</x:v>
      </x:c>
      <x:c r="I1356" s="1" t="n">
        <x:v>1</x:v>
      </x:c>
      <x:c r="J1356" s="1" t="n">
        <x:v>1</x:v>
      </x:c>
      <x:c r="K1356" s="1" t="str">
        <x:v>中证官方优先</x:v>
      </x:c>
    </x:row>
    <x:row r="1357" ht="25" customHeight="1">
      <x:c r="A1357" s="1" t="str">
        <x:v>sh932000</x:v>
      </x:c>
      <x:c r="B1357" s="1" t="str">
        <x:v>中证2000</x:v>
      </x:c>
      <x:c r="C1357" s="1" t="str">
        <x:v>2025-03</x:v>
      </x:c>
      <x:c r="D1357" s="1" t="str">
        <x:v>2025-02-28</x:v>
      </x:c>
      <x:c r="E1357" s="5" t="n">
        <x:v>2542.85</x:v>
      </x:c>
      <x:c r="F1357" s="6" t="str">
        <x:v>2025-03-31</x:v>
      </x:c>
      <x:c r="G1357" s="5" t="n">
        <x:v>2514.34</x:v>
      </x:c>
      <x:c r="H1357" s="7" t="n">
        <x:f>G1357/E1357-1</x:f>
        <x:v>-0.011211829246711269</x:v>
      </x:c>
      <x:c r="I1357" s="1" t="n">
        <x:v>1</x:v>
      </x:c>
      <x:c r="J1357" s="1" t="n">
        <x:v>1</x:v>
      </x:c>
      <x:c r="K1357" s="1" t="str">
        <x:v>中证官方优先</x:v>
      </x:c>
    </x:row>
    <x:row r="1358" ht="25" customHeight="1">
      <x:c r="A1358" s="1" t="str">
        <x:v>sh932000</x:v>
      </x:c>
      <x:c r="B1358" s="1" t="str">
        <x:v>中证2000</x:v>
      </x:c>
      <x:c r="C1358" s="1" t="str">
        <x:v>2025-04</x:v>
      </x:c>
      <x:c r="D1358" s="1" t="str">
        <x:v>2025-03-31</x:v>
      </x:c>
      <x:c r="E1358" s="5" t="n">
        <x:v>2514.34</x:v>
      </x:c>
      <x:c r="F1358" s="6" t="str">
        <x:v>2025-04-30</x:v>
      </x:c>
      <x:c r="G1358" s="5" t="n">
        <x:v>2442.89</x:v>
      </x:c>
      <x:c r="H1358" s="7" t="n">
        <x:f>G1358/E1358-1</x:f>
        <x:v>-0.028417000087498256</x:v>
      </x:c>
      <x:c r="I1358" s="1" t="n">
        <x:v>1</x:v>
      </x:c>
      <x:c r="J1358" s="1" t="n">
        <x:v>1</x:v>
      </x:c>
      <x:c r="K1358" s="1" t="str">
        <x:v>中证官方优先</x:v>
      </x:c>
    </x:row>
    <x:row r="1359" ht="25" customHeight="1">
      <x:c r="A1359" s="1" t="str">
        <x:v>sh932000</x:v>
      </x:c>
      <x:c r="B1359" s="1" t="str">
        <x:v>中证2000</x:v>
      </x:c>
      <x:c r="C1359" s="1" t="str">
        <x:v>2025-05</x:v>
      </x:c>
      <x:c r="D1359" s="1" t="str">
        <x:v>2025-04-30</x:v>
      </x:c>
      <x:c r="E1359" s="5" t="n">
        <x:v>2442.89</x:v>
      </x:c>
      <x:c r="F1359" s="6" t="str">
        <x:v>2025-05-30</x:v>
      </x:c>
      <x:c r="G1359" s="5" t="n">
        <x:v>2543.2</x:v>
      </x:c>
      <x:c r="H1359" s="7" t="n">
        <x:f>G1359/E1359-1</x:f>
        <x:v>0.04106202080322885</x:v>
      </x:c>
      <x:c r="I1359" s="1" t="n">
        <x:v>1</x:v>
      </x:c>
      <x:c r="J1359" s="1" t="n">
        <x:v>1</x:v>
      </x:c>
      <x:c r="K1359" s="1" t="str">
        <x:v>中证官方优先</x:v>
      </x:c>
    </x:row>
    <x:row r="1360" ht="25" customHeight="1">
      <x:c r="A1360" s="1" t="str">
        <x:v>sh932000</x:v>
      </x:c>
      <x:c r="B1360" s="1" t="str">
        <x:v>中证2000</x:v>
      </x:c>
      <x:c r="C1360" s="1" t="str">
        <x:v>2025-06</x:v>
      </x:c>
      <x:c r="D1360" s="1" t="str">
        <x:v>2025-05-30</x:v>
      </x:c>
      <x:c r="E1360" s="5" t="n">
        <x:v>2543.2</x:v>
      </x:c>
      <x:c r="F1360" s="6" t="str">
        <x:v>2025-06-30</x:v>
      </x:c>
      <x:c r="G1360" s="5" t="n">
        <x:v>2705.98</x:v>
      </x:c>
      <x:c r="H1360" s="7" t="n">
        <x:f>G1360/E1360-1</x:f>
        <x:v>0.06400597672223984</x:v>
      </x:c>
      <x:c r="I1360" s="1" t="n">
        <x:v>1</x:v>
      </x:c>
      <x:c r="J1360" s="1" t="n">
        <x:v>1</x:v>
      </x:c>
      <x:c r="K1360" s="1" t="str">
        <x:v>中证官方优先</x:v>
      </x:c>
    </x:row>
    <x:row r="1361" ht="25" customHeight="1">
      <x:c r="A1361" s="1" t="str">
        <x:v>sh932000</x:v>
      </x:c>
      <x:c r="B1361" s="1" t="str">
        <x:v>中证2000</x:v>
      </x:c>
      <x:c r="C1361" s="1" t="str">
        <x:v>2025-07</x:v>
      </x:c>
      <x:c r="D1361" s="1" t="str">
        <x:v>2025-06-30</x:v>
      </x:c>
      <x:c r="E1361" s="5" t="n">
        <x:v>2705.98</x:v>
      </x:c>
      <x:c r="F1361" s="6" t="str">
        <x:v>2025-07-31</x:v>
      </x:c>
      <x:c r="G1361" s="5" t="n">
        <x:v>2827.97</x:v>
      </x:c>
      <x:c r="H1361" s="7" t="n">
        <x:f>G1361/E1361-1</x:f>
        <x:v>0.045081634010598615</x:v>
      </x:c>
      <x:c r="I1361" s="1" t="n">
        <x:v>1</x:v>
      </x:c>
      <x:c r="J1361" s="1" t="n">
        <x:v>1</x:v>
      </x:c>
      <x:c r="K1361" s="1" t="str">
        <x:v>中证官方优先</x:v>
      </x:c>
    </x:row>
    <x:row r="1362" ht="25" customHeight="1">
      <x:c r="A1362" s="1" t="str">
        <x:v>sh932000</x:v>
      </x:c>
      <x:c r="B1362" s="1" t="str">
        <x:v>中证2000</x:v>
      </x:c>
      <x:c r="C1362" s="1" t="str">
        <x:v>2025-08</x:v>
      </x:c>
      <x:c r="D1362" s="1" t="str">
        <x:v>2025-07-31</x:v>
      </x:c>
      <x:c r="E1362" s="5" t="n">
        <x:v>2827.97</x:v>
      </x:c>
      <x:c r="F1362" s="6" t="str">
        <x:v>2025-08-29</x:v>
      </x:c>
      <x:c r="G1362" s="5" t="n">
        <x:v>3101.54</x:v>
      </x:c>
      <x:c r="H1362" s="7" t="n">
        <x:f>G1362/E1362-1</x:f>
        <x:v>0.09673723554351721</x:v>
      </x:c>
      <x:c r="I1362" s="1" t="n">
        <x:v>1</x:v>
      </x:c>
      <x:c r="J1362" s="1" t="n">
        <x:v>1</x:v>
      </x:c>
      <x:c r="K1362" s="1" t="str">
        <x:v>中证官方优先</x:v>
      </x:c>
    </x:row>
    <x:row r="1363" ht="25" customHeight="1">
      <x:c r="A1363" s="1" t="str">
        <x:v>sh932000</x:v>
      </x:c>
      <x:c r="B1363" s="1" t="str">
        <x:v>中证2000</x:v>
      </x:c>
      <x:c r="C1363" s="1" t="str">
        <x:v>2025-09</x:v>
      </x:c>
      <x:c r="D1363" s="1" t="str">
        <x:v>2025-08-29</x:v>
      </x:c>
      <x:c r="E1363" s="5" t="n">
        <x:v>3101.54</x:v>
      </x:c>
      <x:c r="F1363" s="6" t="str">
        <x:v>2025-09-30</x:v>
      </x:c>
      <x:c r="G1363" s="5" t="n">
        <x:v>3093.31</x:v>
      </x:c>
      <x:c r="H1363" s="7" t="n">
        <x:f>G1363/E1363-1</x:f>
        <x:v>-0.0026535205091664515</x:v>
      </x:c>
      <x:c r="I1363" s="1" t="n">
        <x:v>1</x:v>
      </x:c>
      <x:c r="J1363" s="1" t="n">
        <x:v>1</x:v>
      </x:c>
      <x:c r="K1363" s="1" t="str">
        <x:v>中证官方优先</x:v>
      </x:c>
    </x:row>
    <x:row r="1364" ht="25" customHeight="1">
      <x:c r="A1364" s="1" t="str">
        <x:v>sh932000</x:v>
      </x:c>
      <x:c r="B1364" s="1" t="str">
        <x:v>中证2000</x:v>
      </x:c>
      <x:c r="C1364" s="1" t="str">
        <x:v>2025-10</x:v>
      </x:c>
      <x:c r="D1364" s="1" t="str">
        <x:v>2025-09-30</x:v>
      </x:c>
      <x:c r="E1364" s="5" t="n">
        <x:v>3093.31</x:v>
      </x:c>
      <x:c r="F1364" s="6" t="str">
        <x:v>2025-10-31</x:v>
      </x:c>
      <x:c r="G1364" s="5" t="n">
        <x:v>3103.74</x:v>
      </x:c>
      <x:c r="H1364" s="7" t="n">
        <x:f>G1364/E1364-1</x:f>
        <x:v>0.00337179267516019</x:v>
      </x:c>
      <x:c r="I1364" s="1" t="n">
        <x:v>1</x:v>
      </x:c>
      <x:c r="J1364" s="1" t="n">
        <x:v>1</x:v>
      </x:c>
      <x:c r="K1364" s="1" t="str">
        <x:v>中证官方优先</x:v>
      </x:c>
    </x:row>
    <x:row r="1365" ht="25" customHeight="1">
      <x:c r="A1365" s="1" t="str">
        <x:v>sh932000</x:v>
      </x:c>
      <x:c r="B1365" s="1" t="str">
        <x:v>中证2000</x:v>
      </x:c>
      <x:c r="C1365" s="1" t="str">
        <x:v>2025-11</x:v>
      </x:c>
      <x:c r="D1365" s="1" t="str">
        <x:v>2025-10-31</x:v>
      </x:c>
      <x:c r="E1365" s="5" t="n">
        <x:v>3103.74</x:v>
      </x:c>
      <x:c r="F1365" s="6" t="str">
        <x:v>2025-11-28</x:v>
      </x:c>
      <x:c r="G1365" s="5" t="n">
        <x:v>3091.38</x:v>
      </x:c>
      <x:c r="H1365" s="7" t="n">
        <x:f>G1365/E1365-1</x:f>
        <x:v>-0.003982292331187409</x:v>
      </x:c>
      <x:c r="I1365" s="1" t="n">
        <x:v>1</x:v>
      </x:c>
      <x:c r="J1365" s="1" t="n">
        <x:v>1</x:v>
      </x:c>
      <x:c r="K1365" s="1" t="str">
        <x:v>中证官方优先</x:v>
      </x:c>
    </x:row>
    <x:row r="1366" ht="25" customHeight="1">
      <x:c r="A1366" s="1" t="str">
        <x:v>sh932000</x:v>
      </x:c>
      <x:c r="B1366" s="1" t="str">
        <x:v>中证2000</x:v>
      </x:c>
      <x:c r="C1366" s="1" t="str">
        <x:v>2025-12</x:v>
      </x:c>
      <x:c r="D1366" s="1" t="str">
        <x:v>2025-11-28</x:v>
      </x:c>
      <x:c r="E1366" s="5" t="n">
        <x:v>3091.38</x:v>
      </x:c>
      <x:c r="F1366" s="6" t="str">
        <x:v>2025-12-31</x:v>
      </x:c>
      <x:c r="G1366" s="5" t="n">
        <x:v>3203.23</x:v>
      </x:c>
      <x:c r="H1366" s="7" t="n">
        <x:f>G1366/E1366-1</x:f>
        <x:v>0.03618125238566594</x:v>
      </x:c>
      <x:c r="I1366" s="1" t="n">
        <x:v>1</x:v>
      </x:c>
      <x:c r="J1366" s="1" t="n">
        <x:v>1</x:v>
      </x:c>
      <x:c r="K1366" s="1" t="str">
        <x:v>中证官方优先</x:v>
      </x:c>
    </x:row>
    <x:row r="1367" ht="25" customHeight="1">
      <x:c r="A1367" s="1" t="str">
        <x:v>sh932000</x:v>
      </x:c>
      <x:c r="B1367" s="1" t="str">
        <x:v>中证2000</x:v>
      </x:c>
      <x:c r="C1367" s="1" t="str">
        <x:v>2026-01</x:v>
      </x:c>
      <x:c r="D1367" s="1" t="str">
        <x:v>2025-12-31</x:v>
      </x:c>
      <x:c r="E1367" s="5" t="n">
        <x:v>3203.23</x:v>
      </x:c>
      <x:c r="F1367" s="6" t="str">
        <x:v>2026-01-30</x:v>
      </x:c>
      <x:c r="G1367" s="5" t="n">
        <x:v>3464.69</x:v>
      </x:c>
      <x:c r="H1367" s="7" t="n">
        <x:f>G1367/E1367-1</x:f>
        <x:v>0.08162386091538854</x:v>
      </x:c>
      <x:c r="I1367" s="1" t="n">
        <x:v>1</x:v>
      </x:c>
      <x:c r="J1367" s="1" t="n">
        <x:v>1</x:v>
      </x:c>
      <x:c r="K1367" s="1" t="str">
        <x:v>中证官方优先</x:v>
      </x:c>
    </x:row>
    <x:row r="1368" ht="25" customHeight="1">
      <x:c r="A1368" s="1" t="str">
        <x:v>sh932000</x:v>
      </x:c>
      <x:c r="B1368" s="1" t="str">
        <x:v>中证2000</x:v>
      </x:c>
      <x:c r="C1368" s="1" t="str">
        <x:v>2026-02</x:v>
      </x:c>
      <x:c r="D1368" s="1" t="str">
        <x:v>2026-01-30</x:v>
      </x:c>
      <x:c r="E1368" s="5" t="n">
        <x:v>3464.69</x:v>
      </x:c>
      <x:c r="F1368" s="6" t="str">
        <x:v>2026-02-27</x:v>
      </x:c>
      <x:c r="G1368" s="5" t="n">
        <x:v>3630.83</x:v>
      </x:c>
      <x:c r="H1368" s="7" t="n">
        <x:f>G1368/E1368-1</x:f>
        <x:v>0.04795234205657639</x:v>
      </x:c>
      <x:c r="I1368" s="1" t="n">
        <x:v>1</x:v>
      </x:c>
      <x:c r="J1368" s="1" t="n">
        <x:v>1</x:v>
      </x:c>
      <x:c r="K1368" s="1" t="str">
        <x:v>中证官方优先</x:v>
      </x:c>
    </x:row>
    <x:row r="1369" ht="25" customHeight="1">
      <x:c r="A1369" s="1" t="str">
        <x:v>sh932000</x:v>
      </x:c>
      <x:c r="B1369" s="1" t="str">
        <x:v>中证2000</x:v>
      </x:c>
      <x:c r="C1369" s="1" t="str">
        <x:v>2026-03</x:v>
      </x:c>
      <x:c r="D1369" s="1" t="str">
        <x:v>2026-02-27</x:v>
      </x:c>
      <x:c r="E1369" s="5" t="n">
        <x:v>3630.83</x:v>
      </x:c>
      <x:c r="F1369" s="6" t="str">
        <x:v>2026-03-31</x:v>
      </x:c>
      <x:c r="G1369" s="5" t="n">
        <x:v>3242.22</x:v>
      </x:c>
      <x:c r="H1369" s="7" t="n">
        <x:f>G1369/E1369-1</x:f>
        <x:v>-0.10703062385184658</x:v>
      </x:c>
      <x:c r="I1369" s="1" t="n">
        <x:v>1</x:v>
      </x:c>
      <x:c r="J1369" s="1" t="n">
        <x:v>1</x:v>
      </x:c>
      <x:c r="K1369" s="1" t="str">
        <x:v>中证官方优先</x:v>
      </x:c>
    </x:row>
    <x:row r="1370" ht="25" customHeight="1">
      <x:c r="A1370" s="1" t="str">
        <x:v>sh932000</x:v>
      </x:c>
      <x:c r="B1370" s="1" t="str">
        <x:v>中证2000</x:v>
      </x:c>
      <x:c r="C1370" s="1" t="str">
        <x:v>2026-04</x:v>
      </x:c>
      <x:c r="D1370" s="1" t="str">
        <x:v>2026-03-31</x:v>
      </x:c>
      <x:c r="E1370" s="5" t="n">
        <x:v>3242.22</x:v>
      </x:c>
      <x:c r="F1370" s="6" t="str">
        <x:v>2026-04-30</x:v>
      </x:c>
      <x:c r="G1370" s="5" t="n">
        <x:v>3512.56</x:v>
      </x:c>
      <x:c r="H1370" s="7" t="n">
        <x:f>G1370/E1370-1</x:f>
        <x:v>0.08338114008302955</x:v>
      </x:c>
      <x:c r="I1370" s="1" t="n">
        <x:v>1</x:v>
      </x:c>
      <x:c r="J1370" s="1" t="n">
        <x:v>1</x:v>
      </x:c>
      <x:c r="K1370" s="1" t="str">
        <x:v>中证官方优先</x:v>
      </x:c>
    </x:row>
    <x:row r="1371" ht="25" customHeight="1">
      <x:c r="A1371" s="1" t="str">
        <x:v>sh932000</x:v>
      </x:c>
      <x:c r="B1371" s="1" t="str">
        <x:v>中证2000</x:v>
      </x:c>
      <x:c r="C1371" s="1" t="str">
        <x:v>2026-05</x:v>
      </x:c>
      <x:c r="D1371" s="1" t="str">
        <x:v>2026-04-30</x:v>
      </x:c>
      <x:c r="E1371" s="5" t="n">
        <x:v>3512.56</x:v>
      </x:c>
      <x:c r="F1371" s="6" t="str">
        <x:v>2026-05-29</x:v>
      </x:c>
      <x:c r="G1371" s="5" t="n">
        <x:v>3470.69</x:v>
      </x:c>
      <x:c r="H1371" s="7" t="n">
        <x:f>G1371/E1371-1</x:f>
        <x:v>-0.011920081080465494</x:v>
      </x:c>
      <x:c r="I1371" s="1" t="n">
        <x:v>1</x:v>
      </x:c>
      <x:c r="J1371" s="1" t="n">
        <x:v>1</x:v>
      </x:c>
      <x:c r="K1371" s="1" t="str">
        <x:v>中证官方优先</x:v>
      </x:c>
    </x:row>
    <x:row r="1372" ht="25" customHeight="1">
      <x:c r="A1372" s="1" t="str">
        <x:v>sh932000</x:v>
      </x:c>
      <x:c r="B1372" s="1" t="str">
        <x:v>中证2000</x:v>
      </x:c>
      <x:c r="C1372" s="1" t="str">
        <x:v>2026-06</x:v>
      </x:c>
      <x:c r="D1372" s="1" t="str">
        <x:v>2026-05-29</x:v>
      </x:c>
      <x:c r="E1372" s="5" t="n">
        <x:v>3470.69</x:v>
      </x:c>
      <x:c r="F1372" s="6" t="str">
        <x:v>2026-06-30</x:v>
      </x:c>
      <x:c r="G1372" s="5" t="n">
        <x:v>3494.59</x:v>
      </x:c>
      <x:c r="H1372" s="7" t="n">
        <x:f>G1372/E1372-1</x:f>
        <x:v>0.006886238759439722</x:v>
      </x:c>
      <x:c r="I1372" s="1" t="n">
        <x:v>1</x:v>
      </x:c>
      <x:c r="J1372" s="1" t="n">
        <x:v>1</x:v>
      </x:c>
      <x:c r="K1372" s="1" t="str">
        <x:v>中证官方优先</x:v>
      </x:c>
    </x:row>
    <x:row r="1373" ht="25" customHeight="1">
      <x:c r="A1373" s="1" t="str">
        <x:v>sh932000</x:v>
      </x:c>
      <x:c r="B1373" s="1" t="str">
        <x:v>中证2000</x:v>
      </x:c>
      <x:c r="C1373" s="1" t="str">
        <x:v>2026-07</x:v>
      </x:c>
      <x:c r="D1373" s="1" t="str">
        <x:v>2026-06-30</x:v>
      </x:c>
      <x:c r="E1373" s="5" t="n">
        <x:v>3494.59</x:v>
      </x:c>
      <x:c r="F1373" s="6" t="str">
        <x:v>2026-07-31</x:v>
      </x:c>
      <x:c r="G1373" s="5" t="n">
        <x:v>2809.21</x:v>
      </x:c>
      <x:c r="H1373" s="7" t="n">
        <x:f>G1373/E1373-1</x:f>
        <x:v>-0.1961260119212841</x:v>
      </x:c>
      <x:c r="I1373" s="1" t="n">
        <x:v>1</x:v>
      </x:c>
      <x:c r="J1373" s="1" t="n">
        <x:v>1</x:v>
      </x:c>
      <x:c r="K1373" s="1" t="str">
        <x:v>中证官方优先</x:v>
      </x:c>
    </x:row>
    <x:row r="1374" ht="25" customHeight="1">
      <x:c r="A1374" s="1" t="str">
        <x:v>sh932000</x:v>
      </x:c>
      <x:c r="B1374" s="1" t="str">
        <x:v>中证2000</x:v>
      </x:c>
      <x:c r="C1374" s="1" t="str">
        <x:v>2026-08</x:v>
      </x:c>
      <x:c r="D1374" s="1" t="str">
        <x:v>2026-07-31</x:v>
      </x:c>
      <x:c r="E1374" s="5" t="n">
        <x:v>2809.21</x:v>
      </x:c>
      <x:c r="F1374" s="6" t="str">
        <x:v>2026-08-31</x:v>
      </x:c>
      <x:c r="G1374" s="5" t="n">
        <x:v>3180.13</x:v>
      </x:c>
      <x:c r="H1374" s="7" t="n">
        <x:f>G1374/E1374-1</x:f>
        <x:v>0.1320371207563693</x:v>
      </x:c>
      <x:c r="I1374" s="1" t="n">
        <x:v>1</x:v>
      </x:c>
      <x:c r="J1374" s="1" t="n">
        <x:v>1</x:v>
      </x:c>
      <x:c r="K1374" s="1" t="str">
        <x:v>中证官方优先</x:v>
      </x:c>
    </x:row>
    <x:row r="1375" ht="25" customHeight="1">
      <x:c r="A1375" s="1" t="str">
        <x:v>sh932000</x:v>
      </x:c>
      <x:c r="B1375" s="1" t="str">
        <x:v>中证2000</x:v>
      </x:c>
      <x:c r="C1375" s="1" t="str">
        <x:v>2026-09</x:v>
      </x:c>
      <x:c r="D1375" s="1" t="str">
        <x:v>2026-08-31</x:v>
      </x:c>
      <x:c r="E1375" s="5" t="n">
        <x:v>3180.13</x:v>
      </x:c>
      <x:c r="F1375" s="6" t="str">
        <x:v>2026-09-30</x:v>
      </x:c>
      <x:c r="G1375" s="5" t="n">
        <x:v>3107.26</x:v>
      </x:c>
      <x:c r="H1375" s="7" t="n">
        <x:f>G1375/E1375-1</x:f>
        <x:v>-0.022914157597330842</x:v>
      </x:c>
      <x:c r="I1375" s="1" t="n">
        <x:v>1</x:v>
      </x:c>
      <x:c r="J1375" s="1" t="n">
        <x:v>1</x:v>
      </x:c>
      <x:c r="K1375" s="1" t="str">
        <x:v>中证官方优先</x:v>
      </x:c>
    </x:row>
    <x:row r="1376" ht="25" customHeight="1">
      <x:c r="A1376" s="1" t="str">
        <x:v>sh932000</x:v>
      </x:c>
      <x:c r="B1376" s="1" t="str">
        <x:v>中证2000</x:v>
      </x:c>
      <x:c r="C1376" s="1" t="str">
        <x:v>2026-10</x:v>
      </x:c>
      <x:c r="D1376" s="1" t="str">
        <x:v>2026-09-30</x:v>
      </x:c>
      <x:c r="E1376" s="5" t="n">
        <x:v>3107.26</x:v>
      </x:c>
      <x:c r="F1376" s="6" t="str">
        <x:v>2026-10-09</x:v>
      </x:c>
      <x:c r="G1376" s="5" t="n">
        <x:v>3065.3</x:v>
      </x:c>
      <x:c r="H1376" s="7" t="n">
        <x:f>G1376/E1376-1</x:f>
        <x:v>-0.013503858705097072</x:v>
      </x:c>
      <x:c r="I1376" s="1" t="n">
        <x:v>0</x:v>
      </x:c>
      <x:c r="J1376" s="1" t="n">
        <x:v>1</x:v>
      </x:c>
      <x:c r="K1376" s="1" t="str">
        <x:v>中证官方优先</x:v>
      </x:c>
    </x:row>
    <x:row r="1377" ht="25" customHeight="1">
      <x:c r="A1377" s="1" t="str">
        <x:v>sh000016</x:v>
      </x:c>
      <x:c r="B1377" s="1" t="str">
        <x:v>上证50</x:v>
      </x:c>
      <x:c r="C1377" s="1" t="str">
        <x:v>2004-01</x:v>
      </x:c>
      <x:c r="D1377" s="1" t="str">
        <x:v>2003-12-31</x:v>
      </x:c>
      <x:c r="E1377" s="5" t="n">
        <x:v>1000</x:v>
      </x:c>
      <x:c r="F1377" s="6" t="str">
        <x:v>2004-01-30</x:v>
      </x:c>
      <x:c r="G1377" s="5" t="n">
        <x:v>1067.55</x:v>
      </x:c>
      <x:c r="H1377" s="7" t="n">
        <x:f>G1377/E1377-1</x:f>
        <x:v>0.06755</x:v>
      </x:c>
      <x:c r="I1377" s="1" t="n">
        <x:v>1</x:v>
      </x:c>
      <x:c r="J1377" s="1" t="n">
        <x:v>1</x:v>
      </x:c>
      <x:c r="K1377" s="1" t="str">
        <x:v>中证官方优先</x:v>
      </x:c>
    </x:row>
    <x:row r="1378" ht="25" customHeight="1">
      <x:c r="A1378" s="1" t="str">
        <x:v>sh000016</x:v>
      </x:c>
      <x:c r="B1378" s="1" t="str">
        <x:v>上证50</x:v>
      </x:c>
      <x:c r="C1378" s="1" t="str">
        <x:v>2004-02</x:v>
      </x:c>
      <x:c r="D1378" s="1" t="str">
        <x:v>2004-01-30</x:v>
      </x:c>
      <x:c r="E1378" s="5" t="n">
        <x:v>1067.55</x:v>
      </x:c>
      <x:c r="F1378" s="6" t="str">
        <x:v>2004-02-27</x:v>
      </x:c>
      <x:c r="G1378" s="5" t="n">
        <x:v>1088.73</x:v>
      </x:c>
      <x:c r="H1378" s="7" t="n">
        <x:f>G1378/E1378-1</x:f>
        <x:v>0.019839820148939147</x:v>
      </x:c>
      <x:c r="I1378" s="1" t="n">
        <x:v>1</x:v>
      </x:c>
      <x:c r="J1378" s="1" t="n">
        <x:v>1</x:v>
      </x:c>
      <x:c r="K1378" s="1" t="str">
        <x:v>中证官方优先</x:v>
      </x:c>
    </x:row>
    <x:row r="1379" ht="25" customHeight="1">
      <x:c r="A1379" s="1" t="str">
        <x:v>sh000016</x:v>
      </x:c>
      <x:c r="B1379" s="1" t="str">
        <x:v>上证50</x:v>
      </x:c>
      <x:c r="C1379" s="1" t="str">
        <x:v>2004-03</x:v>
      </x:c>
      <x:c r="D1379" s="1" t="str">
        <x:v>2004-02-27</x:v>
      </x:c>
      <x:c r="E1379" s="5" t="n">
        <x:v>1088.73</x:v>
      </x:c>
      <x:c r="F1379" s="6" t="str">
        <x:v>2004-03-31</x:v>
      </x:c>
      <x:c r="G1379" s="5" t="n">
        <x:v>1108.54</x:v>
      </x:c>
      <x:c r="H1379" s="7" t="n">
        <x:f>G1379/E1379-1</x:f>
        <x:v>0.018195512202290764</x:v>
      </x:c>
      <x:c r="I1379" s="1" t="n">
        <x:v>1</x:v>
      </x:c>
      <x:c r="J1379" s="1" t="n">
        <x:v>1</x:v>
      </x:c>
      <x:c r="K1379" s="1" t="str">
        <x:v>中证官方优先</x:v>
      </x:c>
    </x:row>
    <x:row r="1380" ht="25" customHeight="1">
      <x:c r="A1380" s="1" t="str">
        <x:v>sh000016</x:v>
      </x:c>
      <x:c r="B1380" s="1" t="str">
        <x:v>上证50</x:v>
      </x:c>
      <x:c r="C1380" s="1" t="str">
        <x:v>2004-04</x:v>
      </x:c>
      <x:c r="D1380" s="1" t="str">
        <x:v>2004-03-31</x:v>
      </x:c>
      <x:c r="E1380" s="5" t="n">
        <x:v>1108.54</x:v>
      </x:c>
      <x:c r="F1380" s="6" t="str">
        <x:v>2004-04-30</x:v>
      </x:c>
      <x:c r="G1380" s="5" t="n">
        <x:v>1025.95</x:v>
      </x:c>
      <x:c r="H1380" s="7" t="n">
        <x:f>G1380/E1380-1</x:f>
        <x:v>-0.07450340086961216</x:v>
      </x:c>
      <x:c r="I1380" s="1" t="n">
        <x:v>1</x:v>
      </x:c>
      <x:c r="J1380" s="1" t="n">
        <x:v>1</x:v>
      </x:c>
      <x:c r="K1380" s="1" t="str">
        <x:v>中证官方优先</x:v>
      </x:c>
    </x:row>
    <x:row r="1381" ht="25" customHeight="1">
      <x:c r="A1381" s="1" t="str">
        <x:v>sh000016</x:v>
      </x:c>
      <x:c r="B1381" s="1" t="str">
        <x:v>上证50</x:v>
      </x:c>
      <x:c r="C1381" s="1" t="str">
        <x:v>2004-05</x:v>
      </x:c>
      <x:c r="D1381" s="1" t="str">
        <x:v>2004-04-30</x:v>
      </x:c>
      <x:c r="E1381" s="5" t="n">
        <x:v>1025.95</x:v>
      </x:c>
      <x:c r="F1381" s="6" t="str">
        <x:v>2004-05-31</x:v>
      </x:c>
      <x:c r="G1381" s="5" t="n">
        <x:v>1001.19</x:v>
      </x:c>
      <x:c r="H1381" s="7" t="n">
        <x:f>G1381/E1381-1</x:f>
        <x:v>-0.02413372971392369</x:v>
      </x:c>
      <x:c r="I1381" s="1" t="n">
        <x:v>1</x:v>
      </x:c>
      <x:c r="J1381" s="1" t="n">
        <x:v>1</x:v>
      </x:c>
      <x:c r="K1381" s="1" t="str">
        <x:v>中证官方优先</x:v>
      </x:c>
    </x:row>
    <x:row r="1382" ht="25" customHeight="1">
      <x:c r="A1382" s="1" t="str">
        <x:v>sh000016</x:v>
      </x:c>
      <x:c r="B1382" s="1" t="str">
        <x:v>上证50</x:v>
      </x:c>
      <x:c r="C1382" s="1" t="str">
        <x:v>2004-06</x:v>
      </x:c>
      <x:c r="D1382" s="1" t="str">
        <x:v>2004-05-31</x:v>
      </x:c>
      <x:c r="E1382" s="5" t="n">
        <x:v>1001.19</x:v>
      </x:c>
      <x:c r="F1382" s="6" t="str">
        <x:v>2004-06-30</x:v>
      </x:c>
      <x:c r="G1382" s="5" t="n">
        <x:v>897.71</x:v>
      </x:c>
      <x:c r="H1382" s="7" t="n">
        <x:f>G1382/E1382-1</x:f>
        <x:v>-0.10335700516385504</x:v>
      </x:c>
      <x:c r="I1382" s="1" t="n">
        <x:v>1</x:v>
      </x:c>
      <x:c r="J1382" s="1" t="n">
        <x:v>1</x:v>
      </x:c>
      <x:c r="K1382" s="1" t="str">
        <x:v>中证官方优先</x:v>
      </x:c>
    </x:row>
    <x:row r="1383" ht="25" customHeight="1">
      <x:c r="A1383" s="1" t="str">
        <x:v>sh000016</x:v>
      </x:c>
      <x:c r="B1383" s="1" t="str">
        <x:v>上证50</x:v>
      </x:c>
      <x:c r="C1383" s="1" t="str">
        <x:v>2004-07</x:v>
      </x:c>
      <x:c r="D1383" s="1" t="str">
        <x:v>2004-06-30</x:v>
      </x:c>
      <x:c r="E1383" s="5" t="n">
        <x:v>897.71</x:v>
      </x:c>
      <x:c r="F1383" s="6" t="str">
        <x:v>2004-07-30</x:v>
      </x:c>
      <x:c r="G1383" s="5" t="n">
        <x:v>906.27</x:v>
      </x:c>
      <x:c r="H1383" s="7" t="n">
        <x:f>G1383/E1383-1</x:f>
        <x:v>0.009535373338828812</x:v>
      </x:c>
      <x:c r="I1383" s="1" t="n">
        <x:v>1</x:v>
      </x:c>
      <x:c r="J1383" s="1" t="n">
        <x:v>1</x:v>
      </x:c>
      <x:c r="K1383" s="1" t="str">
        <x:v>中证官方优先</x:v>
      </x:c>
    </x:row>
    <x:row r="1384" ht="25" customHeight="1">
      <x:c r="A1384" s="1" t="str">
        <x:v>sh000016</x:v>
      </x:c>
      <x:c r="B1384" s="1" t="str">
        <x:v>上证50</x:v>
      </x:c>
      <x:c r="C1384" s="1" t="str">
        <x:v>2004-08</x:v>
      </x:c>
      <x:c r="D1384" s="1" t="str">
        <x:v>2004-07-30</x:v>
      </x:c>
      <x:c r="E1384" s="5" t="n">
        <x:v>906.27</x:v>
      </x:c>
      <x:c r="F1384" s="6" t="str">
        <x:v>2004-08-31</x:v>
      </x:c>
      <x:c r="G1384" s="5" t="n">
        <x:v>895.78</x:v>
      </x:c>
      <x:c r="H1384" s="7" t="n">
        <x:f>G1384/E1384-1</x:f>
        <x:v>-0.011574916967349691</x:v>
      </x:c>
      <x:c r="I1384" s="1" t="n">
        <x:v>1</x:v>
      </x:c>
      <x:c r="J1384" s="1" t="n">
        <x:v>1</x:v>
      </x:c>
      <x:c r="K1384" s="1" t="str">
        <x:v>中证官方优先</x:v>
      </x:c>
    </x:row>
    <x:row r="1385" ht="25" customHeight="1">
      <x:c r="A1385" s="1" t="str">
        <x:v>sh000016</x:v>
      </x:c>
      <x:c r="B1385" s="1" t="str">
        <x:v>上证50</x:v>
      </x:c>
      <x:c r="C1385" s="1" t="str">
        <x:v>2004-09</x:v>
      </x:c>
      <x:c r="D1385" s="1" t="str">
        <x:v>2004-08-31</x:v>
      </x:c>
      <x:c r="E1385" s="5" t="n">
        <x:v>895.78</x:v>
      </x:c>
      <x:c r="F1385" s="6" t="str">
        <x:v>2004-09-30</x:v>
      </x:c>
      <x:c r="G1385" s="5" t="n">
        <x:v>924.36</x:v>
      </x:c>
      <x:c r="H1385" s="7" t="n">
        <x:f>G1385/E1385-1</x:f>
        <x:v>0.031905155283663555</x:v>
      </x:c>
      <x:c r="I1385" s="1" t="n">
        <x:v>1</x:v>
      </x:c>
      <x:c r="J1385" s="1" t="n">
        <x:v>1</x:v>
      </x:c>
      <x:c r="K1385" s="1" t="str">
        <x:v>中证官方优先</x:v>
      </x:c>
    </x:row>
    <x:row r="1386" ht="25" customHeight="1">
      <x:c r="A1386" s="1" t="str">
        <x:v>sh000016</x:v>
      </x:c>
      <x:c r="B1386" s="1" t="str">
        <x:v>上证50</x:v>
      </x:c>
      <x:c r="C1386" s="1" t="str">
        <x:v>2004-10</x:v>
      </x:c>
      <x:c r="D1386" s="1" t="str">
        <x:v>2004-09-30</x:v>
      </x:c>
      <x:c r="E1386" s="5" t="n">
        <x:v>924.36</x:v>
      </x:c>
      <x:c r="F1386" s="6" t="str">
        <x:v>2004-10-29</x:v>
      </x:c>
      <x:c r="G1386" s="5" t="n">
        <x:v>870.79</x:v>
      </x:c>
      <x:c r="H1386" s="7" t="n">
        <x:f>G1386/E1386-1</x:f>
        <x:v>-0.057953611147172124</x:v>
      </x:c>
      <x:c r="I1386" s="1" t="n">
        <x:v>1</x:v>
      </x:c>
      <x:c r="J1386" s="1" t="n">
        <x:v>1</x:v>
      </x:c>
      <x:c r="K1386" s="1" t="str">
        <x:v>中证官方优先</x:v>
      </x:c>
    </x:row>
    <x:row r="1387" ht="25" customHeight="1">
      <x:c r="A1387" s="1" t="str">
        <x:v>sh000016</x:v>
      </x:c>
      <x:c r="B1387" s="1" t="str">
        <x:v>上证50</x:v>
      </x:c>
      <x:c r="C1387" s="1" t="str">
        <x:v>2004-11</x:v>
      </x:c>
      <x:c r="D1387" s="1" t="str">
        <x:v>2004-10-29</x:v>
      </x:c>
      <x:c r="E1387" s="5" t="n">
        <x:v>870.79</x:v>
      </x:c>
      <x:c r="F1387" s="6" t="str">
        <x:v>2004-11-30</x:v>
      </x:c>
      <x:c r="G1387" s="5" t="n">
        <x:v>879.31</x:v>
      </x:c>
      <x:c r="H1387" s="7" t="n">
        <x:f>G1387/E1387-1</x:f>
        <x:v>0.009784218927640476</x:v>
      </x:c>
      <x:c r="I1387" s="1" t="n">
        <x:v>1</x:v>
      </x:c>
      <x:c r="J1387" s="1" t="n">
        <x:v>1</x:v>
      </x:c>
      <x:c r="K1387" s="1" t="str">
        <x:v>中证官方优先</x:v>
      </x:c>
    </x:row>
    <x:row r="1388" ht="25" customHeight="1">
      <x:c r="A1388" s="1" t="str">
        <x:v>sh000016</x:v>
      </x:c>
      <x:c r="B1388" s="1" t="str">
        <x:v>上证50</x:v>
      </x:c>
      <x:c r="C1388" s="1" t="str">
        <x:v>2004-12</x:v>
      </x:c>
      <x:c r="D1388" s="1" t="str">
        <x:v>2004-11-30</x:v>
      </x:c>
      <x:c r="E1388" s="5" t="n">
        <x:v>879.31</x:v>
      </x:c>
      <x:c r="F1388" s="6" t="str">
        <x:v>2004-12-31</x:v>
      </x:c>
      <x:c r="G1388" s="5" t="n">
        <x:v>842.73</x:v>
      </x:c>
      <x:c r="H1388" s="7" t="n">
        <x:f>G1388/E1388-1</x:f>
        <x:v>-0.04160080062776483</x:v>
      </x:c>
      <x:c r="I1388" s="1" t="n">
        <x:v>1</x:v>
      </x:c>
      <x:c r="J1388" s="1" t="n">
        <x:v>1</x:v>
      </x:c>
      <x:c r="K1388" s="1" t="str">
        <x:v>中证官方优先</x:v>
      </x:c>
    </x:row>
    <x:row r="1389" ht="25" customHeight="1">
      <x:c r="A1389" s="1" t="str">
        <x:v>sh000016</x:v>
      </x:c>
      <x:c r="B1389" s="1" t="str">
        <x:v>上证50</x:v>
      </x:c>
      <x:c r="C1389" s="1" t="str">
        <x:v>2005-01</x:v>
      </x:c>
      <x:c r="D1389" s="1" t="str">
        <x:v>2004-12-31</x:v>
      </x:c>
      <x:c r="E1389" s="5" t="n">
        <x:v>842.73</x:v>
      </x:c>
      <x:c r="F1389" s="6" t="str">
        <x:v>2005-01-31</x:v>
      </x:c>
      <x:c r="G1389" s="5" t="n">
        <x:v>813.75</x:v>
      </x:c>
      <x:c r="H1389" s="7" t="n">
        <x:f>G1389/E1389-1</x:f>
        <x:v>-0.03438823822576631</x:v>
      </x:c>
      <x:c r="I1389" s="1" t="n">
        <x:v>1</x:v>
      </x:c>
      <x:c r="J1389" s="1" t="n">
        <x:v>1</x:v>
      </x:c>
      <x:c r="K1389" s="1" t="str">
        <x:v>中证官方优先</x:v>
      </x:c>
    </x:row>
    <x:row r="1390" ht="25" customHeight="1">
      <x:c r="A1390" s="1" t="str">
        <x:v>sh000016</x:v>
      </x:c>
      <x:c r="B1390" s="1" t="str">
        <x:v>上证50</x:v>
      </x:c>
      <x:c r="C1390" s="1" t="str">
        <x:v>2005-02</x:v>
      </x:c>
      <x:c r="D1390" s="1" t="str">
        <x:v>2005-01-31</x:v>
      </x:c>
      <x:c r="E1390" s="5" t="n">
        <x:v>813.75</x:v>
      </x:c>
      <x:c r="F1390" s="6" t="str">
        <x:v>2005-02-28</x:v>
      </x:c>
      <x:c r="G1390" s="5" t="n">
        <x:v>868.89</x:v>
      </x:c>
      <x:c r="H1390" s="7" t="n">
        <x:f>G1390/E1390-1</x:f>
        <x:v>0.06776036866359436</x:v>
      </x:c>
      <x:c r="I1390" s="1" t="n">
        <x:v>1</x:v>
      </x:c>
      <x:c r="J1390" s="1" t="n">
        <x:v>1</x:v>
      </x:c>
      <x:c r="K1390" s="1" t="str">
        <x:v>中证官方优先</x:v>
      </x:c>
    </x:row>
    <x:row r="1391" ht="25" customHeight="1">
      <x:c r="A1391" s="1" t="str">
        <x:v>sh000016</x:v>
      </x:c>
      <x:c r="B1391" s="1" t="str">
        <x:v>上证50</x:v>
      </x:c>
      <x:c r="C1391" s="1" t="str">
        <x:v>2005-03</x:v>
      </x:c>
      <x:c r="D1391" s="1" t="str">
        <x:v>2005-02-28</x:v>
      </x:c>
      <x:c r="E1391" s="5" t="n">
        <x:v>868.89</x:v>
      </x:c>
      <x:c r="F1391" s="6" t="str">
        <x:v>2005-03-31</x:v>
      </x:c>
      <x:c r="G1391" s="5" t="n">
        <x:v>795.67</x:v>
      </x:c>
      <x:c r="H1391" s="7" t="n">
        <x:f>G1391/E1391-1</x:f>
        <x:v>-0.08426843443934218</x:v>
      </x:c>
      <x:c r="I1391" s="1" t="n">
        <x:v>1</x:v>
      </x:c>
      <x:c r="J1391" s="1" t="n">
        <x:v>1</x:v>
      </x:c>
      <x:c r="K1391" s="1" t="str">
        <x:v>中证官方优先</x:v>
      </x:c>
    </x:row>
    <x:row r="1392" ht="25" customHeight="1">
      <x:c r="A1392" s="1" t="str">
        <x:v>sh000016</x:v>
      </x:c>
      <x:c r="B1392" s="1" t="str">
        <x:v>上证50</x:v>
      </x:c>
      <x:c r="C1392" s="1" t="str">
        <x:v>2005-04</x:v>
      </x:c>
      <x:c r="D1392" s="1" t="str">
        <x:v>2005-03-31</x:v>
      </x:c>
      <x:c r="E1392" s="5" t="n">
        <x:v>795.67</x:v>
      </x:c>
      <x:c r="F1392" s="6" t="str">
        <x:v>2005-04-29</x:v>
      </x:c>
      <x:c r="G1392" s="5" t="n">
        <x:v>789.73</x:v>
      </x:c>
      <x:c r="H1392" s="7" t="n">
        <x:f>G1392/E1392-1</x:f>
        <x:v>-0.007465406512750183</x:v>
      </x:c>
      <x:c r="I1392" s="1" t="n">
        <x:v>1</x:v>
      </x:c>
      <x:c r="J1392" s="1" t="n">
        <x:v>1</x:v>
      </x:c>
      <x:c r="K1392" s="1" t="str">
        <x:v>中证官方优先</x:v>
      </x:c>
    </x:row>
    <x:row r="1393" ht="25" customHeight="1">
      <x:c r="A1393" s="1" t="str">
        <x:v>sh000016</x:v>
      </x:c>
      <x:c r="B1393" s="1" t="str">
        <x:v>上证50</x:v>
      </x:c>
      <x:c r="C1393" s="1" t="str">
        <x:v>2005-05</x:v>
      </x:c>
      <x:c r="D1393" s="1" t="str">
        <x:v>2005-04-29</x:v>
      </x:c>
      <x:c r="E1393" s="5" t="n">
        <x:v>789.73</x:v>
      </x:c>
      <x:c r="F1393" s="6" t="str">
        <x:v>2005-05-31</x:v>
      </x:c>
      <x:c r="G1393" s="5" t="n">
        <x:v>731</x:v>
      </x:c>
      <x:c r="H1393" s="7" t="n">
        <x:f>G1393/E1393-1</x:f>
        <x:v>-0.07436718878604087</x:v>
      </x:c>
      <x:c r="I1393" s="1" t="n">
        <x:v>1</x:v>
      </x:c>
      <x:c r="J1393" s="1" t="n">
        <x:v>1</x:v>
      </x:c>
      <x:c r="K1393" s="1" t="str">
        <x:v>中证官方优先</x:v>
      </x:c>
    </x:row>
    <x:row r="1394" ht="25" customHeight="1">
      <x:c r="A1394" s="1" t="str">
        <x:v>sh000016</x:v>
      </x:c>
      <x:c r="B1394" s="1" t="str">
        <x:v>上证50</x:v>
      </x:c>
      <x:c r="C1394" s="1" t="str">
        <x:v>2005-06</x:v>
      </x:c>
      <x:c r="D1394" s="1" t="str">
        <x:v>2005-05-31</x:v>
      </x:c>
      <x:c r="E1394" s="5" t="n">
        <x:v>731</x:v>
      </x:c>
      <x:c r="F1394" s="6" t="str">
        <x:v>2005-06-30</x:v>
      </x:c>
      <x:c r="G1394" s="5" t="n">
        <x:v>758.72</x:v>
      </x:c>
      <x:c r="H1394" s="7" t="n">
        <x:f>G1394/E1394-1</x:f>
        <x:v>0.037920656634746974</x:v>
      </x:c>
      <x:c r="I1394" s="1" t="n">
        <x:v>1</x:v>
      </x:c>
      <x:c r="J1394" s="1" t="n">
        <x:v>1</x:v>
      </x:c>
      <x:c r="K1394" s="1" t="str">
        <x:v>中证官方优先</x:v>
      </x:c>
    </x:row>
    <x:row r="1395" ht="25" customHeight="1">
      <x:c r="A1395" s="1" t="str">
        <x:v>sh000016</x:v>
      </x:c>
      <x:c r="B1395" s="1" t="str">
        <x:v>上证50</x:v>
      </x:c>
      <x:c r="C1395" s="1" t="str">
        <x:v>2005-07</x:v>
      </x:c>
      <x:c r="D1395" s="1" t="str">
        <x:v>2005-06-30</x:v>
      </x:c>
      <x:c r="E1395" s="5" t="n">
        <x:v>758.72</x:v>
      </x:c>
      <x:c r="F1395" s="6" t="str">
        <x:v>2005-07-29</x:v>
      </x:c>
      <x:c r="G1395" s="5" t="n">
        <x:v>788.63</x:v>
      </x:c>
      <x:c r="H1395" s="7" t="n">
        <x:f>G1395/E1395-1</x:f>
        <x:v>0.039421657528468934</x:v>
      </x:c>
      <x:c r="I1395" s="1" t="n">
        <x:v>1</x:v>
      </x:c>
      <x:c r="J1395" s="1" t="n">
        <x:v>1</x:v>
      </x:c>
      <x:c r="K1395" s="1" t="str">
        <x:v>中证官方优先</x:v>
      </x:c>
    </x:row>
    <x:row r="1396" ht="25" customHeight="1">
      <x:c r="A1396" s="1" t="str">
        <x:v>sh000016</x:v>
      </x:c>
      <x:c r="B1396" s="1" t="str">
        <x:v>上证50</x:v>
      </x:c>
      <x:c r="C1396" s="1" t="str">
        <x:v>2005-08</x:v>
      </x:c>
      <x:c r="D1396" s="1" t="str">
        <x:v>2005-07-29</x:v>
      </x:c>
      <x:c r="E1396" s="5" t="n">
        <x:v>788.63</x:v>
      </x:c>
      <x:c r="F1396" s="6" t="str">
        <x:v>2005-08-31</x:v>
      </x:c>
      <x:c r="G1396" s="5" t="n">
        <x:v>816.76</x:v>
      </x:c>
      <x:c r="H1396" s="7" t="n">
        <x:f>G1396/E1396-1</x:f>
        <x:v>0.035669452087797815</x:v>
      </x:c>
      <x:c r="I1396" s="1" t="n">
        <x:v>1</x:v>
      </x:c>
      <x:c r="J1396" s="1" t="n">
        <x:v>1</x:v>
      </x:c>
      <x:c r="K1396" s="1" t="str">
        <x:v>中证官方优先</x:v>
      </x:c>
    </x:row>
    <x:row r="1397" ht="25" customHeight="1">
      <x:c r="A1397" s="1" t="str">
        <x:v>sh000016</x:v>
      </x:c>
      <x:c r="B1397" s="1" t="str">
        <x:v>上证50</x:v>
      </x:c>
      <x:c r="C1397" s="1" t="str">
        <x:v>2005-09</x:v>
      </x:c>
      <x:c r="D1397" s="1" t="str">
        <x:v>2005-08-31</x:v>
      </x:c>
      <x:c r="E1397" s="5" t="n">
        <x:v>816.76</x:v>
      </x:c>
      <x:c r="F1397" s="6" t="str">
        <x:v>2005-09-30</x:v>
      </x:c>
      <x:c r="G1397" s="5" t="n">
        <x:v>793.65</x:v>
      </x:c>
      <x:c r="H1397" s="7" t="n">
        <x:f>G1397/E1397-1</x:f>
        <x:v>-0.028294725500759066</x:v>
      </x:c>
      <x:c r="I1397" s="1" t="n">
        <x:v>1</x:v>
      </x:c>
      <x:c r="J1397" s="1" t="n">
        <x:v>1</x:v>
      </x:c>
      <x:c r="K1397" s="1" t="str">
        <x:v>中证官方优先</x:v>
      </x:c>
    </x:row>
    <x:row r="1398" ht="25" customHeight="1">
      <x:c r="A1398" s="1" t="str">
        <x:v>sh000016</x:v>
      </x:c>
      <x:c r="B1398" s="1" t="str">
        <x:v>上证50</x:v>
      </x:c>
      <x:c r="C1398" s="1" t="str">
        <x:v>2005-10</x:v>
      </x:c>
      <x:c r="D1398" s="1" t="str">
        <x:v>2005-09-30</x:v>
      </x:c>
      <x:c r="E1398" s="5" t="n">
        <x:v>793.65</x:v>
      </x:c>
      <x:c r="F1398" s="6" t="str">
        <x:v>2005-10-31</x:v>
      </x:c>
      <x:c r="G1398" s="5" t="n">
        <x:v>759.24</x:v>
      </x:c>
      <x:c r="H1398" s="7" t="n">
        <x:f>G1398/E1398-1</x:f>
        <x:v>-0.043356643356643354</x:v>
      </x:c>
      <x:c r="I1398" s="1" t="n">
        <x:v>1</x:v>
      </x:c>
      <x:c r="J1398" s="1" t="n">
        <x:v>1</x:v>
      </x:c>
      <x:c r="K1398" s="1" t="str">
        <x:v>中证官方优先</x:v>
      </x:c>
    </x:row>
    <x:row r="1399" ht="25" customHeight="1">
      <x:c r="A1399" s="1" t="str">
        <x:v>sh000016</x:v>
      </x:c>
      <x:c r="B1399" s="1" t="str">
        <x:v>上证50</x:v>
      </x:c>
      <x:c r="C1399" s="1" t="str">
        <x:v>2005-11</x:v>
      </x:c>
      <x:c r="D1399" s="1" t="str">
        <x:v>2005-10-31</x:v>
      </x:c>
      <x:c r="E1399" s="5" t="n">
        <x:v>759.24</x:v>
      </x:c>
      <x:c r="F1399" s="6" t="str">
        <x:v>2005-11-30</x:v>
      </x:c>
      <x:c r="G1399" s="5" t="n">
        <x:v>759.63</x:v>
      </x:c>
      <x:c r="H1399" s="7" t="n">
        <x:f>G1399/E1399-1</x:f>
        <x:v>0.0005136715663032199</x:v>
      </x:c>
      <x:c r="I1399" s="1" t="n">
        <x:v>1</x:v>
      </x:c>
      <x:c r="J1399" s="1" t="n">
        <x:v>1</x:v>
      </x:c>
      <x:c r="K1399" s="1" t="str">
        <x:v>中证官方优先</x:v>
      </x:c>
    </x:row>
    <x:row r="1400" ht="25" customHeight="1">
      <x:c r="A1400" s="1" t="str">
        <x:v>sh000016</x:v>
      </x:c>
      <x:c r="B1400" s="1" t="str">
        <x:v>上证50</x:v>
      </x:c>
      <x:c r="C1400" s="1" t="str">
        <x:v>2005-12</x:v>
      </x:c>
      <x:c r="D1400" s="1" t="str">
        <x:v>2005-11-30</x:v>
      </x:c>
      <x:c r="E1400" s="5" t="n">
        <x:v>759.63</x:v>
      </x:c>
      <x:c r="F1400" s="6" t="str">
        <x:v>2005-12-30</x:v>
      </x:c>
      <x:c r="G1400" s="5" t="n">
        <x:v>796.4</x:v>
      </x:c>
      <x:c r="H1400" s="7" t="n">
        <x:f>G1400/E1400-1</x:f>
        <x:v>0.04840514460987588</x:v>
      </x:c>
      <x:c r="I1400" s="1" t="n">
        <x:v>1</x:v>
      </x:c>
      <x:c r="J1400" s="1" t="n">
        <x:v>1</x:v>
      </x:c>
      <x:c r="K1400" s="1" t="str">
        <x:v>中证官方优先</x:v>
      </x:c>
    </x:row>
    <x:row r="1401" ht="25" customHeight="1">
      <x:c r="A1401" s="1" t="str">
        <x:v>sh000016</x:v>
      </x:c>
      <x:c r="B1401" s="1" t="str">
        <x:v>上证50</x:v>
      </x:c>
      <x:c r="C1401" s="1" t="str">
        <x:v>2006-01</x:v>
      </x:c>
      <x:c r="D1401" s="1" t="str">
        <x:v>2005-12-30</x:v>
      </x:c>
      <x:c r="E1401" s="5" t="n">
        <x:v>796.4</x:v>
      </x:c>
      <x:c r="F1401" s="6" t="str">
        <x:v>2006-01-25</x:v>
      </x:c>
      <x:c r="G1401" s="5" t="n">
        <x:v>846.99</x:v>
      </x:c>
      <x:c r="H1401" s="7" t="n">
        <x:f>G1401/E1401-1</x:f>
        <x:v>0.06352335509794083</x:v>
      </x:c>
      <x:c r="I1401" s="1" t="n">
        <x:v>1</x:v>
      </x:c>
      <x:c r="J1401" s="1" t="n">
        <x:v>1</x:v>
      </x:c>
      <x:c r="K1401" s="1" t="str">
        <x:v>中证官方优先</x:v>
      </x:c>
    </x:row>
    <x:row r="1402" ht="25" customHeight="1">
      <x:c r="A1402" s="1" t="str">
        <x:v>sh000016</x:v>
      </x:c>
      <x:c r="B1402" s="1" t="str">
        <x:v>上证50</x:v>
      </x:c>
      <x:c r="C1402" s="1" t="str">
        <x:v>2006-02</x:v>
      </x:c>
      <x:c r="D1402" s="1" t="str">
        <x:v>2006-01-25</x:v>
      </x:c>
      <x:c r="E1402" s="5" t="n">
        <x:v>846.99</x:v>
      </x:c>
      <x:c r="F1402" s="6" t="str">
        <x:v>2006-02-28</x:v>
      </x:c>
      <x:c r="G1402" s="5" t="n">
        <x:v>892.9</x:v>
      </x:c>
      <x:c r="H1402" s="7" t="n">
        <x:f>G1402/E1402-1</x:f>
        <x:v>0.05420370960696119</x:v>
      </x:c>
      <x:c r="I1402" s="1" t="n">
        <x:v>1</x:v>
      </x:c>
      <x:c r="J1402" s="1" t="n">
        <x:v>1</x:v>
      </x:c>
      <x:c r="K1402" s="1" t="str">
        <x:v>中证官方优先</x:v>
      </x:c>
    </x:row>
    <x:row r="1403" ht="25" customHeight="1">
      <x:c r="A1403" s="1" t="str">
        <x:v>sh000016</x:v>
      </x:c>
      <x:c r="B1403" s="1" t="str">
        <x:v>上证50</x:v>
      </x:c>
      <x:c r="C1403" s="1" t="str">
        <x:v>2006-03</x:v>
      </x:c>
      <x:c r="D1403" s="1" t="str">
        <x:v>2006-02-28</x:v>
      </x:c>
      <x:c r="E1403" s="5" t="n">
        <x:v>892.9</x:v>
      </x:c>
      <x:c r="F1403" s="6" t="str">
        <x:v>2006-03-31</x:v>
      </x:c>
      <x:c r="G1403" s="5" t="n">
        <x:v>878.37</x:v>
      </x:c>
      <x:c r="H1403" s="7" t="n">
        <x:f>G1403/E1403-1</x:f>
        <x:v>-0.016272818904692565</x:v>
      </x:c>
      <x:c r="I1403" s="1" t="n">
        <x:v>1</x:v>
      </x:c>
      <x:c r="J1403" s="1" t="n">
        <x:v>1</x:v>
      </x:c>
      <x:c r="K1403" s="1" t="str">
        <x:v>中证官方优先</x:v>
      </x:c>
    </x:row>
    <x:row r="1404" ht="25" customHeight="1">
      <x:c r="A1404" s="1" t="str">
        <x:v>sh000016</x:v>
      </x:c>
      <x:c r="B1404" s="1" t="str">
        <x:v>上证50</x:v>
      </x:c>
      <x:c r="C1404" s="1" t="str">
        <x:v>2006-04</x:v>
      </x:c>
      <x:c r="D1404" s="1" t="str">
        <x:v>2006-03-31</x:v>
      </x:c>
      <x:c r="E1404" s="5" t="n">
        <x:v>878.37</x:v>
      </x:c>
      <x:c r="F1404" s="6" t="str">
        <x:v>2006-04-28</x:v>
      </x:c>
      <x:c r="G1404" s="5" t="n">
        <x:v>964.45</x:v>
      </x:c>
      <x:c r="H1404" s="7" t="n">
        <x:f>G1404/E1404-1</x:f>
        <x:v>0.09799970399717672</x:v>
      </x:c>
      <x:c r="I1404" s="1" t="n">
        <x:v>1</x:v>
      </x:c>
      <x:c r="J1404" s="1" t="n">
        <x:v>1</x:v>
      </x:c>
      <x:c r="K1404" s="1" t="str">
        <x:v>中证官方优先</x:v>
      </x:c>
    </x:row>
    <x:row r="1405" ht="25" customHeight="1">
      <x:c r="A1405" s="1" t="str">
        <x:v>sh000016</x:v>
      </x:c>
      <x:c r="B1405" s="1" t="str">
        <x:v>上证50</x:v>
      </x:c>
      <x:c r="C1405" s="1" t="str">
        <x:v>2006-05</x:v>
      </x:c>
      <x:c r="D1405" s="1" t="str">
        <x:v>2006-04-28</x:v>
      </x:c>
      <x:c r="E1405" s="5" t="n">
        <x:v>964.45</x:v>
      </x:c>
      <x:c r="F1405" s="6" t="str">
        <x:v>2006-05-31</x:v>
      </x:c>
      <x:c r="G1405" s="5" t="n">
        <x:v>1078.86</x:v>
      </x:c>
      <x:c r="H1405" s="7" t="n">
        <x:f>G1405/E1405-1</x:f>
        <x:v>0.1186271968479442</x:v>
      </x:c>
      <x:c r="I1405" s="1" t="n">
        <x:v>1</x:v>
      </x:c>
      <x:c r="J1405" s="1" t="n">
        <x:v>1</x:v>
      </x:c>
      <x:c r="K1405" s="1" t="str">
        <x:v>中证官方优先</x:v>
      </x:c>
    </x:row>
    <x:row r="1406" ht="25" customHeight="1">
      <x:c r="A1406" s="1" t="str">
        <x:v>sh000016</x:v>
      </x:c>
      <x:c r="B1406" s="1" t="str">
        <x:v>上证50</x:v>
      </x:c>
      <x:c r="C1406" s="1" t="str">
        <x:v>2006-06</x:v>
      </x:c>
      <x:c r="D1406" s="1" t="str">
        <x:v>2006-05-31</x:v>
      </x:c>
      <x:c r="E1406" s="5" t="n">
        <x:v>1078.86</x:v>
      </x:c>
      <x:c r="F1406" s="6" t="str">
        <x:v>2006-06-30</x:v>
      </x:c>
      <x:c r="G1406" s="5" t="n">
        <x:v>1102.7</x:v>
      </x:c>
      <x:c r="H1406" s="7" t="n">
        <x:f>G1406/E1406-1</x:f>
        <x:v>0.022097399106464355</x:v>
      </x:c>
      <x:c r="I1406" s="1" t="n">
        <x:v>1</x:v>
      </x:c>
      <x:c r="J1406" s="1" t="n">
        <x:v>1</x:v>
      </x:c>
      <x:c r="K1406" s="1" t="str">
        <x:v>中证官方优先</x:v>
      </x:c>
    </x:row>
    <x:row r="1407" ht="25" customHeight="1">
      <x:c r="A1407" s="1" t="str">
        <x:v>sh000016</x:v>
      </x:c>
      <x:c r="B1407" s="1" t="str">
        <x:v>上证50</x:v>
      </x:c>
      <x:c r="C1407" s="1" t="str">
        <x:v>2006-07</x:v>
      </x:c>
      <x:c r="D1407" s="1" t="str">
        <x:v>2006-06-30</x:v>
      </x:c>
      <x:c r="E1407" s="5" t="n">
        <x:v>1102.7</x:v>
      </x:c>
      <x:c r="F1407" s="6" t="str">
        <x:v>2006-07-31</x:v>
      </x:c>
      <x:c r="G1407" s="5" t="n">
        <x:v>1020.54</x:v>
      </x:c>
      <x:c r="H1407" s="7" t="n">
        <x:f>G1407/E1407-1</x:f>
        <x:v>-0.07450802575496518</x:v>
      </x:c>
      <x:c r="I1407" s="1" t="n">
        <x:v>1</x:v>
      </x:c>
      <x:c r="J1407" s="1" t="n">
        <x:v>1</x:v>
      </x:c>
      <x:c r="K1407" s="1" t="str">
        <x:v>中证官方优先</x:v>
      </x:c>
    </x:row>
    <x:row r="1408" ht="25" customHeight="1">
      <x:c r="A1408" s="1" t="str">
        <x:v>sh000016</x:v>
      </x:c>
      <x:c r="B1408" s="1" t="str">
        <x:v>上证50</x:v>
      </x:c>
      <x:c r="C1408" s="1" t="str">
        <x:v>2006-08</x:v>
      </x:c>
      <x:c r="D1408" s="1" t="str">
        <x:v>2006-07-31</x:v>
      </x:c>
      <x:c r="E1408" s="5" t="n">
        <x:v>1020.54</x:v>
      </x:c>
      <x:c r="F1408" s="6" t="str">
        <x:v>2006-08-31</x:v>
      </x:c>
      <x:c r="G1408" s="5" t="n">
        <x:v>1048.58</x:v>
      </x:c>
      <x:c r="H1408" s="7" t="n">
        <x:f>G1408/E1408-1</x:f>
        <x:v>0.027475650146001174</x:v>
      </x:c>
      <x:c r="I1408" s="1" t="n">
        <x:v>1</x:v>
      </x:c>
      <x:c r="J1408" s="1" t="n">
        <x:v>1</x:v>
      </x:c>
      <x:c r="K1408" s="1" t="str">
        <x:v>中证官方优先</x:v>
      </x:c>
    </x:row>
    <x:row r="1409" ht="25" customHeight="1">
      <x:c r="A1409" s="1" t="str">
        <x:v>sh000016</x:v>
      </x:c>
      <x:c r="B1409" s="1" t="str">
        <x:v>上证50</x:v>
      </x:c>
      <x:c r="C1409" s="1" t="str">
        <x:v>2006-09</x:v>
      </x:c>
      <x:c r="D1409" s="1" t="str">
        <x:v>2006-08-31</x:v>
      </x:c>
      <x:c r="E1409" s="5" t="n">
        <x:v>1048.58</x:v>
      </x:c>
      <x:c r="F1409" s="6" t="str">
        <x:v>2006-09-29</x:v>
      </x:c>
      <x:c r="G1409" s="5" t="n">
        <x:v>1115.72</x:v>
      </x:c>
      <x:c r="H1409" s="7" t="n">
        <x:f>G1409/E1409-1</x:f>
        <x:v>0.06402944935055044</x:v>
      </x:c>
      <x:c r="I1409" s="1" t="n">
        <x:v>1</x:v>
      </x:c>
      <x:c r="J1409" s="1" t="n">
        <x:v>1</x:v>
      </x:c>
      <x:c r="K1409" s="1" t="str">
        <x:v>中证官方优先</x:v>
      </x:c>
    </x:row>
    <x:row r="1410" ht="25" customHeight="1">
      <x:c r="A1410" s="1" t="str">
        <x:v>sh000016</x:v>
      </x:c>
      <x:c r="B1410" s="1" t="str">
        <x:v>上证50</x:v>
      </x:c>
      <x:c r="C1410" s="1" t="str">
        <x:v>2006-10</x:v>
      </x:c>
      <x:c r="D1410" s="1" t="str">
        <x:v>2006-09-29</x:v>
      </x:c>
      <x:c r="E1410" s="5" t="n">
        <x:v>1115.72</x:v>
      </x:c>
      <x:c r="F1410" s="6" t="str">
        <x:v>2006-10-31</x:v>
      </x:c>
      <x:c r="G1410" s="5" t="n">
        <x:v>1193.84</x:v>
      </x:c>
      <x:c r="H1410" s="7" t="n">
        <x:f>G1410/E1410-1</x:f>
        <x:v>0.07001756713153817</x:v>
      </x:c>
      <x:c r="I1410" s="1" t="n">
        <x:v>1</x:v>
      </x:c>
      <x:c r="J1410" s="1" t="n">
        <x:v>1</x:v>
      </x:c>
      <x:c r="K1410" s="1" t="str">
        <x:v>中证官方优先</x:v>
      </x:c>
    </x:row>
    <x:row r="1411" ht="25" customHeight="1">
      <x:c r="A1411" s="1" t="str">
        <x:v>sh000016</x:v>
      </x:c>
      <x:c r="B1411" s="1" t="str">
        <x:v>上证50</x:v>
      </x:c>
      <x:c r="C1411" s="1" t="str">
        <x:v>2006-11</x:v>
      </x:c>
      <x:c r="D1411" s="1" t="str">
        <x:v>2006-10-31</x:v>
      </x:c>
      <x:c r="E1411" s="5" t="n">
        <x:v>1193.84</x:v>
      </x:c>
      <x:c r="F1411" s="6" t="str">
        <x:v>2006-11-30</x:v>
      </x:c>
      <x:c r="G1411" s="5" t="n">
        <x:v>1425.21</x:v>
      </x:c>
      <x:c r="H1411" s="7" t="n">
        <x:f>G1411/E1411-1</x:f>
        <x:v>0.19380318970716348</x:v>
      </x:c>
      <x:c r="I1411" s="1" t="n">
        <x:v>1</x:v>
      </x:c>
      <x:c r="J1411" s="1" t="n">
        <x:v>1</x:v>
      </x:c>
      <x:c r="K1411" s="1" t="str">
        <x:v>中证官方优先</x:v>
      </x:c>
    </x:row>
    <x:row r="1412" ht="25" customHeight="1">
      <x:c r="A1412" s="1" t="str">
        <x:v>sh000016</x:v>
      </x:c>
      <x:c r="B1412" s="1" t="str">
        <x:v>上证50</x:v>
      </x:c>
      <x:c r="C1412" s="1" t="str">
        <x:v>2006-12</x:v>
      </x:c>
      <x:c r="D1412" s="1" t="str">
        <x:v>2006-11-30</x:v>
      </x:c>
      <x:c r="E1412" s="5" t="n">
        <x:v>1425.21</x:v>
      </x:c>
      <x:c r="F1412" s="6" t="str">
        <x:v>2006-12-29</x:v>
      </x:c>
      <x:c r="G1412" s="5" t="n">
        <x:v>1805.31</x:v>
      </x:c>
      <x:c r="H1412" s="7" t="n">
        <x:f>G1412/E1412-1</x:f>
        <x:v>0.2666975393099964</x:v>
      </x:c>
      <x:c r="I1412" s="1" t="n">
        <x:v>1</x:v>
      </x:c>
      <x:c r="J1412" s="1" t="n">
        <x:v>1</x:v>
      </x:c>
      <x:c r="K1412" s="1" t="str">
        <x:v>中证官方优先</x:v>
      </x:c>
    </x:row>
    <x:row r="1413" ht="25" customHeight="1">
      <x:c r="A1413" s="1" t="str">
        <x:v>sh000016</x:v>
      </x:c>
      <x:c r="B1413" s="1" t="str">
        <x:v>上证50</x:v>
      </x:c>
      <x:c r="C1413" s="1" t="str">
        <x:v>2007-01</x:v>
      </x:c>
      <x:c r="D1413" s="1" t="str">
        <x:v>2006-12-29</x:v>
      </x:c>
      <x:c r="E1413" s="5" t="n">
        <x:v>1805.31</x:v>
      </x:c>
      <x:c r="F1413" s="6" t="str">
        <x:v>2007-01-31</x:v>
      </x:c>
      <x:c r="G1413" s="5" t="n">
        <x:v>2052.91</x:v>
      </x:c>
      <x:c r="H1413" s="7" t="n">
        <x:f>G1413/E1413-1</x:f>
        <x:v>0.13715096022289797</x:v>
      </x:c>
      <x:c r="I1413" s="1" t="n">
        <x:v>1</x:v>
      </x:c>
      <x:c r="J1413" s="1" t="n">
        <x:v>1</x:v>
      </x:c>
      <x:c r="K1413" s="1" t="str">
        <x:v>中证官方优先</x:v>
      </x:c>
    </x:row>
    <x:row r="1414" ht="25" customHeight="1">
      <x:c r="A1414" s="1" t="str">
        <x:v>sh000016</x:v>
      </x:c>
      <x:c r="B1414" s="1" t="str">
        <x:v>上证50</x:v>
      </x:c>
      <x:c r="C1414" s="1" t="str">
        <x:v>2007-02</x:v>
      </x:c>
      <x:c r="D1414" s="1" t="str">
        <x:v>2007-01-31</x:v>
      </x:c>
      <x:c r="E1414" s="5" t="n">
        <x:v>2052.91</x:v>
      </x:c>
      <x:c r="F1414" s="6" t="str">
        <x:v>2007-02-28</x:v>
      </x:c>
      <x:c r="G1414" s="5" t="n">
        <x:v>2096.23</x:v>
      </x:c>
      <x:c r="H1414" s="7" t="n">
        <x:f>G1414/E1414-1</x:f>
        <x:v>0.021101753121179234</x:v>
      </x:c>
      <x:c r="I1414" s="1" t="n">
        <x:v>1</x:v>
      </x:c>
      <x:c r="J1414" s="1" t="n">
        <x:v>1</x:v>
      </x:c>
      <x:c r="K1414" s="1" t="str">
        <x:v>中证官方优先</x:v>
      </x:c>
    </x:row>
    <x:row r="1415" ht="25" customHeight="1">
      <x:c r="A1415" s="1" t="str">
        <x:v>sh000016</x:v>
      </x:c>
      <x:c r="B1415" s="1" t="str">
        <x:v>上证50</x:v>
      </x:c>
      <x:c r="C1415" s="1" t="str">
        <x:v>2007-03</x:v>
      </x:c>
      <x:c r="D1415" s="1" t="str">
        <x:v>2007-02-28</x:v>
      </x:c>
      <x:c r="E1415" s="5" t="n">
        <x:v>2096.23</x:v>
      </x:c>
      <x:c r="F1415" s="6" t="str">
        <x:v>2007-03-30</x:v>
      </x:c>
      <x:c r="G1415" s="5" t="n">
        <x:v>2288.26</x:v>
      </x:c>
      <x:c r="H1415" s="7" t="n">
        <x:f>G1415/E1415-1</x:f>
        <x:v>0.09160731408290124</x:v>
      </x:c>
      <x:c r="I1415" s="1" t="n">
        <x:v>1</x:v>
      </x:c>
      <x:c r="J1415" s="1" t="n">
        <x:v>1</x:v>
      </x:c>
      <x:c r="K1415" s="1" t="str">
        <x:v>中证官方优先</x:v>
      </x:c>
    </x:row>
    <x:row r="1416" ht="25" customHeight="1">
      <x:c r="A1416" s="1" t="str">
        <x:v>sh000016</x:v>
      </x:c>
      <x:c r="B1416" s="1" t="str">
        <x:v>上证50</x:v>
      </x:c>
      <x:c r="C1416" s="1" t="str">
        <x:v>2007-04</x:v>
      </x:c>
      <x:c r="D1416" s="1" t="str">
        <x:v>2007-03-30</x:v>
      </x:c>
      <x:c r="E1416" s="5" t="n">
        <x:v>2288.26</x:v>
      </x:c>
      <x:c r="F1416" s="6" t="str">
        <x:v>2007-04-30</x:v>
      </x:c>
      <x:c r="G1416" s="5" t="n">
        <x:v>2757.83</x:v>
      </x:c>
      <x:c r="H1416" s="7" t="n">
        <x:f>G1416/E1416-1</x:f>
        <x:v>0.20520832422889002</x:v>
      </x:c>
      <x:c r="I1416" s="1" t="n">
        <x:v>1</x:v>
      </x:c>
      <x:c r="J1416" s="1" t="n">
        <x:v>1</x:v>
      </x:c>
      <x:c r="K1416" s="1" t="str">
        <x:v>中证官方优先</x:v>
      </x:c>
    </x:row>
    <x:row r="1417" ht="25" customHeight="1">
      <x:c r="A1417" s="1" t="str">
        <x:v>sh000016</x:v>
      </x:c>
      <x:c r="B1417" s="1" t="str">
        <x:v>上证50</x:v>
      </x:c>
      <x:c r="C1417" s="1" t="str">
        <x:v>2007-05</x:v>
      </x:c>
      <x:c r="D1417" s="1" t="str">
        <x:v>2007-04-30</x:v>
      </x:c>
      <x:c r="E1417" s="5" t="n">
        <x:v>2757.83</x:v>
      </x:c>
      <x:c r="F1417" s="6" t="str">
        <x:v>2007-05-31</x:v>
      </x:c>
      <x:c r="G1417" s="5" t="n">
        <x:v>2940.37</x:v>
      </x:c>
      <x:c r="H1417" s="7" t="n">
        <x:f>G1417/E1417-1</x:f>
        <x:v>0.06618972162896197</x:v>
      </x:c>
      <x:c r="I1417" s="1" t="n">
        <x:v>1</x:v>
      </x:c>
      <x:c r="J1417" s="1" t="n">
        <x:v>1</x:v>
      </x:c>
      <x:c r="K1417" s="1" t="str">
        <x:v>中证官方优先</x:v>
      </x:c>
    </x:row>
    <x:row r="1418" ht="25" customHeight="1">
      <x:c r="A1418" s="1" t="str">
        <x:v>sh000016</x:v>
      </x:c>
      <x:c r="B1418" s="1" t="str">
        <x:v>上证50</x:v>
      </x:c>
      <x:c r="C1418" s="1" t="str">
        <x:v>2007-06</x:v>
      </x:c>
      <x:c r="D1418" s="1" t="str">
        <x:v>2007-05-31</x:v>
      </x:c>
      <x:c r="E1418" s="5" t="n">
        <x:v>2940.37</x:v>
      </x:c>
      <x:c r="F1418" s="6" t="str">
        <x:v>2007-06-29</x:v>
      </x:c>
      <x:c r="G1418" s="5" t="n">
        <x:v>2915.88</x:v>
      </x:c>
      <x:c r="H1418" s="7" t="n">
        <x:f>G1418/E1418-1</x:f>
        <x:v>-0.00832888377993235</x:v>
      </x:c>
      <x:c r="I1418" s="1" t="n">
        <x:v>1</x:v>
      </x:c>
      <x:c r="J1418" s="1" t="n">
        <x:v>1</x:v>
      </x:c>
      <x:c r="K1418" s="1" t="str">
        <x:v>中证官方优先</x:v>
      </x:c>
    </x:row>
    <x:row r="1419" ht="25" customHeight="1">
      <x:c r="A1419" s="1" t="str">
        <x:v>sh000016</x:v>
      </x:c>
      <x:c r="B1419" s="1" t="str">
        <x:v>上证50</x:v>
      </x:c>
      <x:c r="C1419" s="1" t="str">
        <x:v>2007-07</x:v>
      </x:c>
      <x:c r="D1419" s="1" t="str">
        <x:v>2007-06-29</x:v>
      </x:c>
      <x:c r="E1419" s="5" t="n">
        <x:v>2915.88</x:v>
      </x:c>
      <x:c r="F1419" s="6" t="str">
        <x:v>2007-07-31</x:v>
      </x:c>
      <x:c r="G1419" s="5" t="n">
        <x:v>3391.86</x:v>
      </x:c>
      <x:c r="H1419" s="7" t="n">
        <x:f>G1419/E1419-1</x:f>
        <x:v>0.16323717025391993</x:v>
      </x:c>
      <x:c r="I1419" s="1" t="n">
        <x:v>1</x:v>
      </x:c>
      <x:c r="J1419" s="1" t="n">
        <x:v>1</x:v>
      </x:c>
      <x:c r="K1419" s="1" t="str">
        <x:v>中证官方优先</x:v>
      </x:c>
    </x:row>
    <x:row r="1420" ht="25" customHeight="1">
      <x:c r="A1420" s="1" t="str">
        <x:v>sh000016</x:v>
      </x:c>
      <x:c r="B1420" s="1" t="str">
        <x:v>上证50</x:v>
      </x:c>
      <x:c r="C1420" s="1" t="str">
        <x:v>2007-08</x:v>
      </x:c>
      <x:c r="D1420" s="1" t="str">
        <x:v>2007-07-31</x:v>
      </x:c>
      <x:c r="E1420" s="5" t="n">
        <x:v>3391.86</x:v>
      </x:c>
      <x:c r="F1420" s="6" t="str">
        <x:v>2007-08-31</x:v>
      </x:c>
      <x:c r="G1420" s="5" t="n">
        <x:v>4150.17</x:v>
      </x:c>
      <x:c r="H1420" s="7" t="n">
        <x:f>G1420/E1420-1</x:f>
        <x:v>0.22356760007783327</x:v>
      </x:c>
      <x:c r="I1420" s="1" t="n">
        <x:v>1</x:v>
      </x:c>
      <x:c r="J1420" s="1" t="n">
        <x:v>1</x:v>
      </x:c>
      <x:c r="K1420" s="1" t="str">
        <x:v>中证官方优先</x:v>
      </x:c>
    </x:row>
    <x:row r="1421" ht="25" customHeight="1">
      <x:c r="A1421" s="1" t="str">
        <x:v>sh000016</x:v>
      </x:c>
      <x:c r="B1421" s="1" t="str">
        <x:v>上证50</x:v>
      </x:c>
      <x:c r="C1421" s="1" t="str">
        <x:v>2007-09</x:v>
      </x:c>
      <x:c r="D1421" s="1" t="str">
        <x:v>2007-08-31</x:v>
      </x:c>
      <x:c r="E1421" s="5" t="n">
        <x:v>4150.17</x:v>
      </x:c>
      <x:c r="F1421" s="6" t="str">
        <x:v>2007-09-28</x:v>
      </x:c>
      <x:c r="G1421" s="5" t="n">
        <x:v>4307.42</x:v>
      </x:c>
      <x:c r="H1421" s="7" t="n">
        <x:f>G1421/E1421-1</x:f>
        <x:v>0.03789001414399884</x:v>
      </x:c>
      <x:c r="I1421" s="1" t="n">
        <x:v>1</x:v>
      </x:c>
      <x:c r="J1421" s="1" t="n">
        <x:v>1</x:v>
      </x:c>
      <x:c r="K1421" s="1" t="str">
        <x:v>中证官方优先</x:v>
      </x:c>
    </x:row>
    <x:row r="1422" ht="25" customHeight="1">
      <x:c r="A1422" s="1" t="str">
        <x:v>sh000016</x:v>
      </x:c>
      <x:c r="B1422" s="1" t="str">
        <x:v>上证50</x:v>
      </x:c>
      <x:c r="C1422" s="1" t="str">
        <x:v>2007-10</x:v>
      </x:c>
      <x:c r="D1422" s="1" t="str">
        <x:v>2007-09-28</x:v>
      </x:c>
      <x:c r="E1422" s="5" t="n">
        <x:v>4307.42</x:v>
      </x:c>
      <x:c r="F1422" s="6" t="str">
        <x:v>2007-10-31</x:v>
      </x:c>
      <x:c r="G1422" s="5" t="n">
        <x:v>4627.78</x:v>
      </x:c>
      <x:c r="H1422" s="7" t="n">
        <x:f>G1422/E1422-1</x:f>
        <x:v>0.07437398721276312</x:v>
      </x:c>
      <x:c r="I1422" s="1" t="n">
        <x:v>1</x:v>
      </x:c>
      <x:c r="J1422" s="1" t="n">
        <x:v>1</x:v>
      </x:c>
      <x:c r="K1422" s="1" t="str">
        <x:v>中证官方优先</x:v>
      </x:c>
    </x:row>
    <x:row r="1423" ht="25" customHeight="1">
      <x:c r="A1423" s="1" t="str">
        <x:v>sh000016</x:v>
      </x:c>
      <x:c r="B1423" s="1" t="str">
        <x:v>上证50</x:v>
      </x:c>
      <x:c r="C1423" s="1" t="str">
        <x:v>2007-11</x:v>
      </x:c>
      <x:c r="D1423" s="1" t="str">
        <x:v>2007-10-31</x:v>
      </x:c>
      <x:c r="E1423" s="5" t="n">
        <x:v>4627.78</x:v>
      </x:c>
      <x:c r="F1423" s="6" t="str">
        <x:v>2007-11-30</x:v>
      </x:c>
      <x:c r="G1423" s="5" t="n">
        <x:v>3880.34</x:v>
      </x:c>
      <x:c r="H1423" s="7" t="n">
        <x:f>G1423/E1423-1</x:f>
        <x:v>-0.16151156710128822</x:v>
      </x:c>
      <x:c r="I1423" s="1" t="n">
        <x:v>1</x:v>
      </x:c>
      <x:c r="J1423" s="1" t="n">
        <x:v>1</x:v>
      </x:c>
      <x:c r="K1423" s="1" t="str">
        <x:v>中证官方优先</x:v>
      </x:c>
    </x:row>
    <x:row r="1424" ht="25" customHeight="1">
      <x:c r="A1424" s="1" t="str">
        <x:v>sh000016</x:v>
      </x:c>
      <x:c r="B1424" s="1" t="str">
        <x:v>上证50</x:v>
      </x:c>
      <x:c r="C1424" s="1" t="str">
        <x:v>2007-12</x:v>
      </x:c>
      <x:c r="D1424" s="1" t="str">
        <x:v>2007-11-30</x:v>
      </x:c>
      <x:c r="E1424" s="5" t="n">
        <x:v>3880.34</x:v>
      </x:c>
      <x:c r="F1424" s="6" t="str">
        <x:v>2007-12-28</x:v>
      </x:c>
      <x:c r="G1424" s="5" t="n">
        <x:v>4226.76</x:v>
      </x:c>
      <x:c r="H1424" s="7" t="n">
        <x:f>G1424/E1424-1</x:f>
        <x:v>0.08927568202786351</x:v>
      </x:c>
      <x:c r="I1424" s="1" t="n">
        <x:v>1</x:v>
      </x:c>
      <x:c r="J1424" s="1" t="n">
        <x:v>1</x:v>
      </x:c>
      <x:c r="K1424" s="1" t="str">
        <x:v>中证官方优先</x:v>
      </x:c>
    </x:row>
    <x:row r="1425" ht="25" customHeight="1">
      <x:c r="A1425" s="1" t="str">
        <x:v>sh000016</x:v>
      </x:c>
      <x:c r="B1425" s="1" t="str">
        <x:v>上证50</x:v>
      </x:c>
      <x:c r="C1425" s="1" t="str">
        <x:v>2008-01</x:v>
      </x:c>
      <x:c r="D1425" s="1" t="str">
        <x:v>2007-12-28</x:v>
      </x:c>
      <x:c r="E1425" s="5" t="n">
        <x:v>4226.76</x:v>
      </x:c>
      <x:c r="F1425" s="6" t="str">
        <x:v>2008-01-31</x:v>
      </x:c>
      <x:c r="G1425" s="5" t="n">
        <x:v>3497.92</x:v>
      </x:c>
      <x:c r="H1425" s="7" t="n">
        <x:f>G1425/E1425-1</x:f>
        <x:v>-0.17243467809859092</x:v>
      </x:c>
      <x:c r="I1425" s="1" t="n">
        <x:v>1</x:v>
      </x:c>
      <x:c r="J1425" s="1" t="n">
        <x:v>1</x:v>
      </x:c>
      <x:c r="K1425" s="1" t="str">
        <x:v>中证官方优先</x:v>
      </x:c>
    </x:row>
    <x:row r="1426" ht="25" customHeight="1">
      <x:c r="A1426" s="1" t="str">
        <x:v>sh000016</x:v>
      </x:c>
      <x:c r="B1426" s="1" t="str">
        <x:v>上证50</x:v>
      </x:c>
      <x:c r="C1426" s="1" t="str">
        <x:v>2008-02</x:v>
      </x:c>
      <x:c r="D1426" s="1" t="str">
        <x:v>2008-01-31</x:v>
      </x:c>
      <x:c r="E1426" s="5" t="n">
        <x:v>3497.92</x:v>
      </x:c>
      <x:c r="F1426" s="6" t="str">
        <x:v>2008-02-29</x:v>
      </x:c>
      <x:c r="G1426" s="5" t="n">
        <x:v>3470.6</x:v>
      </x:c>
      <x:c r="H1426" s="7" t="n">
        <x:f>G1426/E1426-1</x:f>
        <x:v>-0.007810355868630547</x:v>
      </x:c>
      <x:c r="I1426" s="1" t="n">
        <x:v>1</x:v>
      </x:c>
      <x:c r="J1426" s="1" t="n">
        <x:v>1</x:v>
      </x:c>
      <x:c r="K1426" s="1" t="str">
        <x:v>中证官方优先</x:v>
      </x:c>
    </x:row>
    <x:row r="1427" ht="25" customHeight="1">
      <x:c r="A1427" s="1" t="str">
        <x:v>sh000016</x:v>
      </x:c>
      <x:c r="B1427" s="1" t="str">
        <x:v>上证50</x:v>
      </x:c>
      <x:c r="C1427" s="1" t="str">
        <x:v>2008-03</x:v>
      </x:c>
      <x:c r="D1427" s="1" t="str">
        <x:v>2008-02-29</x:v>
      </x:c>
      <x:c r="E1427" s="5" t="n">
        <x:v>3470.6</x:v>
      </x:c>
      <x:c r="F1427" s="6" t="str">
        <x:v>2008-03-31</x:v>
      </x:c>
      <x:c r="G1427" s="5" t="n">
        <x:v>2823.98</x:v>
      </x:c>
      <x:c r="H1427" s="7" t="n">
        <x:f>G1427/E1427-1</x:f>
        <x:v>-0.18631360571659072</x:v>
      </x:c>
      <x:c r="I1427" s="1" t="n">
        <x:v>1</x:v>
      </x:c>
      <x:c r="J1427" s="1" t="n">
        <x:v>1</x:v>
      </x:c>
      <x:c r="K1427" s="1" t="str">
        <x:v>中证官方优先</x:v>
      </x:c>
    </x:row>
    <x:row r="1428" ht="25" customHeight="1">
      <x:c r="A1428" s="1" t="str">
        <x:v>sh000016</x:v>
      </x:c>
      <x:c r="B1428" s="1" t="str">
        <x:v>上证50</x:v>
      </x:c>
      <x:c r="C1428" s="1" t="str">
        <x:v>2008-04</x:v>
      </x:c>
      <x:c r="D1428" s="1" t="str">
        <x:v>2008-03-31</x:v>
      </x:c>
      <x:c r="E1428" s="5" t="n">
        <x:v>2823.98</x:v>
      </x:c>
      <x:c r="F1428" s="6" t="str">
        <x:v>2008-04-30</x:v>
      </x:c>
      <x:c r="G1428" s="5" t="n">
        <x:v>3125.53</x:v>
      </x:c>
      <x:c r="H1428" s="7" t="n">
        <x:f>G1428/E1428-1</x:f>
        <x:v>0.10678191771896417</x:v>
      </x:c>
      <x:c r="I1428" s="1" t="n">
        <x:v>1</x:v>
      </x:c>
      <x:c r="J1428" s="1" t="n">
        <x:v>1</x:v>
      </x:c>
      <x:c r="K1428" s="1" t="str">
        <x:v>中证官方优先</x:v>
      </x:c>
    </x:row>
    <x:row r="1429" ht="25" customHeight="1">
      <x:c r="A1429" s="1" t="str">
        <x:v>sh000016</x:v>
      </x:c>
      <x:c r="B1429" s="1" t="str">
        <x:v>上证50</x:v>
      </x:c>
      <x:c r="C1429" s="1" t="str">
        <x:v>2008-05</x:v>
      </x:c>
      <x:c r="D1429" s="1" t="str">
        <x:v>2008-04-30</x:v>
      </x:c>
      <x:c r="E1429" s="5" t="n">
        <x:v>3125.53</x:v>
      </x:c>
      <x:c r="F1429" s="6" t="str">
        <x:v>2008-05-30</x:v>
      </x:c>
      <x:c r="G1429" s="5" t="n">
        <x:v>2800.79</x:v>
      </x:c>
      <x:c r="H1429" s="7" t="n">
        <x:f>G1429/E1429-1</x:f>
        <x:v>-0.10389917869929266</x:v>
      </x:c>
      <x:c r="I1429" s="1" t="n">
        <x:v>1</x:v>
      </x:c>
      <x:c r="J1429" s="1" t="n">
        <x:v>1</x:v>
      </x:c>
      <x:c r="K1429" s="1" t="str">
        <x:v>中证官方优先</x:v>
      </x:c>
    </x:row>
    <x:row r="1430" ht="25" customHeight="1">
      <x:c r="A1430" s="1" t="str">
        <x:v>sh000016</x:v>
      </x:c>
      <x:c r="B1430" s="1" t="str">
        <x:v>上证50</x:v>
      </x:c>
      <x:c r="C1430" s="1" t="str">
        <x:v>2008-06</x:v>
      </x:c>
      <x:c r="D1430" s="1" t="str">
        <x:v>2008-05-30</x:v>
      </x:c>
      <x:c r="E1430" s="5" t="n">
        <x:v>2800.79</x:v>
      </x:c>
      <x:c r="F1430" s="6" t="str">
        <x:v>2008-06-30</x:v>
      </x:c>
      <x:c r="G1430" s="5" t="n">
        <x:v>2175.61</x:v>
      </x:c>
      <x:c r="H1430" s="7" t="n">
        <x:f>G1430/E1430-1</x:f>
        <x:v>-0.2232155927434759</x:v>
      </x:c>
      <x:c r="I1430" s="1" t="n">
        <x:v>1</x:v>
      </x:c>
      <x:c r="J1430" s="1" t="n">
        <x:v>1</x:v>
      </x:c>
      <x:c r="K1430" s="1" t="str">
        <x:v>中证官方优先</x:v>
      </x:c>
    </x:row>
    <x:row r="1431" ht="25" customHeight="1">
      <x:c r="A1431" s="1" t="str">
        <x:v>sh000016</x:v>
      </x:c>
      <x:c r="B1431" s="1" t="str">
        <x:v>上证50</x:v>
      </x:c>
      <x:c r="C1431" s="1" t="str">
        <x:v>2008-07</x:v>
      </x:c>
      <x:c r="D1431" s="1" t="str">
        <x:v>2008-06-30</x:v>
      </x:c>
      <x:c r="E1431" s="5" t="n">
        <x:v>2175.61</x:v>
      </x:c>
      <x:c r="F1431" s="6" t="str">
        <x:v>2008-07-31</x:v>
      </x:c>
      <x:c r="G1431" s="5" t="n">
        <x:v>2164.08</x:v>
      </x:c>
      <x:c r="H1431" s="7" t="n">
        <x:f>G1431/E1431-1</x:f>
        <x:v>-0.005299663082997452</x:v>
      </x:c>
      <x:c r="I1431" s="1" t="n">
        <x:v>1</x:v>
      </x:c>
      <x:c r="J1431" s="1" t="n">
        <x:v>1</x:v>
      </x:c>
      <x:c r="K1431" s="1" t="str">
        <x:v>中证官方优先</x:v>
      </x:c>
    </x:row>
    <x:row r="1432" ht="25" customHeight="1">
      <x:c r="A1432" s="1" t="str">
        <x:v>sh000016</x:v>
      </x:c>
      <x:c r="B1432" s="1" t="str">
        <x:v>上证50</x:v>
      </x:c>
      <x:c r="C1432" s="1" t="str">
        <x:v>2008-08</x:v>
      </x:c>
      <x:c r="D1432" s="1" t="str">
        <x:v>2008-07-31</x:v>
      </x:c>
      <x:c r="E1432" s="5" t="n">
        <x:v>2164.08</x:v>
      </x:c>
      <x:c r="F1432" s="6" t="str">
        <x:v>2008-08-29</x:v>
      </x:c>
      <x:c r="G1432" s="5" t="n">
        <x:v>1975.45</x:v>
      </x:c>
      <x:c r="H1432" s="7" t="n">
        <x:f>G1432/E1432-1</x:f>
        <x:v>-0.08716406047835568</x:v>
      </x:c>
      <x:c r="I1432" s="1" t="n">
        <x:v>1</x:v>
      </x:c>
      <x:c r="J1432" s="1" t="n">
        <x:v>1</x:v>
      </x:c>
      <x:c r="K1432" s="1" t="str">
        <x:v>中证官方优先</x:v>
      </x:c>
    </x:row>
    <x:row r="1433" ht="25" customHeight="1">
      <x:c r="A1433" s="1" t="str">
        <x:v>sh000016</x:v>
      </x:c>
      <x:c r="B1433" s="1" t="str">
        <x:v>上证50</x:v>
      </x:c>
      <x:c r="C1433" s="1" t="str">
        <x:v>2008-09</x:v>
      </x:c>
      <x:c r="D1433" s="1" t="str">
        <x:v>2008-08-29</x:v>
      </x:c>
      <x:c r="E1433" s="5" t="n">
        <x:v>1975.45</x:v>
      </x:c>
      <x:c r="F1433" s="6" t="str">
        <x:v>2008-09-26</x:v>
      </x:c>
      <x:c r="G1433" s="5" t="n">
        <x:v>1811.34</x:v>
      </x:c>
      <x:c r="H1433" s="7" t="n">
        <x:f>G1433/E1433-1</x:f>
        <x:v>-0.08307474246374247</x:v>
      </x:c>
      <x:c r="I1433" s="1" t="n">
        <x:v>1</x:v>
      </x:c>
      <x:c r="J1433" s="1" t="n">
        <x:v>1</x:v>
      </x:c>
      <x:c r="K1433" s="1" t="str">
        <x:v>中证官方优先</x:v>
      </x:c>
    </x:row>
    <x:row r="1434" ht="25" customHeight="1">
      <x:c r="A1434" s="1" t="str">
        <x:v>sh000016</x:v>
      </x:c>
      <x:c r="B1434" s="1" t="str">
        <x:v>上证50</x:v>
      </x:c>
      <x:c r="C1434" s="1" t="str">
        <x:v>2008-10</x:v>
      </x:c>
      <x:c r="D1434" s="1" t="str">
        <x:v>2008-09-26</x:v>
      </x:c>
      <x:c r="E1434" s="5" t="n">
        <x:v>1811.34</x:v>
      </x:c>
      <x:c r="F1434" s="6" t="str">
        <x:v>2008-10-31</x:v>
      </x:c>
      <x:c r="G1434" s="5" t="n">
        <x:v>1327.71</x:v>
      </x:c>
      <x:c r="H1434" s="7" t="n">
        <x:f>G1434/E1434-1</x:f>
        <x:v>-0.2670012256119778</x:v>
      </x:c>
      <x:c r="I1434" s="1" t="n">
        <x:v>1</x:v>
      </x:c>
      <x:c r="J1434" s="1" t="n">
        <x:v>1</x:v>
      </x:c>
      <x:c r="K1434" s="1" t="str">
        <x:v>中证官方优先</x:v>
      </x:c>
    </x:row>
    <x:row r="1435" ht="25" customHeight="1">
      <x:c r="A1435" s="1" t="str">
        <x:v>sh000016</x:v>
      </x:c>
      <x:c r="B1435" s="1" t="str">
        <x:v>上证50</x:v>
      </x:c>
      <x:c r="C1435" s="1" t="str">
        <x:v>2008-11</x:v>
      </x:c>
      <x:c r="D1435" s="1" t="str">
        <x:v>2008-10-31</x:v>
      </x:c>
      <x:c r="E1435" s="5" t="n">
        <x:v>1327.71</x:v>
      </x:c>
      <x:c r="F1435" s="6" t="str">
        <x:v>2008-11-28</x:v>
      </x:c>
      <x:c r="G1435" s="5" t="n">
        <x:v>1411.17</x:v>
      </x:c>
      <x:c r="H1435" s="7" t="n">
        <x:f>G1435/E1435-1</x:f>
        <x:v>0.06286011252457246</x:v>
      </x:c>
      <x:c r="I1435" s="1" t="n">
        <x:v>1</x:v>
      </x:c>
      <x:c r="J1435" s="1" t="n">
        <x:v>1</x:v>
      </x:c>
      <x:c r="K1435" s="1" t="str">
        <x:v>中证官方优先</x:v>
      </x:c>
    </x:row>
    <x:row r="1436" ht="25" customHeight="1">
      <x:c r="A1436" s="1" t="str">
        <x:v>sh000016</x:v>
      </x:c>
      <x:c r="B1436" s="1" t="str">
        <x:v>上证50</x:v>
      </x:c>
      <x:c r="C1436" s="1" t="str">
        <x:v>2008-12</x:v>
      </x:c>
      <x:c r="D1436" s="1" t="str">
        <x:v>2008-11-28</x:v>
      </x:c>
      <x:c r="E1436" s="5" t="n">
        <x:v>1411.17</x:v>
      </x:c>
      <x:c r="F1436" s="6" t="str">
        <x:v>2008-12-31</x:v>
      </x:c>
      <x:c r="G1436" s="5" t="n">
        <x:v>1384.91</x:v>
      </x:c>
      <x:c r="H1436" s="7" t="n">
        <x:f>G1436/E1436-1</x:f>
        <x:v>-0.01860867223651297</x:v>
      </x:c>
      <x:c r="I1436" s="1" t="n">
        <x:v>1</x:v>
      </x:c>
      <x:c r="J1436" s="1" t="n">
        <x:v>1</x:v>
      </x:c>
      <x:c r="K1436" s="1" t="str">
        <x:v>中证官方优先</x:v>
      </x:c>
    </x:row>
    <x:row r="1437" ht="25" customHeight="1">
      <x:c r="A1437" s="1" t="str">
        <x:v>sh000016</x:v>
      </x:c>
      <x:c r="B1437" s="1" t="str">
        <x:v>上证50</x:v>
      </x:c>
      <x:c r="C1437" s="1" t="str">
        <x:v>2009-01</x:v>
      </x:c>
      <x:c r="D1437" s="1" t="str">
        <x:v>2008-12-31</x:v>
      </x:c>
      <x:c r="E1437" s="5" t="n">
        <x:v>1384.91</x:v>
      </x:c>
      <x:c r="F1437" s="6" t="str">
        <x:v>2009-01-23</x:v>
      </x:c>
      <x:c r="G1437" s="5" t="n">
        <x:v>1538.27</x:v>
      </x:c>
      <x:c r="H1437" s="7" t="n">
        <x:f>G1437/E1437-1</x:f>
        <x:v>0.11073643774685715</x:v>
      </x:c>
      <x:c r="I1437" s="1" t="n">
        <x:v>1</x:v>
      </x:c>
      <x:c r="J1437" s="1" t="n">
        <x:v>1</x:v>
      </x:c>
      <x:c r="K1437" s="1" t="str">
        <x:v>中证官方优先</x:v>
      </x:c>
    </x:row>
    <x:row r="1438" ht="25" customHeight="1">
      <x:c r="A1438" s="1" t="str">
        <x:v>sh000016</x:v>
      </x:c>
      <x:c r="B1438" s="1" t="str">
        <x:v>上证50</x:v>
      </x:c>
      <x:c r="C1438" s="1" t="str">
        <x:v>2009-02</x:v>
      </x:c>
      <x:c r="D1438" s="1" t="str">
        <x:v>2009-01-23</x:v>
      </x:c>
      <x:c r="E1438" s="5" t="n">
        <x:v>1538.27</x:v>
      </x:c>
      <x:c r="F1438" s="6" t="str">
        <x:v>2009-02-27</x:v>
      </x:c>
      <x:c r="G1438" s="5" t="n">
        <x:v>1592.01</x:v>
      </x:c>
      <x:c r="H1438" s="7" t="n">
        <x:f>G1438/E1438-1</x:f>
        <x:v>0.034935349451006736</x:v>
      </x:c>
      <x:c r="I1438" s="1" t="n">
        <x:v>1</x:v>
      </x:c>
      <x:c r="J1438" s="1" t="n">
        <x:v>1</x:v>
      </x:c>
      <x:c r="K1438" s="1" t="str">
        <x:v>中证官方优先</x:v>
      </x:c>
    </x:row>
    <x:row r="1439" ht="25" customHeight="1">
      <x:c r="A1439" s="1" t="str">
        <x:v>sh000016</x:v>
      </x:c>
      <x:c r="B1439" s="1" t="str">
        <x:v>上证50</x:v>
      </x:c>
      <x:c r="C1439" s="1" t="str">
        <x:v>2009-03</x:v>
      </x:c>
      <x:c r="D1439" s="1" t="str">
        <x:v>2009-02-27</x:v>
      </x:c>
      <x:c r="E1439" s="5" t="n">
        <x:v>1592.01</x:v>
      </x:c>
      <x:c r="F1439" s="6" t="str">
        <x:v>2009-03-31</x:v>
      </x:c>
      <x:c r="G1439" s="5" t="n">
        <x:v>1830.28</x:v>
      </x:c>
      <x:c r="H1439" s="7" t="n">
        <x:f>G1439/E1439-1</x:f>
        <x:v>0.14966614531315758</x:v>
      </x:c>
      <x:c r="I1439" s="1" t="n">
        <x:v>1</x:v>
      </x:c>
      <x:c r="J1439" s="1" t="n">
        <x:v>1</x:v>
      </x:c>
      <x:c r="K1439" s="1" t="str">
        <x:v>中证官方优先</x:v>
      </x:c>
    </x:row>
    <x:row r="1440" ht="25" customHeight="1">
      <x:c r="A1440" s="1" t="str">
        <x:v>sh000016</x:v>
      </x:c>
      <x:c r="B1440" s="1" t="str">
        <x:v>上证50</x:v>
      </x:c>
      <x:c r="C1440" s="1" t="str">
        <x:v>2009-04</x:v>
      </x:c>
      <x:c r="D1440" s="1" t="str">
        <x:v>2009-03-31</x:v>
      </x:c>
      <x:c r="E1440" s="5" t="n">
        <x:v>1830.28</x:v>
      </x:c>
      <x:c r="F1440" s="6" t="str">
        <x:v>2009-04-30</x:v>
      </x:c>
      <x:c r="G1440" s="5" t="n">
        <x:v>1895.7</x:v>
      </x:c>
      <x:c r="H1440" s="7" t="n">
        <x:f>G1440/E1440-1</x:f>
        <x:v>0.035743164980221565</x:v>
      </x:c>
      <x:c r="I1440" s="1" t="n">
        <x:v>1</x:v>
      </x:c>
      <x:c r="J1440" s="1" t="n">
        <x:v>1</x:v>
      </x:c>
      <x:c r="K1440" s="1" t="str">
        <x:v>中证官方优先</x:v>
      </x:c>
    </x:row>
    <x:row r="1441" ht="25" customHeight="1">
      <x:c r="A1441" s="1" t="str">
        <x:v>sh000016</x:v>
      </x:c>
      <x:c r="B1441" s="1" t="str">
        <x:v>上证50</x:v>
      </x:c>
      <x:c r="C1441" s="1" t="str">
        <x:v>2009-05</x:v>
      </x:c>
      <x:c r="D1441" s="1" t="str">
        <x:v>2009-04-30</x:v>
      </x:c>
      <x:c r="E1441" s="5" t="n">
        <x:v>1895.7</x:v>
      </x:c>
      <x:c r="F1441" s="6" t="str">
        <x:v>2009-05-27</x:v>
      </x:c>
      <x:c r="G1441" s="5" t="n">
        <x:v>1991.29</x:v>
      </x:c>
      <x:c r="H1441" s="7" t="n">
        <x:f>G1441/E1441-1</x:f>
        <x:v>0.05042464524977586</x:v>
      </x:c>
      <x:c r="I1441" s="1" t="n">
        <x:v>1</x:v>
      </x:c>
      <x:c r="J1441" s="1" t="n">
        <x:v>1</x:v>
      </x:c>
      <x:c r="K1441" s="1" t="str">
        <x:v>中证官方优先</x:v>
      </x:c>
    </x:row>
    <x:row r="1442" ht="25" customHeight="1">
      <x:c r="A1442" s="1" t="str">
        <x:v>sh000016</x:v>
      </x:c>
      <x:c r="B1442" s="1" t="str">
        <x:v>上证50</x:v>
      </x:c>
      <x:c r="C1442" s="1" t="str">
        <x:v>2009-06</x:v>
      </x:c>
      <x:c r="D1442" s="1" t="str">
        <x:v>2009-05-27</x:v>
      </x:c>
      <x:c r="E1442" s="5" t="n">
        <x:v>1991.29</x:v>
      </x:c>
      <x:c r="F1442" s="6" t="str">
        <x:v>2009-06-30</x:v>
      </x:c>
      <x:c r="G1442" s="5" t="n">
        <x:v>2380.9</x:v>
      </x:c>
      <x:c r="H1442" s="7" t="n">
        <x:f>G1442/E1442-1</x:f>
        <x:v>0.19565708661219627</x:v>
      </x:c>
      <x:c r="I1442" s="1" t="n">
        <x:v>1</x:v>
      </x:c>
      <x:c r="J1442" s="1" t="n">
        <x:v>1</x:v>
      </x:c>
      <x:c r="K1442" s="1" t="str">
        <x:v>中证官方优先</x:v>
      </x:c>
    </x:row>
    <x:row r="1443" ht="25" customHeight="1">
      <x:c r="A1443" s="1" t="str">
        <x:v>sh000016</x:v>
      </x:c>
      <x:c r="B1443" s="1" t="str">
        <x:v>上证50</x:v>
      </x:c>
      <x:c r="C1443" s="1" t="str">
        <x:v>2009-07</x:v>
      </x:c>
      <x:c r="D1443" s="1" t="str">
        <x:v>2009-06-30</x:v>
      </x:c>
      <x:c r="E1443" s="5" t="n">
        <x:v>2380.9</x:v>
      </x:c>
      <x:c r="F1443" s="6" t="str">
        <x:v>2009-07-31</x:v>
      </x:c>
      <x:c r="G1443" s="5" t="n">
        <x:v>2816.89</x:v>
      </x:c>
      <x:c r="H1443" s="7" t="n">
        <x:f>G1443/E1443-1</x:f>
        <x:v>0.1831198286362299</x:v>
      </x:c>
      <x:c r="I1443" s="1" t="n">
        <x:v>1</x:v>
      </x:c>
      <x:c r="J1443" s="1" t="n">
        <x:v>1</x:v>
      </x:c>
      <x:c r="K1443" s="1" t="str">
        <x:v>中证官方优先</x:v>
      </x:c>
    </x:row>
    <x:row r="1444" ht="25" customHeight="1">
      <x:c r="A1444" s="1" t="str">
        <x:v>sh000016</x:v>
      </x:c>
      <x:c r="B1444" s="1" t="str">
        <x:v>上证50</x:v>
      </x:c>
      <x:c r="C1444" s="1" t="str">
        <x:v>2009-08</x:v>
      </x:c>
      <x:c r="D1444" s="1" t="str">
        <x:v>2009-07-31</x:v>
      </x:c>
      <x:c r="E1444" s="5" t="n">
        <x:v>2816.89</x:v>
      </x:c>
      <x:c r="F1444" s="6" t="str">
        <x:v>2009-08-31</x:v>
      </x:c>
      <x:c r="G1444" s="5" t="n">
        <x:v>2046.59</x:v>
      </x:c>
      <x:c r="H1444" s="7" t="n">
        <x:f>G1444/E1444-1</x:f>
        <x:v>-0.2734576075033104</x:v>
      </x:c>
      <x:c r="I1444" s="1" t="n">
        <x:v>1</x:v>
      </x:c>
      <x:c r="J1444" s="1" t="n">
        <x:v>1</x:v>
      </x:c>
      <x:c r="K1444" s="1" t="str">
        <x:v>中证官方优先</x:v>
      </x:c>
    </x:row>
    <x:row r="1445" ht="25" customHeight="1">
      <x:c r="A1445" s="1" t="str">
        <x:v>sh000016</x:v>
      </x:c>
      <x:c r="B1445" s="1" t="str">
        <x:v>上证50</x:v>
      </x:c>
      <x:c r="C1445" s="1" t="str">
        <x:v>2009-09</x:v>
      </x:c>
      <x:c r="D1445" s="1" t="str">
        <x:v>2009-08-31</x:v>
      </x:c>
      <x:c r="E1445" s="5" t="n">
        <x:v>2046.59</x:v>
      </x:c>
      <x:c r="F1445" s="6" t="str">
        <x:v>2009-09-30</x:v>
      </x:c>
      <x:c r="G1445" s="5" t="n">
        <x:v>2198.41</x:v>
      </x:c>
      <x:c r="H1445" s="7" t="n">
        <x:f>G1445/E1445-1</x:f>
        <x:v>0.0741819318964716</x:v>
      </x:c>
      <x:c r="I1445" s="1" t="n">
        <x:v>1</x:v>
      </x:c>
      <x:c r="J1445" s="1" t="n">
        <x:v>1</x:v>
      </x:c>
      <x:c r="K1445" s="1" t="str">
        <x:v>中证官方优先</x:v>
      </x:c>
    </x:row>
    <x:row r="1446" ht="25" customHeight="1">
      <x:c r="A1446" s="1" t="str">
        <x:v>sh000016</x:v>
      </x:c>
      <x:c r="B1446" s="1" t="str">
        <x:v>上证50</x:v>
      </x:c>
      <x:c r="C1446" s="1" t="str">
        <x:v>2009-10</x:v>
      </x:c>
      <x:c r="D1446" s="1" t="str">
        <x:v>2009-09-30</x:v>
      </x:c>
      <x:c r="E1446" s="5" t="n">
        <x:v>2198.41</x:v>
      </x:c>
      <x:c r="F1446" s="6" t="str">
        <x:v>2009-10-30</x:v>
      </x:c>
      <x:c r="G1446" s="5" t="n">
        <x:v>2376.03</x:v>
      </x:c>
      <x:c r="H1446" s="7" t="n">
        <x:f>G1446/E1446-1</x:f>
        <x:v>0.0807947562101703</x:v>
      </x:c>
      <x:c r="I1446" s="1" t="n">
        <x:v>1</x:v>
      </x:c>
      <x:c r="J1446" s="1" t="n">
        <x:v>1</x:v>
      </x:c>
      <x:c r="K1446" s="1" t="str">
        <x:v>中证官方优先</x:v>
      </x:c>
    </x:row>
    <x:row r="1447" ht="25" customHeight="1">
      <x:c r="A1447" s="1" t="str">
        <x:v>sh000016</x:v>
      </x:c>
      <x:c r="B1447" s="1" t="str">
        <x:v>上证50</x:v>
      </x:c>
      <x:c r="C1447" s="1" t="str">
        <x:v>2009-11</x:v>
      </x:c>
      <x:c r="D1447" s="1" t="str">
        <x:v>2009-10-30</x:v>
      </x:c>
      <x:c r="E1447" s="5" t="n">
        <x:v>2376.03</x:v>
      </x:c>
      <x:c r="F1447" s="6" t="str">
        <x:v>2009-11-30</x:v>
      </x:c>
      <x:c r="G1447" s="5" t="n">
        <x:v>2467.48</x:v>
      </x:c>
      <x:c r="H1447" s="7" t="n">
        <x:f>G1447/E1447-1</x:f>
        <x:v>0.03848857127224825</x:v>
      </x:c>
      <x:c r="I1447" s="1" t="n">
        <x:v>1</x:v>
      </x:c>
      <x:c r="J1447" s="1" t="n">
        <x:v>1</x:v>
      </x:c>
      <x:c r="K1447" s="1" t="str">
        <x:v>中证官方优先</x:v>
      </x:c>
    </x:row>
    <x:row r="1448" ht="25" customHeight="1">
      <x:c r="A1448" s="1" t="str">
        <x:v>sh000016</x:v>
      </x:c>
      <x:c r="B1448" s="1" t="str">
        <x:v>上证50</x:v>
      </x:c>
      <x:c r="C1448" s="1" t="str">
        <x:v>2009-12</x:v>
      </x:c>
      <x:c r="D1448" s="1" t="str">
        <x:v>2009-11-30</x:v>
      </x:c>
      <x:c r="E1448" s="5" t="n">
        <x:v>2467.48</x:v>
      </x:c>
      <x:c r="F1448" s="6" t="str">
        <x:v>2009-12-31</x:v>
      </x:c>
      <x:c r="G1448" s="5" t="n">
        <x:v>2553.8</x:v>
      </x:c>
      <x:c r="H1448" s="7" t="n">
        <x:f>G1448/E1448-1</x:f>
        <x:v>0.03498305963979442</x:v>
      </x:c>
      <x:c r="I1448" s="1" t="n">
        <x:v>1</x:v>
      </x:c>
      <x:c r="J1448" s="1" t="n">
        <x:v>1</x:v>
      </x:c>
      <x:c r="K1448" s="1" t="str">
        <x:v>中证官方优先</x:v>
      </x:c>
    </x:row>
    <x:row r="1449" ht="25" customHeight="1">
      <x:c r="A1449" s="1" t="str">
        <x:v>sh000016</x:v>
      </x:c>
      <x:c r="B1449" s="1" t="str">
        <x:v>上证50</x:v>
      </x:c>
      <x:c r="C1449" s="1" t="str">
        <x:v>2010-01</x:v>
      </x:c>
      <x:c r="D1449" s="1" t="str">
        <x:v>2009-12-31</x:v>
      </x:c>
      <x:c r="E1449" s="5" t="n">
        <x:v>2553.8</x:v>
      </x:c>
      <x:c r="F1449" s="6" t="str">
        <x:v>2010-01-29</x:v>
      </x:c>
      <x:c r="G1449" s="5" t="n">
        <x:v>2243.99</x:v>
      </x:c>
      <x:c r="H1449" s="7" t="n">
        <x:f>G1449/E1449-1</x:f>
        <x:v>-0.12131333698801805</x:v>
      </x:c>
      <x:c r="I1449" s="1" t="n">
        <x:v>1</x:v>
      </x:c>
      <x:c r="J1449" s="1" t="n">
        <x:v>1</x:v>
      </x:c>
      <x:c r="K1449" s="1" t="str">
        <x:v>中证官方优先</x:v>
      </x:c>
    </x:row>
    <x:row r="1450" ht="25" customHeight="1">
      <x:c r="A1450" s="1" t="str">
        <x:v>sh000016</x:v>
      </x:c>
      <x:c r="B1450" s="1" t="str">
        <x:v>上证50</x:v>
      </x:c>
      <x:c r="C1450" s="1" t="str">
        <x:v>2010-02</x:v>
      </x:c>
      <x:c r="D1450" s="1" t="str">
        <x:v>2010-01-29</x:v>
      </x:c>
      <x:c r="E1450" s="5" t="n">
        <x:v>2243.99</x:v>
      </x:c>
      <x:c r="F1450" s="6" t="str">
        <x:v>2010-02-26</x:v>
      </x:c>
      <x:c r="G1450" s="5" t="n">
        <x:v>2274.33</x:v>
      </x:c>
      <x:c r="H1450" s="7" t="n">
        <x:f>G1450/E1450-1</x:f>
        <x:v>0.013520559360781448</x:v>
      </x:c>
      <x:c r="I1450" s="1" t="n">
        <x:v>1</x:v>
      </x:c>
      <x:c r="J1450" s="1" t="n">
        <x:v>1</x:v>
      </x:c>
      <x:c r="K1450" s="1" t="str">
        <x:v>中证官方优先</x:v>
      </x:c>
    </x:row>
    <x:row r="1451" ht="25" customHeight="1">
      <x:c r="A1451" s="1" t="str">
        <x:v>sh000016</x:v>
      </x:c>
      <x:c r="B1451" s="1" t="str">
        <x:v>上证50</x:v>
      </x:c>
      <x:c r="C1451" s="1" t="str">
        <x:v>2010-03</x:v>
      </x:c>
      <x:c r="D1451" s="1" t="str">
        <x:v>2010-02-26</x:v>
      </x:c>
      <x:c r="E1451" s="5" t="n">
        <x:v>2274.33</x:v>
      </x:c>
      <x:c r="F1451" s="6" t="str">
        <x:v>2010-03-31</x:v>
      </x:c>
      <x:c r="G1451" s="5" t="n">
        <x:v>2350.82</x:v>
      </x:c>
      <x:c r="H1451" s="7" t="n">
        <x:f>G1451/E1451-1</x:f>
        <x:v>0.03363188279625229</x:v>
      </x:c>
      <x:c r="I1451" s="1" t="n">
        <x:v>1</x:v>
      </x:c>
      <x:c r="J1451" s="1" t="n">
        <x:v>1</x:v>
      </x:c>
      <x:c r="K1451" s="1" t="str">
        <x:v>中证官方优先</x:v>
      </x:c>
    </x:row>
    <x:row r="1452" ht="25" customHeight="1">
      <x:c r="A1452" s="1" t="str">
        <x:v>sh000016</x:v>
      </x:c>
      <x:c r="B1452" s="1" t="str">
        <x:v>上证50</x:v>
      </x:c>
      <x:c r="C1452" s="1" t="str">
        <x:v>2010-04</x:v>
      </x:c>
      <x:c r="D1452" s="1" t="str">
        <x:v>2010-03-31</x:v>
      </x:c>
      <x:c r="E1452" s="5" t="n">
        <x:v>2350.82</x:v>
      </x:c>
      <x:c r="F1452" s="6" t="str">
        <x:v>2010-04-30</x:v>
      </x:c>
      <x:c r="G1452" s="5" t="n">
        <x:v>2149.45</x:v>
      </x:c>
      <x:c r="H1452" s="7" t="n">
        <x:f>G1452/E1452-1</x:f>
        <x:v>-0.0856594720140208</x:v>
      </x:c>
      <x:c r="I1452" s="1" t="n">
        <x:v>1</x:v>
      </x:c>
      <x:c r="J1452" s="1" t="n">
        <x:v>1</x:v>
      </x:c>
      <x:c r="K1452" s="1" t="str">
        <x:v>中证官方优先</x:v>
      </x:c>
    </x:row>
    <x:row r="1453" ht="25" customHeight="1">
      <x:c r="A1453" s="1" t="str">
        <x:v>sh000016</x:v>
      </x:c>
      <x:c r="B1453" s="1" t="str">
        <x:v>上证50</x:v>
      </x:c>
      <x:c r="C1453" s="1" t="str">
        <x:v>2010-05</x:v>
      </x:c>
      <x:c r="D1453" s="1" t="str">
        <x:v>2010-04-30</x:v>
      </x:c>
      <x:c r="E1453" s="5" t="n">
        <x:v>2149.45</x:v>
      </x:c>
      <x:c r="F1453" s="6" t="str">
        <x:v>2010-05-31</x:v>
      </x:c>
      <x:c r="G1453" s="5" t="n">
        <x:v>1926.11</x:v>
      </x:c>
      <x:c r="H1453" s="7" t="n">
        <x:f>G1453/E1453-1</x:f>
        <x:v>-0.10390565028263044</x:v>
      </x:c>
      <x:c r="I1453" s="1" t="n">
        <x:v>1</x:v>
      </x:c>
      <x:c r="J1453" s="1" t="n">
        <x:v>1</x:v>
      </x:c>
      <x:c r="K1453" s="1" t="str">
        <x:v>中证官方优先</x:v>
      </x:c>
    </x:row>
    <x:row r="1454" ht="25" customHeight="1">
      <x:c r="A1454" s="1" t="str">
        <x:v>sh000016</x:v>
      </x:c>
      <x:c r="B1454" s="1" t="str">
        <x:v>上证50</x:v>
      </x:c>
      <x:c r="C1454" s="1" t="str">
        <x:v>2010-06</x:v>
      </x:c>
      <x:c r="D1454" s="1" t="str">
        <x:v>2010-05-31</x:v>
      </x:c>
      <x:c r="E1454" s="5" t="n">
        <x:v>1926.11</x:v>
      </x:c>
      <x:c r="F1454" s="6" t="str">
        <x:v>2010-06-30</x:v>
      </x:c>
      <x:c r="G1454" s="5" t="n">
        <x:v>1819.11</x:v>
      </x:c>
      <x:c r="H1454" s="7" t="n">
        <x:f>G1454/E1454-1</x:f>
        <x:v>-0.055552382781876464</x:v>
      </x:c>
      <x:c r="I1454" s="1" t="n">
        <x:v>1</x:v>
      </x:c>
      <x:c r="J1454" s="1" t="n">
        <x:v>1</x:v>
      </x:c>
      <x:c r="K1454" s="1" t="str">
        <x:v>中证官方优先</x:v>
      </x:c>
    </x:row>
    <x:row r="1455" ht="25" customHeight="1">
      <x:c r="A1455" s="1" t="str">
        <x:v>sh000016</x:v>
      </x:c>
      <x:c r="B1455" s="1" t="str">
        <x:v>上证50</x:v>
      </x:c>
      <x:c r="C1455" s="1" t="str">
        <x:v>2010-07</x:v>
      </x:c>
      <x:c r="D1455" s="1" t="str">
        <x:v>2010-06-30</x:v>
      </x:c>
      <x:c r="E1455" s="5" t="n">
        <x:v>1819.11</x:v>
      </x:c>
      <x:c r="F1455" s="6" t="str">
        <x:v>2010-07-30</x:v>
      </x:c>
      <x:c r="G1455" s="5" t="n">
        <x:v>1986.76</x:v>
      </x:c>
      <x:c r="H1455" s="7" t="n">
        <x:f>G1455/E1455-1</x:f>
        <x:v>0.09216045208920853</x:v>
      </x:c>
      <x:c r="I1455" s="1" t="n">
        <x:v>1</x:v>
      </x:c>
      <x:c r="J1455" s="1" t="n">
        <x:v>1</x:v>
      </x:c>
      <x:c r="K1455" s="1" t="str">
        <x:v>中证官方优先</x:v>
      </x:c>
    </x:row>
    <x:row r="1456" ht="25" customHeight="1">
      <x:c r="A1456" s="1" t="str">
        <x:v>sh000016</x:v>
      </x:c>
      <x:c r="B1456" s="1" t="str">
        <x:v>上证50</x:v>
      </x:c>
      <x:c r="C1456" s="1" t="str">
        <x:v>2010-08</x:v>
      </x:c>
      <x:c r="D1456" s="1" t="str">
        <x:v>2010-07-30</x:v>
      </x:c>
      <x:c r="E1456" s="5" t="n">
        <x:v>1986.76</x:v>
      </x:c>
      <x:c r="F1456" s="6" t="str">
        <x:v>2010-08-31</x:v>
      </x:c>
      <x:c r="G1456" s="5" t="n">
        <x:v>1923.91</x:v>
      </x:c>
      <x:c r="H1456" s="7" t="n">
        <x:f>G1456/E1456-1</x:f>
        <x:v>-0.03163441985946969</x:v>
      </x:c>
      <x:c r="I1456" s="1" t="n">
        <x:v>1</x:v>
      </x:c>
      <x:c r="J1456" s="1" t="n">
        <x:v>1</x:v>
      </x:c>
      <x:c r="K1456" s="1" t="str">
        <x:v>中证官方优先</x:v>
      </x:c>
    </x:row>
    <x:row r="1457" ht="25" customHeight="1">
      <x:c r="A1457" s="1" t="str">
        <x:v>sh000016</x:v>
      </x:c>
      <x:c r="B1457" s="1" t="str">
        <x:v>上证50</x:v>
      </x:c>
      <x:c r="C1457" s="1" t="str">
        <x:v>2010-09</x:v>
      </x:c>
      <x:c r="D1457" s="1" t="str">
        <x:v>2010-08-31</x:v>
      </x:c>
      <x:c r="E1457" s="5" t="n">
        <x:v>1923.91</x:v>
      </x:c>
      <x:c r="F1457" s="6" t="str">
        <x:v>2010-09-30</x:v>
      </x:c>
      <x:c r="G1457" s="5" t="n">
        <x:v>1913.11</x:v>
      </x:c>
      <x:c r="H1457" s="7" t="n">
        <x:f>G1457/E1457-1</x:f>
        <x:v>-0.005613568202254893</x:v>
      </x:c>
      <x:c r="I1457" s="1" t="n">
        <x:v>1</x:v>
      </x:c>
      <x:c r="J1457" s="1" t="n">
        <x:v>1</x:v>
      </x:c>
      <x:c r="K1457" s="1" t="str">
        <x:v>中证官方优先</x:v>
      </x:c>
    </x:row>
    <x:row r="1458" ht="25" customHeight="1">
      <x:c r="A1458" s="1" t="str">
        <x:v>sh000016</x:v>
      </x:c>
      <x:c r="B1458" s="1" t="str">
        <x:v>上证50</x:v>
      </x:c>
      <x:c r="C1458" s="1" t="str">
        <x:v>2010-10</x:v>
      </x:c>
      <x:c r="D1458" s="1" t="str">
        <x:v>2010-09-30</x:v>
      </x:c>
      <x:c r="E1458" s="5" t="n">
        <x:v>1913.11</x:v>
      </x:c>
      <x:c r="F1458" s="6" t="str">
        <x:v>2010-10-29</x:v>
      </x:c>
      <x:c r="G1458" s="5" t="n">
        <x:v>2189.48</x:v>
      </x:c>
      <x:c r="H1458" s="7" t="n">
        <x:f>G1458/E1458-1</x:f>
        <x:v>0.14446111305675058</x:v>
      </x:c>
      <x:c r="I1458" s="1" t="n">
        <x:v>1</x:v>
      </x:c>
      <x:c r="J1458" s="1" t="n">
        <x:v>1</x:v>
      </x:c>
      <x:c r="K1458" s="1" t="str">
        <x:v>中证官方优先</x:v>
      </x:c>
    </x:row>
    <x:row r="1459" ht="25" customHeight="1">
      <x:c r="A1459" s="1" t="str">
        <x:v>sh000016</x:v>
      </x:c>
      <x:c r="B1459" s="1" t="str">
        <x:v>上证50</x:v>
      </x:c>
      <x:c r="C1459" s="1" t="str">
        <x:v>2010-11</x:v>
      </x:c>
      <x:c r="D1459" s="1" t="str">
        <x:v>2010-10-29</x:v>
      </x:c>
      <x:c r="E1459" s="5" t="n">
        <x:v>2189.48</x:v>
      </x:c>
      <x:c r="F1459" s="6" t="str">
        <x:v>2010-11-30</x:v>
      </x:c>
      <x:c r="G1459" s="5" t="n">
        <x:v>1979.89</x:v>
      </x:c>
      <x:c r="H1459" s="7" t="n">
        <x:f>G1459/E1459-1</x:f>
        <x:v>-0.09572592579059869</x:v>
      </x:c>
      <x:c r="I1459" s="1" t="n">
        <x:v>1</x:v>
      </x:c>
      <x:c r="J1459" s="1" t="n">
        <x:v>1</x:v>
      </x:c>
      <x:c r="K1459" s="1" t="str">
        <x:v>中证官方优先</x:v>
      </x:c>
    </x:row>
    <x:row r="1460" ht="25" customHeight="1">
      <x:c r="A1460" s="1" t="str">
        <x:v>sh000016</x:v>
      </x:c>
      <x:c r="B1460" s="1" t="str">
        <x:v>上证50</x:v>
      </x:c>
      <x:c r="C1460" s="1" t="str">
        <x:v>2010-12</x:v>
      </x:c>
      <x:c r="D1460" s="1" t="str">
        <x:v>2010-11-30</x:v>
      </x:c>
      <x:c r="E1460" s="5" t="n">
        <x:v>1979.89</x:v>
      </x:c>
      <x:c r="F1460" s="6" t="str">
        <x:v>2010-12-31</x:v>
      </x:c>
      <x:c r="G1460" s="5" t="n">
        <x:v>1977.37</x:v>
      </x:c>
      <x:c r="H1460" s="7" t="n">
        <x:f>G1460/E1460-1</x:f>
        <x:v>-0.0012727979837264813</x:v>
      </x:c>
      <x:c r="I1460" s="1" t="n">
        <x:v>1</x:v>
      </x:c>
      <x:c r="J1460" s="1" t="n">
        <x:v>1</x:v>
      </x:c>
      <x:c r="K1460" s="1" t="str">
        <x:v>中证官方优先</x:v>
      </x:c>
    </x:row>
    <x:row r="1461" ht="25" customHeight="1">
      <x:c r="A1461" s="1" t="str">
        <x:v>sh000016</x:v>
      </x:c>
      <x:c r="B1461" s="1" t="str">
        <x:v>上证50</x:v>
      </x:c>
      <x:c r="C1461" s="1" t="str">
        <x:v>2011-01</x:v>
      </x:c>
      <x:c r="D1461" s="1" t="str">
        <x:v>2010-12-31</x:v>
      </x:c>
      <x:c r="E1461" s="5" t="n">
        <x:v>1977.37</x:v>
      </x:c>
      <x:c r="F1461" s="6" t="str">
        <x:v>2011-01-31</x:v>
      </x:c>
      <x:c r="G1461" s="5" t="n">
        <x:v>1964.11</x:v>
      </x:c>
      <x:c r="H1461" s="7" t="n">
        <x:f>G1461/E1461-1</x:f>
        <x:v>-0.006705876998234994</x:v>
      </x:c>
      <x:c r="I1461" s="1" t="n">
        <x:v>1</x:v>
      </x:c>
      <x:c r="J1461" s="1" t="n">
        <x:v>1</x:v>
      </x:c>
      <x:c r="K1461" s="1" t="str">
        <x:v>中证官方优先</x:v>
      </x:c>
    </x:row>
    <x:row r="1462" ht="25" customHeight="1">
      <x:c r="A1462" s="1" t="str">
        <x:v>sh000016</x:v>
      </x:c>
      <x:c r="B1462" s="1" t="str">
        <x:v>上证50</x:v>
      </x:c>
      <x:c r="C1462" s="1" t="str">
        <x:v>2011-02</x:v>
      </x:c>
      <x:c r="D1462" s="1" t="str">
        <x:v>2011-01-31</x:v>
      </x:c>
      <x:c r="E1462" s="5" t="n">
        <x:v>1964.11</x:v>
      </x:c>
      <x:c r="F1462" s="6" t="str">
        <x:v>2011-02-28</x:v>
      </x:c>
      <x:c r="G1462" s="5" t="n">
        <x:v>2021.85</x:v>
      </x:c>
      <x:c r="H1462" s="7" t="n">
        <x:f>G1462/E1462-1</x:f>
        <x:v>0.029397538834383008</x:v>
      </x:c>
      <x:c r="I1462" s="1" t="n">
        <x:v>1</x:v>
      </x:c>
      <x:c r="J1462" s="1" t="n">
        <x:v>1</x:v>
      </x:c>
      <x:c r="K1462" s="1" t="str">
        <x:v>中证官方优先</x:v>
      </x:c>
    </x:row>
    <x:row r="1463" ht="25" customHeight="1">
      <x:c r="A1463" s="1" t="str">
        <x:v>sh000016</x:v>
      </x:c>
      <x:c r="B1463" s="1" t="str">
        <x:v>上证50</x:v>
      </x:c>
      <x:c r="C1463" s="1" t="str">
        <x:v>2011-03</x:v>
      </x:c>
      <x:c r="D1463" s="1" t="str">
        <x:v>2011-02-28</x:v>
      </x:c>
      <x:c r="E1463" s="5" t="n">
        <x:v>2021.85</x:v>
      </x:c>
      <x:c r="F1463" s="6" t="str">
        <x:v>2011-03-31</x:v>
      </x:c>
      <x:c r="G1463" s="5" t="n">
        <x:v>2083.75</x:v>
      </x:c>
      <x:c r="H1463" s="7" t="n">
        <x:f>G1463/E1463-1</x:f>
        <x:v>0.030615525385166986</x:v>
      </x:c>
      <x:c r="I1463" s="1" t="n">
        <x:v>1</x:v>
      </x:c>
      <x:c r="J1463" s="1" t="n">
        <x:v>1</x:v>
      </x:c>
      <x:c r="K1463" s="1" t="str">
        <x:v>中证官方优先</x:v>
      </x:c>
    </x:row>
    <x:row r="1464" ht="25" customHeight="1">
      <x:c r="A1464" s="1" t="str">
        <x:v>sh000016</x:v>
      </x:c>
      <x:c r="B1464" s="1" t="str">
        <x:v>上证50</x:v>
      </x:c>
      <x:c r="C1464" s="1" t="str">
        <x:v>2011-04</x:v>
      </x:c>
      <x:c r="D1464" s="1" t="str">
        <x:v>2011-03-31</x:v>
      </x:c>
      <x:c r="E1464" s="5" t="n">
        <x:v>2083.75</x:v>
      </x:c>
      <x:c r="F1464" s="6" t="str">
        <x:v>2011-04-29</x:v>
      </x:c>
      <x:c r="G1464" s="5" t="n">
        <x:v>2113.87</x:v>
      </x:c>
      <x:c r="H1464" s="7" t="n">
        <x:f>G1464/E1464-1</x:f>
        <x:v>0.014454709058188353</x:v>
      </x:c>
      <x:c r="I1464" s="1" t="n">
        <x:v>1</x:v>
      </x:c>
      <x:c r="J1464" s="1" t="n">
        <x:v>1</x:v>
      </x:c>
      <x:c r="K1464" s="1" t="str">
        <x:v>中证官方优先</x:v>
      </x:c>
    </x:row>
    <x:row r="1465" ht="25" customHeight="1">
      <x:c r="A1465" s="1" t="str">
        <x:v>sh000016</x:v>
      </x:c>
      <x:c r="B1465" s="1" t="str">
        <x:v>上证50</x:v>
      </x:c>
      <x:c r="C1465" s="1" t="str">
        <x:v>2011-05</x:v>
      </x:c>
      <x:c r="D1465" s="1" t="str">
        <x:v>2011-04-29</x:v>
      </x:c>
      <x:c r="E1465" s="5" t="n">
        <x:v>2113.87</x:v>
      </x:c>
      <x:c r="F1465" s="6" t="str">
        <x:v>2011-05-31</x:v>
      </x:c>
      <x:c r="G1465" s="5" t="n">
        <x:v>2010.56</x:v>
      </x:c>
      <x:c r="H1465" s="7" t="n">
        <x:f>G1465/E1465-1</x:f>
        <x:v>-0.048872447217662374</x:v>
      </x:c>
      <x:c r="I1465" s="1" t="n">
        <x:v>1</x:v>
      </x:c>
      <x:c r="J1465" s="1" t="n">
        <x:v>1</x:v>
      </x:c>
      <x:c r="K1465" s="1" t="str">
        <x:v>中证官方优先</x:v>
      </x:c>
    </x:row>
    <x:row r="1466" ht="25" customHeight="1">
      <x:c r="A1466" s="1" t="str">
        <x:v>sh000016</x:v>
      </x:c>
      <x:c r="B1466" s="1" t="str">
        <x:v>上证50</x:v>
      </x:c>
      <x:c r="C1466" s="1" t="str">
        <x:v>2011-06</x:v>
      </x:c>
      <x:c r="D1466" s="1" t="str">
        <x:v>2011-05-31</x:v>
      </x:c>
      <x:c r="E1466" s="5" t="n">
        <x:v>2010.56</x:v>
      </x:c>
      <x:c r="F1466" s="6" t="str">
        <x:v>2011-06-30</x:v>
      </x:c>
      <x:c r="G1466" s="5" t="n">
        <x:v>1989.43</x:v>
      </x:c>
      <x:c r="H1466" s="7" t="n">
        <x:f>G1466/E1466-1</x:f>
        <x:v>-0.010509509788317661</x:v>
      </x:c>
      <x:c r="I1466" s="1" t="n">
        <x:v>1</x:v>
      </x:c>
      <x:c r="J1466" s="1" t="n">
        <x:v>1</x:v>
      </x:c>
      <x:c r="K1466" s="1" t="str">
        <x:v>中证官方优先</x:v>
      </x:c>
    </x:row>
    <x:row r="1467" ht="25" customHeight="1">
      <x:c r="A1467" s="1" t="str">
        <x:v>sh000016</x:v>
      </x:c>
      <x:c r="B1467" s="1" t="str">
        <x:v>上证50</x:v>
      </x:c>
      <x:c r="C1467" s="1" t="str">
        <x:v>2011-07</x:v>
      </x:c>
      <x:c r="D1467" s="1" t="str">
        <x:v>2011-06-30</x:v>
      </x:c>
      <x:c r="E1467" s="5" t="n">
        <x:v>1989.43</x:v>
      </x:c>
      <x:c r="F1467" s="6" t="str">
        <x:v>2011-07-29</x:v>
      </x:c>
      <x:c r="G1467" s="5" t="n">
        <x:v>1908.21</x:v>
      </x:c>
      <x:c r="H1467" s="7" t="n">
        <x:f>G1467/E1467-1</x:f>
        <x:v>-0.040825764163604616</x:v>
      </x:c>
      <x:c r="I1467" s="1" t="n">
        <x:v>1</x:v>
      </x:c>
      <x:c r="J1467" s="1" t="n">
        <x:v>1</x:v>
      </x:c>
      <x:c r="K1467" s="1" t="str">
        <x:v>中证官方优先</x:v>
      </x:c>
    </x:row>
    <x:row r="1468" ht="25" customHeight="1">
      <x:c r="A1468" s="1" t="str">
        <x:v>sh000016</x:v>
      </x:c>
      <x:c r="B1468" s="1" t="str">
        <x:v>上证50</x:v>
      </x:c>
      <x:c r="C1468" s="1" t="str">
        <x:v>2011-08</x:v>
      </x:c>
      <x:c r="D1468" s="1" t="str">
        <x:v>2011-07-29</x:v>
      </x:c>
      <x:c r="E1468" s="5" t="n">
        <x:v>1908.21</x:v>
      </x:c>
      <x:c r="F1468" s="6" t="str">
        <x:v>2011-08-31</x:v>
      </x:c>
      <x:c r="G1468" s="5" t="n">
        <x:v>1841.54</x:v>
      </x:c>
      <x:c r="H1468" s="7" t="n">
        <x:f>G1468/E1468-1</x:f>
        <x:v>-0.034938502575712405</x:v>
      </x:c>
      <x:c r="I1468" s="1" t="n">
        <x:v>1</x:v>
      </x:c>
      <x:c r="J1468" s="1" t="n">
        <x:v>1</x:v>
      </x:c>
      <x:c r="K1468" s="1" t="str">
        <x:v>中证官方优先</x:v>
      </x:c>
    </x:row>
    <x:row r="1469" ht="25" customHeight="1">
      <x:c r="A1469" s="1" t="str">
        <x:v>sh000016</x:v>
      </x:c>
      <x:c r="B1469" s="1" t="str">
        <x:v>上证50</x:v>
      </x:c>
      <x:c r="C1469" s="1" t="str">
        <x:v>2011-09</x:v>
      </x:c>
      <x:c r="D1469" s="1" t="str">
        <x:v>2011-08-31</x:v>
      </x:c>
      <x:c r="E1469" s="5" t="n">
        <x:v>1841.54</x:v>
      </x:c>
      <x:c r="F1469" s="6" t="str">
        <x:v>2011-09-30</x:v>
      </x:c>
      <x:c r="G1469" s="5" t="n">
        <x:v>1684.5</x:v>
      </x:c>
      <x:c r="H1469" s="7" t="n">
        <x:f>G1469/E1469-1</x:f>
        <x:v>-0.08527645340312995</x:v>
      </x:c>
      <x:c r="I1469" s="1" t="n">
        <x:v>1</x:v>
      </x:c>
      <x:c r="J1469" s="1" t="n">
        <x:v>1</x:v>
      </x:c>
      <x:c r="K1469" s="1" t="str">
        <x:v>中证官方优先</x:v>
      </x:c>
    </x:row>
    <x:row r="1470" ht="25" customHeight="1">
      <x:c r="A1470" s="1" t="str">
        <x:v>sh000016</x:v>
      </x:c>
      <x:c r="B1470" s="1" t="str">
        <x:v>上证50</x:v>
      </x:c>
      <x:c r="C1470" s="1" t="str">
        <x:v>2011-10</x:v>
      </x:c>
      <x:c r="D1470" s="1" t="str">
        <x:v>2011-09-30</x:v>
      </x:c>
      <x:c r="E1470" s="5" t="n">
        <x:v>1684.5</x:v>
      </x:c>
      <x:c r="F1470" s="6" t="str">
        <x:v>2011-10-31</x:v>
      </x:c>
      <x:c r="G1470" s="5" t="n">
        <x:v>1792.05</x:v>
      </x:c>
      <x:c r="H1470" s="7" t="n">
        <x:f>G1470/E1470-1</x:f>
        <x:v>0.06384683882457698</x:v>
      </x:c>
      <x:c r="I1470" s="1" t="n">
        <x:v>1</x:v>
      </x:c>
      <x:c r="J1470" s="1" t="n">
        <x:v>1</x:v>
      </x:c>
      <x:c r="K1470" s="1" t="str">
        <x:v>中证官方优先</x:v>
      </x:c>
    </x:row>
    <x:row r="1471" ht="25" customHeight="1">
      <x:c r="A1471" s="1" t="str">
        <x:v>sh000016</x:v>
      </x:c>
      <x:c r="B1471" s="1" t="str">
        <x:v>上证50</x:v>
      </x:c>
      <x:c r="C1471" s="1" t="str">
        <x:v>2011-11</x:v>
      </x:c>
      <x:c r="D1471" s="1" t="str">
        <x:v>2011-10-31</x:v>
      </x:c>
      <x:c r="E1471" s="5" t="n">
        <x:v>1792.05</x:v>
      </x:c>
      <x:c r="F1471" s="6" t="str">
        <x:v>2011-11-30</x:v>
      </x:c>
      <x:c r="G1471" s="5" t="n">
        <x:v>1662.75</x:v>
      </x:c>
      <x:c r="H1471" s="7" t="n">
        <x:f>G1471/E1471-1</x:f>
        <x:v>-0.07215200468736915</x:v>
      </x:c>
      <x:c r="I1471" s="1" t="n">
        <x:v>1</x:v>
      </x:c>
      <x:c r="J1471" s="1" t="n">
        <x:v>1</x:v>
      </x:c>
      <x:c r="K1471" s="1" t="str">
        <x:v>中证官方优先</x:v>
      </x:c>
    </x:row>
    <x:row r="1472" ht="25" customHeight="1">
      <x:c r="A1472" s="1" t="str">
        <x:v>sh000016</x:v>
      </x:c>
      <x:c r="B1472" s="1" t="str">
        <x:v>上证50</x:v>
      </x:c>
      <x:c r="C1472" s="1" t="str">
        <x:v>2011-12</x:v>
      </x:c>
      <x:c r="D1472" s="1" t="str">
        <x:v>2011-11-30</x:v>
      </x:c>
      <x:c r="E1472" s="5" t="n">
        <x:v>1662.75</x:v>
      </x:c>
      <x:c r="F1472" s="6" t="str">
        <x:v>2011-12-30</x:v>
      </x:c>
      <x:c r="G1472" s="5" t="n">
        <x:v>1617.61</x:v>
      </x:c>
      <x:c r="H1472" s="7" t="n">
        <x:f>G1472/E1472-1</x:f>
        <x:v>-0.027147797323710754</x:v>
      </x:c>
      <x:c r="I1472" s="1" t="n">
        <x:v>1</x:v>
      </x:c>
      <x:c r="J1472" s="1" t="n">
        <x:v>1</x:v>
      </x:c>
      <x:c r="K1472" s="1" t="str">
        <x:v>中证官方优先</x:v>
      </x:c>
    </x:row>
    <x:row r="1473" ht="25" customHeight="1">
      <x:c r="A1473" s="1" t="str">
        <x:v>sh000016</x:v>
      </x:c>
      <x:c r="B1473" s="1" t="str">
        <x:v>上证50</x:v>
      </x:c>
      <x:c r="C1473" s="1" t="str">
        <x:v>2012-01</x:v>
      </x:c>
      <x:c r="D1473" s="1" t="str">
        <x:v>2011-12-30</x:v>
      </x:c>
      <x:c r="E1473" s="5" t="n">
        <x:v>1617.61</x:v>
      </x:c>
      <x:c r="F1473" s="6" t="str">
        <x:v>2012-01-31</x:v>
      </x:c>
      <x:c r="G1473" s="5" t="n">
        <x:v>1744.71</x:v>
      </x:c>
      <x:c r="H1473" s="7" t="n">
        <x:f>G1473/E1473-1</x:f>
        <x:v>0.0785727091202455</x:v>
      </x:c>
      <x:c r="I1473" s="1" t="n">
        <x:v>1</x:v>
      </x:c>
      <x:c r="J1473" s="1" t="n">
        <x:v>1</x:v>
      </x:c>
      <x:c r="K1473" s="1" t="str">
        <x:v>中证官方优先</x:v>
      </x:c>
    </x:row>
    <x:row r="1474" ht="25" customHeight="1">
      <x:c r="A1474" s="1" t="str">
        <x:v>sh000016</x:v>
      </x:c>
      <x:c r="B1474" s="1" t="str">
        <x:v>上证50</x:v>
      </x:c>
      <x:c r="C1474" s="1" t="str">
        <x:v>2012-02</x:v>
      </x:c>
      <x:c r="D1474" s="1" t="str">
        <x:v>2012-01-31</x:v>
      </x:c>
      <x:c r="E1474" s="5" t="n">
        <x:v>1744.71</x:v>
      </x:c>
      <x:c r="F1474" s="6" t="str">
        <x:v>2012-02-29</x:v>
      </x:c>
      <x:c r="G1474" s="5" t="n">
        <x:v>1822.77</x:v>
      </x:c>
      <x:c r="H1474" s="7" t="n">
        <x:f>G1474/E1474-1</x:f>
        <x:v>0.04474095981567139</x:v>
      </x:c>
      <x:c r="I1474" s="1" t="n">
        <x:v>1</x:v>
      </x:c>
      <x:c r="J1474" s="1" t="n">
        <x:v>1</x:v>
      </x:c>
      <x:c r="K1474" s="1" t="str">
        <x:v>中证官方优先</x:v>
      </x:c>
    </x:row>
    <x:row r="1475" ht="25" customHeight="1">
      <x:c r="A1475" s="1" t="str">
        <x:v>sh000016</x:v>
      </x:c>
      <x:c r="B1475" s="1" t="str">
        <x:v>上证50</x:v>
      </x:c>
      <x:c r="C1475" s="1" t="str">
        <x:v>2012-03</x:v>
      </x:c>
      <x:c r="D1475" s="1" t="str">
        <x:v>2012-02-29</x:v>
      </x:c>
      <x:c r="E1475" s="5" t="n">
        <x:v>1822.77</x:v>
      </x:c>
      <x:c r="F1475" s="6" t="str">
        <x:v>2012-03-30</x:v>
      </x:c>
      <x:c r="G1475" s="5" t="n">
        <x:v>1705.63</x:v>
      </x:c>
      <x:c r="H1475" s="7" t="n">
        <x:f>G1475/E1475-1</x:f>
        <x:v>-0.06426482770728059</x:v>
      </x:c>
      <x:c r="I1475" s="1" t="n">
        <x:v>1</x:v>
      </x:c>
      <x:c r="J1475" s="1" t="n">
        <x:v>1</x:v>
      </x:c>
      <x:c r="K1475" s="1" t="str">
        <x:v>中证官方优先</x:v>
      </x:c>
    </x:row>
    <x:row r="1476" ht="25" customHeight="1">
      <x:c r="A1476" s="1" t="str">
        <x:v>sh000016</x:v>
      </x:c>
      <x:c r="B1476" s="1" t="str">
        <x:v>上证50</x:v>
      </x:c>
      <x:c r="C1476" s="1" t="str">
        <x:v>2012-04</x:v>
      </x:c>
      <x:c r="D1476" s="1" t="str">
        <x:v>2012-03-30</x:v>
      </x:c>
      <x:c r="E1476" s="5" t="n">
        <x:v>1705.63</x:v>
      </x:c>
      <x:c r="F1476" s="6" t="str">
        <x:v>2012-04-27</x:v>
      </x:c>
      <x:c r="G1476" s="5" t="n">
        <x:v>1822.54</x:v>
      </x:c>
      <x:c r="H1476" s="7" t="n">
        <x:f>G1476/E1476-1</x:f>
        <x:v>0.06854358799974203</x:v>
      </x:c>
      <x:c r="I1476" s="1" t="n">
        <x:v>1</x:v>
      </x:c>
      <x:c r="J1476" s="1" t="n">
        <x:v>1</x:v>
      </x:c>
      <x:c r="K1476" s="1" t="str">
        <x:v>中证官方优先</x:v>
      </x:c>
    </x:row>
    <x:row r="1477" ht="25" customHeight="1">
      <x:c r="A1477" s="1" t="str">
        <x:v>sh000016</x:v>
      </x:c>
      <x:c r="B1477" s="1" t="str">
        <x:v>上证50</x:v>
      </x:c>
      <x:c r="C1477" s="1" t="str">
        <x:v>2012-05</x:v>
      </x:c>
      <x:c r="D1477" s="1" t="str">
        <x:v>2012-04-27</x:v>
      </x:c>
      <x:c r="E1477" s="5" t="n">
        <x:v>1822.54</x:v>
      </x:c>
      <x:c r="F1477" s="6" t="str">
        <x:v>2012-05-31</x:v>
      </x:c>
      <x:c r="G1477" s="5" t="n">
        <x:v>1804.59</x:v>
      </x:c>
      <x:c r="H1477" s="7" t="n">
        <x:f>G1477/E1477-1</x:f>
        <x:v>-0.009848892205383764</x:v>
      </x:c>
      <x:c r="I1477" s="1" t="n">
        <x:v>1</x:v>
      </x:c>
      <x:c r="J1477" s="1" t="n">
        <x:v>1</x:v>
      </x:c>
      <x:c r="K1477" s="1" t="str">
        <x:v>中证官方优先</x:v>
      </x:c>
    </x:row>
    <x:row r="1478" ht="25" customHeight="1">
      <x:c r="A1478" s="1" t="str">
        <x:v>sh000016</x:v>
      </x:c>
      <x:c r="B1478" s="1" t="str">
        <x:v>上证50</x:v>
      </x:c>
      <x:c r="C1478" s="1" t="str">
        <x:v>2012-06</x:v>
      </x:c>
      <x:c r="D1478" s="1" t="str">
        <x:v>2012-05-31</x:v>
      </x:c>
      <x:c r="E1478" s="5" t="n">
        <x:v>1804.59</x:v>
      </x:c>
      <x:c r="F1478" s="6" t="str">
        <x:v>2012-06-29</x:v>
      </x:c>
      <x:c r="G1478" s="5" t="n">
        <x:v>1708.86</x:v>
      </x:c>
      <x:c r="H1478" s="7" t="n">
        <x:f>G1478/E1478-1</x:f>
        <x:v>-0.05304806077834856</x:v>
      </x:c>
      <x:c r="I1478" s="1" t="n">
        <x:v>1</x:v>
      </x:c>
      <x:c r="J1478" s="1" t="n">
        <x:v>1</x:v>
      </x:c>
      <x:c r="K1478" s="1" t="str">
        <x:v>中证官方优先</x:v>
      </x:c>
    </x:row>
    <x:row r="1479" ht="25" customHeight="1">
      <x:c r="A1479" s="1" t="str">
        <x:v>sh000016</x:v>
      </x:c>
      <x:c r="B1479" s="1" t="str">
        <x:v>上证50</x:v>
      </x:c>
      <x:c r="C1479" s="1" t="str">
        <x:v>2012-07</x:v>
      </x:c>
      <x:c r="D1479" s="1" t="str">
        <x:v>2012-06-29</x:v>
      </x:c>
      <x:c r="E1479" s="5" t="n">
        <x:v>1708.86</x:v>
      </x:c>
      <x:c r="F1479" s="6" t="str">
        <x:v>2012-07-31</x:v>
      </x:c>
      <x:c r="G1479" s="5" t="n">
        <x:v>1631.89</x:v>
      </x:c>
      <x:c r="H1479" s="7" t="n">
        <x:f>G1479/E1479-1</x:f>
        <x:v>-0.04504172372224746</x:v>
      </x:c>
      <x:c r="I1479" s="1" t="n">
        <x:v>1</x:v>
      </x:c>
      <x:c r="J1479" s="1" t="n">
        <x:v>1</x:v>
      </x:c>
      <x:c r="K1479" s="1" t="str">
        <x:v>中证官方优先</x:v>
      </x:c>
    </x:row>
    <x:row r="1480" ht="25" customHeight="1">
      <x:c r="A1480" s="1" t="str">
        <x:v>sh000016</x:v>
      </x:c>
      <x:c r="B1480" s="1" t="str">
        <x:v>上证50</x:v>
      </x:c>
      <x:c r="C1480" s="1" t="str">
        <x:v>2012-08</x:v>
      </x:c>
      <x:c r="D1480" s="1" t="str">
        <x:v>2012-07-31</x:v>
      </x:c>
      <x:c r="E1480" s="5" t="n">
        <x:v>1631.89</x:v>
      </x:c>
      <x:c r="F1480" s="6" t="str">
        <x:v>2012-08-31</x:v>
      </x:c>
      <x:c r="G1480" s="5" t="n">
        <x:v>1551.2</x:v>
      </x:c>
      <x:c r="H1480" s="7" t="n">
        <x:f>G1480/E1480-1</x:f>
        <x:v>-0.049445734700255595</x:v>
      </x:c>
      <x:c r="I1480" s="1" t="n">
        <x:v>1</x:v>
      </x:c>
      <x:c r="J1480" s="1" t="n">
        <x:v>1</x:v>
      </x:c>
      <x:c r="K1480" s="1" t="str">
        <x:v>中证官方优先</x:v>
      </x:c>
    </x:row>
    <x:row r="1481" ht="25" customHeight="1">
      <x:c r="A1481" s="1" t="str">
        <x:v>sh000016</x:v>
      </x:c>
      <x:c r="B1481" s="1" t="str">
        <x:v>上证50</x:v>
      </x:c>
      <x:c r="C1481" s="1" t="str">
        <x:v>2012-09</x:v>
      </x:c>
      <x:c r="D1481" s="1" t="str">
        <x:v>2012-08-31</x:v>
      </x:c>
      <x:c r="E1481" s="5" t="n">
        <x:v>1551.2</x:v>
      </x:c>
      <x:c r="F1481" s="6" t="str">
        <x:v>2012-09-28</x:v>
      </x:c>
      <x:c r="G1481" s="5" t="n">
        <x:v>1613.09</x:v>
      </x:c>
      <x:c r="H1481" s="7" t="n">
        <x:f>G1481/E1481-1</x:f>
        <x:v>0.03989814337287245</x:v>
      </x:c>
      <x:c r="I1481" s="1" t="n">
        <x:v>1</x:v>
      </x:c>
      <x:c r="J1481" s="1" t="n">
        <x:v>1</x:v>
      </x:c>
      <x:c r="K1481" s="1" t="str">
        <x:v>中证官方优先</x:v>
      </x:c>
    </x:row>
    <x:row r="1482" ht="25" customHeight="1">
      <x:c r="A1482" s="1" t="str">
        <x:v>sh000016</x:v>
      </x:c>
      <x:c r="B1482" s="1" t="str">
        <x:v>上证50</x:v>
      </x:c>
      <x:c r="C1482" s="1" t="str">
        <x:v>2012-10</x:v>
      </x:c>
      <x:c r="D1482" s="1" t="str">
        <x:v>2012-09-28</x:v>
      </x:c>
      <x:c r="E1482" s="5" t="n">
        <x:v>1613.09</x:v>
      </x:c>
      <x:c r="F1482" s="6" t="str">
        <x:v>2012-10-31</x:v>
      </x:c>
      <x:c r="G1482" s="5" t="n">
        <x:v>1587.05</x:v>
      </x:c>
      <x:c r="H1482" s="7" t="n">
        <x:f>G1482/E1482-1</x:f>
        <x:v>-0.016142930648630816</x:v>
      </x:c>
      <x:c r="I1482" s="1" t="n">
        <x:v>1</x:v>
      </x:c>
      <x:c r="J1482" s="1" t="n">
        <x:v>1</x:v>
      </x:c>
      <x:c r="K1482" s="1" t="str">
        <x:v>中证官方优先</x:v>
      </x:c>
    </x:row>
    <x:row r="1483" ht="25" customHeight="1">
      <x:c r="A1483" s="1" t="str">
        <x:v>sh000016</x:v>
      </x:c>
      <x:c r="B1483" s="1" t="str">
        <x:v>上证50</x:v>
      </x:c>
      <x:c r="C1483" s="1" t="str">
        <x:v>2012-11</x:v>
      </x:c>
      <x:c r="D1483" s="1" t="str">
        <x:v>2012-10-31</x:v>
      </x:c>
      <x:c r="E1483" s="5" t="n">
        <x:v>1587.05</x:v>
      </x:c>
      <x:c r="F1483" s="6" t="str">
        <x:v>2012-11-30</x:v>
      </x:c>
      <x:c r="G1483" s="5" t="n">
        <x:v>1547.76</x:v>
      </x:c>
      <x:c r="H1483" s="7" t="n">
        <x:f>G1483/E1483-1</x:f>
        <x:v>-0.024756623924892085</x:v>
      </x:c>
      <x:c r="I1483" s="1" t="n">
        <x:v>1</x:v>
      </x:c>
      <x:c r="J1483" s="1" t="n">
        <x:v>1</x:v>
      </x:c>
      <x:c r="K1483" s="1" t="str">
        <x:v>中证官方优先</x:v>
      </x:c>
    </x:row>
    <x:row r="1484" ht="25" customHeight="1">
      <x:c r="A1484" s="1" t="str">
        <x:v>sh000016</x:v>
      </x:c>
      <x:c r="B1484" s="1" t="str">
        <x:v>上证50</x:v>
      </x:c>
      <x:c r="C1484" s="1" t="str">
        <x:v>2012-12</x:v>
      </x:c>
      <x:c r="D1484" s="1" t="str">
        <x:v>2012-11-30</x:v>
      </x:c>
      <x:c r="E1484" s="5" t="n">
        <x:v>1547.76</x:v>
      </x:c>
      <x:c r="F1484" s="6" t="str">
        <x:v>2012-12-31</x:v>
      </x:c>
      <x:c r="G1484" s="5" t="n">
        <x:v>1857.68</x:v>
      </x:c>
      <x:c r="H1484" s="7" t="n">
        <x:f>G1484/E1484-1</x:f>
        <x:v>0.20023776296066575</x:v>
      </x:c>
      <x:c r="I1484" s="1" t="n">
        <x:v>1</x:v>
      </x:c>
      <x:c r="J1484" s="1" t="n">
        <x:v>1</x:v>
      </x:c>
      <x:c r="K1484" s="1" t="str">
        <x:v>中证官方优先</x:v>
      </x:c>
    </x:row>
    <x:row r="1485" ht="25" customHeight="1">
      <x:c r="A1485" s="1" t="str">
        <x:v>sh000016</x:v>
      </x:c>
      <x:c r="B1485" s="1" t="str">
        <x:v>上证50</x:v>
      </x:c>
      <x:c r="C1485" s="1" t="str">
        <x:v>2013-01</x:v>
      </x:c>
      <x:c r="D1485" s="1" t="str">
        <x:v>2012-12-31</x:v>
      </x:c>
      <x:c r="E1485" s="5" t="n">
        <x:v>1857.68</x:v>
      </x:c>
      <x:c r="F1485" s="6" t="str">
        <x:v>2013-01-31</x:v>
      </x:c>
      <x:c r="G1485" s="5" t="n">
        <x:v>1993.25</x:v>
      </x:c>
      <x:c r="H1485" s="7" t="n">
        <x:f>G1485/E1485-1</x:f>
        <x:v>0.07297812325050601</x:v>
      </x:c>
      <x:c r="I1485" s="1" t="n">
        <x:v>1</x:v>
      </x:c>
      <x:c r="J1485" s="1" t="n">
        <x:v>1</x:v>
      </x:c>
      <x:c r="K1485" s="1" t="str">
        <x:v>中证官方优先</x:v>
      </x:c>
    </x:row>
    <x:row r="1486" ht="25" customHeight="1">
      <x:c r="A1486" s="1" t="str">
        <x:v>sh000016</x:v>
      </x:c>
      <x:c r="B1486" s="1" t="str">
        <x:v>上证50</x:v>
      </x:c>
      <x:c r="C1486" s="1" t="str">
        <x:v>2013-02</x:v>
      </x:c>
      <x:c r="D1486" s="1" t="str">
        <x:v>2013-01-31</x:v>
      </x:c>
      <x:c r="E1486" s="5" t="n">
        <x:v>1993.25</x:v>
      </x:c>
      <x:c r="F1486" s="6" t="str">
        <x:v>2013-02-28</x:v>
      </x:c>
      <x:c r="G1486" s="5" t="n">
        <x:v>1956.61</x:v>
      </x:c>
      <x:c r="H1486" s="7" t="n">
        <x:f>G1486/E1486-1</x:f>
        <x:v>-0.01838203938291738</x:v>
      </x:c>
      <x:c r="I1486" s="1" t="n">
        <x:v>1</x:v>
      </x:c>
      <x:c r="J1486" s="1" t="n">
        <x:v>1</x:v>
      </x:c>
      <x:c r="K1486" s="1" t="str">
        <x:v>中证官方优先</x:v>
      </x:c>
    </x:row>
    <x:row r="1487" ht="25" customHeight="1">
      <x:c r="A1487" s="1" t="str">
        <x:v>sh000016</x:v>
      </x:c>
      <x:c r="B1487" s="1" t="str">
        <x:v>上证50</x:v>
      </x:c>
      <x:c r="C1487" s="1" t="str">
        <x:v>2013-03</x:v>
      </x:c>
      <x:c r="D1487" s="1" t="str">
        <x:v>2013-02-28</x:v>
      </x:c>
      <x:c r="E1487" s="5" t="n">
        <x:v>1956.61</x:v>
      </x:c>
      <x:c r="F1487" s="6" t="str">
        <x:v>2013-03-29</x:v>
      </x:c>
      <x:c r="G1487" s="5" t="n">
        <x:v>1793.19</x:v>
      </x:c>
      <x:c r="H1487" s="7" t="n">
        <x:f>G1487/E1487-1</x:f>
        <x:v>-0.08352201000710402</x:v>
      </x:c>
      <x:c r="I1487" s="1" t="n">
        <x:v>1</x:v>
      </x:c>
      <x:c r="J1487" s="1" t="n">
        <x:v>1</x:v>
      </x:c>
      <x:c r="K1487" s="1" t="str">
        <x:v>中证官方优先</x:v>
      </x:c>
    </x:row>
    <x:row r="1488" ht="25" customHeight="1">
      <x:c r="A1488" s="1" t="str">
        <x:v>sh000016</x:v>
      </x:c>
      <x:c r="B1488" s="1" t="str">
        <x:v>上证50</x:v>
      </x:c>
      <x:c r="C1488" s="1" t="str">
        <x:v>2013-04</x:v>
      </x:c>
      <x:c r="D1488" s="1" t="str">
        <x:v>2013-03-29</x:v>
      </x:c>
      <x:c r="E1488" s="5" t="n">
        <x:v>1793.19</x:v>
      </x:c>
      <x:c r="F1488" s="6" t="str">
        <x:v>2013-04-26</x:v>
      </x:c>
      <x:c r="G1488" s="5" t="n">
        <x:v>1766.04</x:v>
      </x:c>
      <x:c r="H1488" s="7" t="n">
        <x:f>G1488/E1488-1</x:f>
        <x:v>-0.015140615327990936</x:v>
      </x:c>
      <x:c r="I1488" s="1" t="n">
        <x:v>1</x:v>
      </x:c>
      <x:c r="J1488" s="1" t="n">
        <x:v>1</x:v>
      </x:c>
      <x:c r="K1488" s="1" t="str">
        <x:v>中证官方优先</x:v>
      </x:c>
    </x:row>
    <x:row r="1489" ht="25" customHeight="1">
      <x:c r="A1489" s="1" t="str">
        <x:v>sh000016</x:v>
      </x:c>
      <x:c r="B1489" s="1" t="str">
        <x:v>上证50</x:v>
      </x:c>
      <x:c r="C1489" s="1" t="str">
        <x:v>2013-05</x:v>
      </x:c>
      <x:c r="D1489" s="1" t="str">
        <x:v>2013-04-26</x:v>
      </x:c>
      <x:c r="E1489" s="5" t="n">
        <x:v>1766.04</x:v>
      </x:c>
      <x:c r="F1489" s="6" t="str">
        <x:v>2013-05-31</x:v>
      </x:c>
      <x:c r="G1489" s="5" t="n">
        <x:v>1841.37</x:v>
      </x:c>
      <x:c r="H1489" s="7" t="n">
        <x:f>G1489/E1489-1</x:f>
        <x:v>0.04265475300672694</x:v>
      </x:c>
      <x:c r="I1489" s="1" t="n">
        <x:v>1</x:v>
      </x:c>
      <x:c r="J1489" s="1" t="n">
        <x:v>1</x:v>
      </x:c>
      <x:c r="K1489" s="1" t="str">
        <x:v>中证官方优先</x:v>
      </x:c>
    </x:row>
    <x:row r="1490" ht="25" customHeight="1">
      <x:c r="A1490" s="1" t="str">
        <x:v>sh000016</x:v>
      </x:c>
      <x:c r="B1490" s="1" t="str">
        <x:v>上证50</x:v>
      </x:c>
      <x:c r="C1490" s="1" t="str">
        <x:v>2013-06</x:v>
      </x:c>
      <x:c r="D1490" s="1" t="str">
        <x:v>2013-05-31</x:v>
      </x:c>
      <x:c r="E1490" s="5" t="n">
        <x:v>1841.37</x:v>
      </x:c>
      <x:c r="F1490" s="6" t="str">
        <x:v>2013-06-28</x:v>
      </x:c>
      <x:c r="G1490" s="5" t="n">
        <x:v>1552.38</x:v>
      </x:c>
      <x:c r="H1490" s="7" t="n">
        <x:f>G1490/E1490-1</x:f>
        <x:v>-0.15694292836312085</x:v>
      </x:c>
      <x:c r="I1490" s="1" t="n">
        <x:v>1</x:v>
      </x:c>
      <x:c r="J1490" s="1" t="n">
        <x:v>1</x:v>
      </x:c>
      <x:c r="K1490" s="1" t="str">
        <x:v>中证官方优先</x:v>
      </x:c>
    </x:row>
    <x:row r="1491" ht="25" customHeight="1">
      <x:c r="A1491" s="1" t="str">
        <x:v>sh000016</x:v>
      </x:c>
      <x:c r="B1491" s="1" t="str">
        <x:v>上证50</x:v>
      </x:c>
      <x:c r="C1491" s="1" t="str">
        <x:v>2013-07</x:v>
      </x:c>
      <x:c r="D1491" s="1" t="str">
        <x:v>2013-06-28</x:v>
      </x:c>
      <x:c r="E1491" s="5" t="n">
        <x:v>1552.38</x:v>
      </x:c>
      <x:c r="F1491" s="6" t="str">
        <x:v>2013-07-31</x:v>
      </x:c>
      <x:c r="G1491" s="5" t="n">
        <x:v>1504.17</x:v>
      </x:c>
      <x:c r="H1491" s="7" t="n">
        <x:f>G1491/E1491-1</x:f>
        <x:v>-0.031055540524871472</x:v>
      </x:c>
      <x:c r="I1491" s="1" t="n">
        <x:v>1</x:v>
      </x:c>
      <x:c r="J1491" s="1" t="n">
        <x:v>1</x:v>
      </x:c>
      <x:c r="K1491" s="1" t="str">
        <x:v>中证官方优先</x:v>
      </x:c>
    </x:row>
    <x:row r="1492" ht="25" customHeight="1">
      <x:c r="A1492" s="1" t="str">
        <x:v>sh000016</x:v>
      </x:c>
      <x:c r="B1492" s="1" t="str">
        <x:v>上证50</x:v>
      </x:c>
      <x:c r="C1492" s="1" t="str">
        <x:v>2013-08</x:v>
      </x:c>
      <x:c r="D1492" s="1" t="str">
        <x:v>2013-07-31</x:v>
      </x:c>
      <x:c r="E1492" s="5" t="n">
        <x:v>1504.17</x:v>
      </x:c>
      <x:c r="F1492" s="6" t="str">
        <x:v>2013-08-30</x:v>
      </x:c>
      <x:c r="G1492" s="5" t="n">
        <x:v>1589.78</x:v>
      </x:c>
      <x:c r="H1492" s="7" t="n">
        <x:f>G1492/E1492-1</x:f>
        <x:v>0.056915109329397584</x:v>
      </x:c>
      <x:c r="I1492" s="1" t="n">
        <x:v>1</x:v>
      </x:c>
      <x:c r="J1492" s="1" t="n">
        <x:v>1</x:v>
      </x:c>
      <x:c r="K1492" s="1" t="str">
        <x:v>中证官方优先</x:v>
      </x:c>
    </x:row>
    <x:row r="1493" ht="25" customHeight="1">
      <x:c r="A1493" s="1" t="str">
        <x:v>sh000016</x:v>
      </x:c>
      <x:c r="B1493" s="1" t="str">
        <x:v>上证50</x:v>
      </x:c>
      <x:c r="C1493" s="1" t="str">
        <x:v>2013-09</x:v>
      </x:c>
      <x:c r="D1493" s="1" t="str">
        <x:v>2013-08-30</x:v>
      </x:c>
      <x:c r="E1493" s="5" t="n">
        <x:v>1589.78</x:v>
      </x:c>
      <x:c r="F1493" s="6" t="str">
        <x:v>2013-09-30</x:v>
      </x:c>
      <x:c r="G1493" s="5" t="n">
        <x:v>1643.06</x:v>
      </x:c>
      <x:c r="H1493" s="7" t="n">
        <x:f>G1493/E1493-1</x:f>
        <x:v>0.033514071129338685</x:v>
      </x:c>
      <x:c r="I1493" s="1" t="n">
        <x:v>1</x:v>
      </x:c>
      <x:c r="J1493" s="1" t="n">
        <x:v>1</x:v>
      </x:c>
      <x:c r="K1493" s="1" t="str">
        <x:v>中证官方优先</x:v>
      </x:c>
    </x:row>
    <x:row r="1494" ht="25" customHeight="1">
      <x:c r="A1494" s="1" t="str">
        <x:v>sh000016</x:v>
      </x:c>
      <x:c r="B1494" s="1" t="str">
        <x:v>上证50</x:v>
      </x:c>
      <x:c r="C1494" s="1" t="str">
        <x:v>2013-10</x:v>
      </x:c>
      <x:c r="D1494" s="1" t="str">
        <x:v>2013-09-30</x:v>
      </x:c>
      <x:c r="E1494" s="5" t="n">
        <x:v>1643.06</x:v>
      </x:c>
      <x:c r="F1494" s="6" t="str">
        <x:v>2013-10-31</x:v>
      </x:c>
      <x:c r="G1494" s="5" t="n">
        <x:v>1631.05</x:v>
      </x:c>
      <x:c r="H1494" s="7" t="n">
        <x:f>G1494/E1494-1</x:f>
        <x:v>-0.007309532214283099</x:v>
      </x:c>
      <x:c r="I1494" s="1" t="n">
        <x:v>1</x:v>
      </x:c>
      <x:c r="J1494" s="1" t="n">
        <x:v>1</x:v>
      </x:c>
      <x:c r="K1494" s="1" t="str">
        <x:v>中证官方优先</x:v>
      </x:c>
    </x:row>
    <x:row r="1495" ht="25" customHeight="1">
      <x:c r="A1495" s="1" t="str">
        <x:v>sh000016</x:v>
      </x:c>
      <x:c r="B1495" s="1" t="str">
        <x:v>上证50</x:v>
      </x:c>
      <x:c r="C1495" s="1" t="str">
        <x:v>2013-11</x:v>
      </x:c>
      <x:c r="D1495" s="1" t="str">
        <x:v>2013-10-31</x:v>
      </x:c>
      <x:c r="E1495" s="5" t="n">
        <x:v>1631.05</x:v>
      </x:c>
      <x:c r="F1495" s="6" t="str">
        <x:v>2013-11-29</x:v>
      </x:c>
      <x:c r="G1495" s="5" t="n">
        <x:v>1661.41</x:v>
      </x:c>
      <x:c r="H1495" s="7" t="n">
        <x:f>G1495/E1495-1</x:f>
        <x:v>0.018613776401704474</x:v>
      </x:c>
      <x:c r="I1495" s="1" t="n">
        <x:v>1</x:v>
      </x:c>
      <x:c r="J1495" s="1" t="n">
        <x:v>1</x:v>
      </x:c>
      <x:c r="K1495" s="1" t="str">
        <x:v>中证官方优先</x:v>
      </x:c>
    </x:row>
    <x:row r="1496" ht="25" customHeight="1">
      <x:c r="A1496" s="1" t="str">
        <x:v>sh000016</x:v>
      </x:c>
      <x:c r="B1496" s="1" t="str">
        <x:v>上证50</x:v>
      </x:c>
      <x:c r="C1496" s="1" t="str">
        <x:v>2013-12</x:v>
      </x:c>
      <x:c r="D1496" s="1" t="str">
        <x:v>2013-11-29</x:v>
      </x:c>
      <x:c r="E1496" s="5" t="n">
        <x:v>1661.41</x:v>
      </x:c>
      <x:c r="F1496" s="6" t="str">
        <x:v>2013-12-31</x:v>
      </x:c>
      <x:c r="G1496" s="5" t="n">
        <x:v>1574.78</x:v>
      </x:c>
      <x:c r="H1496" s="7" t="n">
        <x:f>G1496/E1496-1</x:f>
        <x:v>-0.05214245731035694</x:v>
      </x:c>
      <x:c r="I1496" s="1" t="n">
        <x:v>1</x:v>
      </x:c>
      <x:c r="J1496" s="1" t="n">
        <x:v>1</x:v>
      </x:c>
      <x:c r="K1496" s="1" t="str">
        <x:v>中证官方优先</x:v>
      </x:c>
    </x:row>
    <x:row r="1497" ht="25" customHeight="1">
      <x:c r="A1497" s="1" t="str">
        <x:v>sh000016</x:v>
      </x:c>
      <x:c r="B1497" s="1" t="str">
        <x:v>上证50</x:v>
      </x:c>
      <x:c r="C1497" s="1" t="str">
        <x:v>2014-01</x:v>
      </x:c>
      <x:c r="D1497" s="1" t="str">
        <x:v>2013-12-31</x:v>
      </x:c>
      <x:c r="E1497" s="5" t="n">
        <x:v>1574.78</x:v>
      </x:c>
      <x:c r="F1497" s="6" t="str">
        <x:v>2014-01-30</x:v>
      </x:c>
      <x:c r="G1497" s="5" t="n">
        <x:v>1477.35</x:v>
      </x:c>
      <x:c r="H1497" s="7" t="n">
        <x:f>G1497/E1497-1</x:f>
        <x:v>-0.0618689594737043</x:v>
      </x:c>
      <x:c r="I1497" s="1" t="n">
        <x:v>1</x:v>
      </x:c>
      <x:c r="J1497" s="1" t="n">
        <x:v>1</x:v>
      </x:c>
      <x:c r="K1497" s="1" t="str">
        <x:v>中证官方优先</x:v>
      </x:c>
    </x:row>
    <x:row r="1498" ht="25" customHeight="1">
      <x:c r="A1498" s="1" t="str">
        <x:v>sh000016</x:v>
      </x:c>
      <x:c r="B1498" s="1" t="str">
        <x:v>上证50</x:v>
      </x:c>
      <x:c r="C1498" s="1" t="str">
        <x:v>2014-02</x:v>
      </x:c>
      <x:c r="D1498" s="1" t="str">
        <x:v>2014-01-30</x:v>
      </x:c>
      <x:c r="E1498" s="5" t="n">
        <x:v>1477.35</x:v>
      </x:c>
      <x:c r="F1498" s="6" t="str">
        <x:v>2014-02-28</x:v>
      </x:c>
      <x:c r="G1498" s="5" t="n">
        <x:v>1464.32</x:v>
      </x:c>
      <x:c r="H1498" s="7" t="n">
        <x:f>G1498/E1498-1</x:f>
        <x:v>-0.008819846346498794</x:v>
      </x:c>
      <x:c r="I1498" s="1" t="n">
        <x:v>1</x:v>
      </x:c>
      <x:c r="J1498" s="1" t="n">
        <x:v>1</x:v>
      </x:c>
      <x:c r="K1498" s="1" t="str">
        <x:v>中证官方优先</x:v>
      </x:c>
    </x:row>
    <x:row r="1499" ht="25" customHeight="1">
      <x:c r="A1499" s="1" t="str">
        <x:v>sh000016</x:v>
      </x:c>
      <x:c r="B1499" s="1" t="str">
        <x:v>上证50</x:v>
      </x:c>
      <x:c r="C1499" s="1" t="str">
        <x:v>2014-03</x:v>
      </x:c>
      <x:c r="D1499" s="1" t="str">
        <x:v>2014-02-28</x:v>
      </x:c>
      <x:c r="E1499" s="5" t="n">
        <x:v>1464.32</x:v>
      </x:c>
      <x:c r="F1499" s="6" t="str">
        <x:v>2014-03-31</x:v>
      </x:c>
      <x:c r="G1499" s="5" t="n">
        <x:v>1465.78</x:v>
      </x:c>
      <x:c r="H1499" s="7" t="n">
        <x:f>G1499/E1499-1</x:f>
        <x:v>0.0009970498251747895</x:v>
      </x:c>
      <x:c r="I1499" s="1" t="n">
        <x:v>1</x:v>
      </x:c>
      <x:c r="J1499" s="1" t="n">
        <x:v>1</x:v>
      </x:c>
      <x:c r="K1499" s="1" t="str">
        <x:v>中证官方优先</x:v>
      </x:c>
    </x:row>
    <x:row r="1500" ht="25" customHeight="1">
      <x:c r="A1500" s="1" t="str">
        <x:v>sh000016</x:v>
      </x:c>
      <x:c r="B1500" s="1" t="str">
        <x:v>上证50</x:v>
      </x:c>
      <x:c r="C1500" s="1" t="str">
        <x:v>2014-04</x:v>
      </x:c>
      <x:c r="D1500" s="1" t="str">
        <x:v>2014-03-31</x:v>
      </x:c>
      <x:c r="E1500" s="5" t="n">
        <x:v>1465.78</x:v>
      </x:c>
      <x:c r="F1500" s="6" t="str">
        <x:v>2014-04-30</x:v>
      </x:c>
      <x:c r="G1500" s="5" t="n">
        <x:v>1494.81</x:v>
      </x:c>
      <x:c r="H1500" s="7" t="n">
        <x:f>G1500/E1500-1</x:f>
        <x:v>0.019805154934574132</x:v>
      </x:c>
      <x:c r="I1500" s="1" t="n">
        <x:v>1</x:v>
      </x:c>
      <x:c r="J1500" s="1" t="n">
        <x:v>1</x:v>
      </x:c>
      <x:c r="K1500" s="1" t="str">
        <x:v>中证官方优先</x:v>
      </x:c>
    </x:row>
    <x:row r="1501" ht="25" customHeight="1">
      <x:c r="A1501" s="1" t="str">
        <x:v>sh000016</x:v>
      </x:c>
      <x:c r="B1501" s="1" t="str">
        <x:v>上证50</x:v>
      </x:c>
      <x:c r="C1501" s="1" t="str">
        <x:v>2014-05</x:v>
      </x:c>
      <x:c r="D1501" s="1" t="str">
        <x:v>2014-04-30</x:v>
      </x:c>
      <x:c r="E1501" s="5" t="n">
        <x:v>1494.81</x:v>
      </x:c>
      <x:c r="F1501" s="6" t="str">
        <x:v>2014-05-30</x:v>
      </x:c>
      <x:c r="G1501" s="5" t="n">
        <x:v>1482.1</x:v>
      </x:c>
      <x:c r="H1501" s="7" t="n">
        <x:f>G1501/E1501-1</x:f>
        <x:v>-0.008502752858222773</x:v>
      </x:c>
      <x:c r="I1501" s="1" t="n">
        <x:v>1</x:v>
      </x:c>
      <x:c r="J1501" s="1" t="n">
        <x:v>1</x:v>
      </x:c>
      <x:c r="K1501" s="1" t="str">
        <x:v>中证官方优先</x:v>
      </x:c>
    </x:row>
    <x:row r="1502" ht="25" customHeight="1">
      <x:c r="A1502" s="1" t="str">
        <x:v>sh000016</x:v>
      </x:c>
      <x:c r="B1502" s="1" t="str">
        <x:v>上证50</x:v>
      </x:c>
      <x:c r="C1502" s="1" t="str">
        <x:v>2014-06</x:v>
      </x:c>
      <x:c r="D1502" s="1" t="str">
        <x:v>2014-05-30</x:v>
      </x:c>
      <x:c r="E1502" s="5" t="n">
        <x:v>1482.1</x:v>
      </x:c>
      <x:c r="F1502" s="6" t="str">
        <x:v>2014-06-30</x:v>
      </x:c>
      <x:c r="G1502" s="5" t="n">
        <x:v>1482.41</x:v>
      </x:c>
      <x:c r="H1502" s="7" t="n">
        <x:f>G1502/E1502-1</x:f>
        <x:v>0.00020916267458348514</x:v>
      </x:c>
      <x:c r="I1502" s="1" t="n">
        <x:v>1</x:v>
      </x:c>
      <x:c r="J1502" s="1" t="n">
        <x:v>1</x:v>
      </x:c>
      <x:c r="K1502" s="1" t="str">
        <x:v>中证官方优先</x:v>
      </x:c>
    </x:row>
    <x:row r="1503" ht="25" customHeight="1">
      <x:c r="A1503" s="1" t="str">
        <x:v>sh000016</x:v>
      </x:c>
      <x:c r="B1503" s="1" t="str">
        <x:v>上证50</x:v>
      </x:c>
      <x:c r="C1503" s="1" t="str">
        <x:v>2014-07</x:v>
      </x:c>
      <x:c r="D1503" s="1" t="str">
        <x:v>2014-06-30</x:v>
      </x:c>
      <x:c r="E1503" s="5" t="n">
        <x:v>1482.41</x:v>
      </x:c>
      <x:c r="F1503" s="6" t="str">
        <x:v>2014-07-31</x:v>
      </x:c>
      <x:c r="G1503" s="5" t="n">
        <x:v>1621.85</x:v>
      </x:c>
      <x:c r="H1503" s="7" t="n">
        <x:f>G1503/E1503-1</x:f>
        <x:v>0.09406304598592818</x:v>
      </x:c>
      <x:c r="I1503" s="1" t="n">
        <x:v>1</x:v>
      </x:c>
      <x:c r="J1503" s="1" t="n">
        <x:v>1</x:v>
      </x:c>
      <x:c r="K1503" s="1" t="str">
        <x:v>中证官方优先</x:v>
      </x:c>
    </x:row>
    <x:row r="1504" ht="25" customHeight="1">
      <x:c r="A1504" s="1" t="str">
        <x:v>sh000016</x:v>
      </x:c>
      <x:c r="B1504" s="1" t="str">
        <x:v>上证50</x:v>
      </x:c>
      <x:c r="C1504" s="1" t="str">
        <x:v>2014-08</x:v>
      </x:c>
      <x:c r="D1504" s="1" t="str">
        <x:v>2014-07-31</x:v>
      </x:c>
      <x:c r="E1504" s="5" t="n">
        <x:v>1621.85</x:v>
      </x:c>
      <x:c r="F1504" s="6" t="str">
        <x:v>2014-08-29</x:v>
      </x:c>
      <x:c r="G1504" s="5" t="n">
        <x:v>1581.28</x:v>
      </x:c>
      <x:c r="H1504" s="7" t="n">
        <x:f>G1504/E1504-1</x:f>
        <x:v>-0.025014643771002265</x:v>
      </x:c>
      <x:c r="I1504" s="1" t="n">
        <x:v>1</x:v>
      </x:c>
      <x:c r="J1504" s="1" t="n">
        <x:v>1</x:v>
      </x:c>
      <x:c r="K1504" s="1" t="str">
        <x:v>中证官方优先</x:v>
      </x:c>
    </x:row>
    <x:row r="1505" ht="25" customHeight="1">
      <x:c r="A1505" s="1" t="str">
        <x:v>sh000016</x:v>
      </x:c>
      <x:c r="B1505" s="1" t="str">
        <x:v>上证50</x:v>
      </x:c>
      <x:c r="C1505" s="1" t="str">
        <x:v>2014-09</x:v>
      </x:c>
      <x:c r="D1505" s="1" t="str">
        <x:v>2014-08-29</x:v>
      </x:c>
      <x:c r="E1505" s="5" t="n">
        <x:v>1581.28</x:v>
      </x:c>
      <x:c r="F1505" s="6" t="str">
        <x:v>2014-09-30</x:v>
      </x:c>
      <x:c r="G1505" s="5" t="n">
        <x:v>1619.7</x:v>
      </x:c>
      <x:c r="H1505" s="7" t="n">
        <x:f>G1505/E1505-1</x:f>
        <x:v>0.024296772235151254</x:v>
      </x:c>
      <x:c r="I1505" s="1" t="n">
        <x:v>1</x:v>
      </x:c>
      <x:c r="J1505" s="1" t="n">
        <x:v>1</x:v>
      </x:c>
      <x:c r="K1505" s="1" t="str">
        <x:v>中证官方优先</x:v>
      </x:c>
    </x:row>
    <x:row r="1506" ht="25" customHeight="1">
      <x:c r="A1506" s="1" t="str">
        <x:v>sh000016</x:v>
      </x:c>
      <x:c r="B1506" s="1" t="str">
        <x:v>上证50</x:v>
      </x:c>
      <x:c r="C1506" s="1" t="str">
        <x:v>2014-10</x:v>
      </x:c>
      <x:c r="D1506" s="1" t="str">
        <x:v>2014-09-30</x:v>
      </x:c>
      <x:c r="E1506" s="5" t="n">
        <x:v>1619.7</x:v>
      </x:c>
      <x:c r="F1506" s="6" t="str">
        <x:v>2014-10-31</x:v>
      </x:c>
      <x:c r="G1506" s="5" t="n">
        <x:v>1657.29</x:v>
      </x:c>
      <x:c r="H1506" s="7" t="n">
        <x:f>G1506/E1506-1</x:f>
        <x:v>0.023208001481755725</x:v>
      </x:c>
      <x:c r="I1506" s="1" t="n">
        <x:v>1</x:v>
      </x:c>
      <x:c r="J1506" s="1" t="n">
        <x:v>1</x:v>
      </x:c>
      <x:c r="K1506" s="1" t="str">
        <x:v>中证官方优先</x:v>
      </x:c>
    </x:row>
    <x:row r="1507" ht="25" customHeight="1">
      <x:c r="A1507" s="1" t="str">
        <x:v>sh000016</x:v>
      </x:c>
      <x:c r="B1507" s="1" t="str">
        <x:v>上证50</x:v>
      </x:c>
      <x:c r="C1507" s="1" t="str">
        <x:v>2014-11</x:v>
      </x:c>
      <x:c r="D1507" s="1" t="str">
        <x:v>2014-10-31</x:v>
      </x:c>
      <x:c r="E1507" s="5" t="n">
        <x:v>1657.29</x:v>
      </x:c>
      <x:c r="F1507" s="6" t="str">
        <x:v>2014-11-28</x:v>
      </x:c>
      <x:c r="G1507" s="5" t="n">
        <x:v>1914.44</x:v>
      </x:c>
      <x:c r="H1507" s="7" t="n">
        <x:f>G1507/E1507-1</x:f>
        <x:v>0.15516294673834996</x:v>
      </x:c>
      <x:c r="I1507" s="1" t="n">
        <x:v>1</x:v>
      </x:c>
      <x:c r="J1507" s="1" t="n">
        <x:v>1</x:v>
      </x:c>
      <x:c r="K1507" s="1" t="str">
        <x:v>中证官方优先</x:v>
      </x:c>
    </x:row>
    <x:row r="1508" ht="25" customHeight="1">
      <x:c r="A1508" s="1" t="str">
        <x:v>sh000016</x:v>
      </x:c>
      <x:c r="B1508" s="1" t="str">
        <x:v>上证50</x:v>
      </x:c>
      <x:c r="C1508" s="1" t="str">
        <x:v>2014-12</x:v>
      </x:c>
      <x:c r="D1508" s="1" t="str">
        <x:v>2014-11-28</x:v>
      </x:c>
      <x:c r="E1508" s="5" t="n">
        <x:v>1914.44</x:v>
      </x:c>
      <x:c r="F1508" s="6" t="str">
        <x:v>2014-12-31</x:v>
      </x:c>
      <x:c r="G1508" s="5" t="n">
        <x:v>2581.57</x:v>
      </x:c>
      <x:c r="H1508" s="7" t="n">
        <x:f>G1508/E1508-1</x:f>
        <x:v>0.3484726604124444</x:v>
      </x:c>
      <x:c r="I1508" s="1" t="n">
        <x:v>1</x:v>
      </x:c>
      <x:c r="J1508" s="1" t="n">
        <x:v>1</x:v>
      </x:c>
      <x:c r="K1508" s="1" t="str">
        <x:v>中证官方优先</x:v>
      </x:c>
    </x:row>
    <x:row r="1509" ht="25" customHeight="1">
      <x:c r="A1509" s="1" t="str">
        <x:v>sh000016</x:v>
      </x:c>
      <x:c r="B1509" s="1" t="str">
        <x:v>上证50</x:v>
      </x:c>
      <x:c r="C1509" s="1" t="str">
        <x:v>2015-01</x:v>
      </x:c>
      <x:c r="D1509" s="1" t="str">
        <x:v>2014-12-31</x:v>
      </x:c>
      <x:c r="E1509" s="5" t="n">
        <x:v>2581.57</x:v>
      </x:c>
      <x:c r="F1509" s="6" t="str">
        <x:v>2015-01-30</x:v>
      </x:c>
      <x:c r="G1509" s="5" t="n">
        <x:v>2405.38</x:v>
      </x:c>
      <x:c r="H1509" s="7" t="n">
        <x:f>G1509/E1509-1</x:f>
        <x:v>-0.06824916620506127</x:v>
      </x:c>
      <x:c r="I1509" s="1" t="n">
        <x:v>1</x:v>
      </x:c>
      <x:c r="J1509" s="1" t="n">
        <x:v>1</x:v>
      </x:c>
      <x:c r="K1509" s="1" t="str">
        <x:v>中证官方优先</x:v>
      </x:c>
    </x:row>
    <x:row r="1510" ht="25" customHeight="1">
      <x:c r="A1510" s="1" t="str">
        <x:v>sh000016</x:v>
      </x:c>
      <x:c r="B1510" s="1" t="str">
        <x:v>上证50</x:v>
      </x:c>
      <x:c r="C1510" s="1" t="str">
        <x:v>2015-02</x:v>
      </x:c>
      <x:c r="D1510" s="1" t="str">
        <x:v>2015-01-30</x:v>
      </x:c>
      <x:c r="E1510" s="5" t="n">
        <x:v>2405.38</x:v>
      </x:c>
      <x:c r="F1510" s="6" t="str">
        <x:v>2015-02-27</x:v>
      </x:c>
      <x:c r="G1510" s="5" t="n">
        <x:v>2474.6</x:v>
      </x:c>
      <x:c r="H1510" s="7" t="n">
        <x:f>G1510/E1510-1</x:f>
        <x:v>0.028777157871105574</x:v>
      </x:c>
      <x:c r="I1510" s="1" t="n">
        <x:v>1</x:v>
      </x:c>
      <x:c r="J1510" s="1" t="n">
        <x:v>1</x:v>
      </x:c>
      <x:c r="K1510" s="1" t="str">
        <x:v>中证官方优先</x:v>
      </x:c>
    </x:row>
    <x:row r="1511" ht="25" customHeight="1">
      <x:c r="A1511" s="1" t="str">
        <x:v>sh000016</x:v>
      </x:c>
      <x:c r="B1511" s="1" t="str">
        <x:v>上证50</x:v>
      </x:c>
      <x:c r="C1511" s="1" t="str">
        <x:v>2015-03</x:v>
      </x:c>
      <x:c r="D1511" s="1" t="str">
        <x:v>2015-02-27</x:v>
      </x:c>
      <x:c r="E1511" s="5" t="n">
        <x:v>2474.6</x:v>
      </x:c>
      <x:c r="F1511" s="6" t="str">
        <x:v>2015-03-31</x:v>
      </x:c>
      <x:c r="G1511" s="5" t="n">
        <x:v>2754.66</x:v>
      </x:c>
      <x:c r="H1511" s="7" t="n">
        <x:f>G1511/E1511-1</x:f>
        <x:v>0.11317384627818639</x:v>
      </x:c>
      <x:c r="I1511" s="1" t="n">
        <x:v>1</x:v>
      </x:c>
      <x:c r="J1511" s="1" t="n">
        <x:v>1</x:v>
      </x:c>
      <x:c r="K1511" s="1" t="str">
        <x:v>中证官方优先</x:v>
      </x:c>
    </x:row>
    <x:row r="1512" ht="25" customHeight="1">
      <x:c r="A1512" s="1" t="str">
        <x:v>sh000016</x:v>
      </x:c>
      <x:c r="B1512" s="1" t="str">
        <x:v>上证50</x:v>
      </x:c>
      <x:c r="C1512" s="1" t="str">
        <x:v>2015-04</x:v>
      </x:c>
      <x:c r="D1512" s="1" t="str">
        <x:v>2015-03-31</x:v>
      </x:c>
      <x:c r="E1512" s="5" t="n">
        <x:v>2754.66</x:v>
      </x:c>
      <x:c r="F1512" s="6" t="str">
        <x:v>2015-04-30</x:v>
      </x:c>
      <x:c r="G1512" s="5" t="n">
        <x:v>3250.49</x:v>
      </x:c>
      <x:c r="H1512" s="7" t="n">
        <x:f>G1512/E1512-1</x:f>
        <x:v>0.17999680541337226</x:v>
      </x:c>
      <x:c r="I1512" s="1" t="n">
        <x:v>1</x:v>
      </x:c>
      <x:c r="J1512" s="1" t="n">
        <x:v>1</x:v>
      </x:c>
      <x:c r="K1512" s="1" t="str">
        <x:v>中证官方优先</x:v>
      </x:c>
    </x:row>
    <x:row r="1513" ht="25" customHeight="1">
      <x:c r="A1513" s="1" t="str">
        <x:v>sh000016</x:v>
      </x:c>
      <x:c r="B1513" s="1" t="str">
        <x:v>上证50</x:v>
      </x:c>
      <x:c r="C1513" s="1" t="str">
        <x:v>2015-05</x:v>
      </x:c>
      <x:c r="D1513" s="1" t="str">
        <x:v>2015-04-30</x:v>
      </x:c>
      <x:c r="E1513" s="5" t="n">
        <x:v>3250.49</x:v>
      </x:c>
      <x:c r="F1513" s="6" t="str">
        <x:v>2015-05-29</x:v>
      </x:c>
      <x:c r="G1513" s="5" t="n">
        <x:v>3111.33</x:v>
      </x:c>
      <x:c r="H1513" s="7" t="n">
        <x:f>G1513/E1513-1</x:f>
        <x:v>-0.042812006805127756</x:v>
      </x:c>
      <x:c r="I1513" s="1" t="n">
        <x:v>1</x:v>
      </x:c>
      <x:c r="J1513" s="1" t="n">
        <x:v>1</x:v>
      </x:c>
      <x:c r="K1513" s="1" t="str">
        <x:v>中证官方优先</x:v>
      </x:c>
    </x:row>
    <x:row r="1514" ht="25" customHeight="1">
      <x:c r="A1514" s="1" t="str">
        <x:v>sh000016</x:v>
      </x:c>
      <x:c r="B1514" s="1" t="str">
        <x:v>上证50</x:v>
      </x:c>
      <x:c r="C1514" s="1" t="str">
        <x:v>2015-06</x:v>
      </x:c>
      <x:c r="D1514" s="1" t="str">
        <x:v>2015-05-29</x:v>
      </x:c>
      <x:c r="E1514" s="5" t="n">
        <x:v>3111.33</x:v>
      </x:c>
      <x:c r="F1514" s="6" t="str">
        <x:v>2015-06-30</x:v>
      </x:c>
      <x:c r="G1514" s="5" t="n">
        <x:v>2870.03</x:v>
      </x:c>
      <x:c r="H1514" s="7" t="n">
        <x:f>G1514/E1514-1</x:f>
        <x:v>-0.07755525771936755</x:v>
      </x:c>
      <x:c r="I1514" s="1" t="n">
        <x:v>1</x:v>
      </x:c>
      <x:c r="J1514" s="1" t="n">
        <x:v>1</x:v>
      </x:c>
      <x:c r="K1514" s="1" t="str">
        <x:v>中证官方优先</x:v>
      </x:c>
    </x:row>
    <x:row r="1515" ht="25" customHeight="1">
      <x:c r="A1515" s="1" t="str">
        <x:v>sh000016</x:v>
      </x:c>
      <x:c r="B1515" s="1" t="str">
        <x:v>上证50</x:v>
      </x:c>
      <x:c r="C1515" s="1" t="str">
        <x:v>2015-07</x:v>
      </x:c>
      <x:c r="D1515" s="1" t="str">
        <x:v>2015-06-30</x:v>
      </x:c>
      <x:c r="E1515" s="5" t="n">
        <x:v>2870.03</x:v>
      </x:c>
      <x:c r="F1515" s="6" t="str">
        <x:v>2015-07-31</x:v>
      </x:c>
      <x:c r="G1515" s="5" t="n">
        <x:v>2461.24</x:v>
      </x:c>
      <x:c r="H1515" s="7" t="n">
        <x:f>G1515/E1515-1</x:f>
        <x:v>-0.14243405121200836</x:v>
      </x:c>
      <x:c r="I1515" s="1" t="n">
        <x:v>1</x:v>
      </x:c>
      <x:c r="J1515" s="1" t="n">
        <x:v>1</x:v>
      </x:c>
      <x:c r="K1515" s="1" t="str">
        <x:v>中证官方优先</x:v>
      </x:c>
    </x:row>
    <x:row r="1516" ht="25" customHeight="1">
      <x:c r="A1516" s="1" t="str">
        <x:v>sh000016</x:v>
      </x:c>
      <x:c r="B1516" s="1" t="str">
        <x:v>上证50</x:v>
      </x:c>
      <x:c r="C1516" s="1" t="str">
        <x:v>2015-08</x:v>
      </x:c>
      <x:c r="D1516" s="1" t="str">
        <x:v>2015-07-31</x:v>
      </x:c>
      <x:c r="E1516" s="5" t="n">
        <x:v>2461.24</x:v>
      </x:c>
      <x:c r="F1516" s="6" t="str">
        <x:v>2015-08-31</x:v>
      </x:c>
      <x:c r="G1516" s="5" t="n">
        <x:v>2210.45</x:v>
      </x:c>
      <x:c r="H1516" s="7" t="n">
        <x:f>G1516/E1516-1</x:f>
        <x:v>-0.10189579236482427</x:v>
      </x:c>
      <x:c r="I1516" s="1" t="n">
        <x:v>1</x:v>
      </x:c>
      <x:c r="J1516" s="1" t="n">
        <x:v>1</x:v>
      </x:c>
      <x:c r="K1516" s="1" t="str">
        <x:v>中证官方优先</x:v>
      </x:c>
    </x:row>
    <x:row r="1517" ht="25" customHeight="1">
      <x:c r="A1517" s="1" t="str">
        <x:v>sh000016</x:v>
      </x:c>
      <x:c r="B1517" s="1" t="str">
        <x:v>上证50</x:v>
      </x:c>
      <x:c r="C1517" s="1" t="str">
        <x:v>2015-09</x:v>
      </x:c>
      <x:c r="D1517" s="1" t="str">
        <x:v>2015-08-31</x:v>
      </x:c>
      <x:c r="E1517" s="5" t="n">
        <x:v>2210.45</x:v>
      </x:c>
      <x:c r="F1517" s="6" t="str">
        <x:v>2015-09-30</x:v>
      </x:c>
      <x:c r="G1517" s="5" t="n">
        <x:v>2146.12</x:v>
      </x:c>
      <x:c r="H1517" s="7" t="n">
        <x:f>G1517/E1517-1</x:f>
        <x:v>-0.029102671401750713</x:v>
      </x:c>
      <x:c r="I1517" s="1" t="n">
        <x:v>1</x:v>
      </x:c>
      <x:c r="J1517" s="1" t="n">
        <x:v>1</x:v>
      </x:c>
      <x:c r="K1517" s="1" t="str">
        <x:v>中证官方优先</x:v>
      </x:c>
    </x:row>
    <x:row r="1518" ht="25" customHeight="1">
      <x:c r="A1518" s="1" t="str">
        <x:v>sh000016</x:v>
      </x:c>
      <x:c r="B1518" s="1" t="str">
        <x:v>上证50</x:v>
      </x:c>
      <x:c r="C1518" s="1" t="str">
        <x:v>2015-10</x:v>
      </x:c>
      <x:c r="D1518" s="1" t="str">
        <x:v>2015-09-30</x:v>
      </x:c>
      <x:c r="E1518" s="5" t="n">
        <x:v>2146.12</x:v>
      </x:c>
      <x:c r="F1518" s="6" t="str">
        <x:v>2015-10-30</x:v>
      </x:c>
      <x:c r="G1518" s="5" t="n">
        <x:v>2312.97</x:v>
      </x:c>
      <x:c r="H1518" s="7" t="n">
        <x:f>G1518/E1518-1</x:f>
        <x:v>0.07774495368385725</x:v>
      </x:c>
      <x:c r="I1518" s="1" t="n">
        <x:v>1</x:v>
      </x:c>
      <x:c r="J1518" s="1" t="n">
        <x:v>1</x:v>
      </x:c>
      <x:c r="K1518" s="1" t="str">
        <x:v>中证官方优先</x:v>
      </x:c>
    </x:row>
    <x:row r="1519" ht="25" customHeight="1">
      <x:c r="A1519" s="1" t="str">
        <x:v>sh000016</x:v>
      </x:c>
      <x:c r="B1519" s="1" t="str">
        <x:v>上证50</x:v>
      </x:c>
      <x:c r="C1519" s="1" t="str">
        <x:v>2015-11</x:v>
      </x:c>
      <x:c r="D1519" s="1" t="str">
        <x:v>2015-10-30</x:v>
      </x:c>
      <x:c r="E1519" s="5" t="n">
        <x:v>2312.97</x:v>
      </x:c>
      <x:c r="F1519" s="6" t="str">
        <x:v>2015-11-30</x:v>
      </x:c>
      <x:c r="G1519" s="5" t="n">
        <x:v>2336.29</x:v>
      </x:c>
      <x:c r="H1519" s="7" t="n">
        <x:f>G1519/E1519-1</x:f>
        <x:v>0.010082275170019583</x:v>
      </x:c>
      <x:c r="I1519" s="1" t="n">
        <x:v>1</x:v>
      </x:c>
      <x:c r="J1519" s="1" t="n">
        <x:v>1</x:v>
      </x:c>
      <x:c r="K1519" s="1" t="str">
        <x:v>中证官方优先</x:v>
      </x:c>
    </x:row>
    <x:row r="1520" ht="25" customHeight="1">
      <x:c r="A1520" s="1" t="str">
        <x:v>sh000016</x:v>
      </x:c>
      <x:c r="B1520" s="1" t="str">
        <x:v>上证50</x:v>
      </x:c>
      <x:c r="C1520" s="1" t="str">
        <x:v>2015-12</x:v>
      </x:c>
      <x:c r="D1520" s="1" t="str">
        <x:v>2015-11-30</x:v>
      </x:c>
      <x:c r="E1520" s="5" t="n">
        <x:v>2336.29</x:v>
      </x:c>
      <x:c r="F1520" s="6" t="str">
        <x:v>2015-12-31</x:v>
      </x:c>
      <x:c r="G1520" s="5" t="n">
        <x:v>2420.8</x:v>
      </x:c>
      <x:c r="H1520" s="7" t="n">
        <x:f>G1520/E1520-1</x:f>
        <x:v>0.03617273540527943</x:v>
      </x:c>
      <x:c r="I1520" s="1" t="n">
        <x:v>1</x:v>
      </x:c>
      <x:c r="J1520" s="1" t="n">
        <x:v>1</x:v>
      </x:c>
      <x:c r="K1520" s="1" t="str">
        <x:v>中证官方优先</x:v>
      </x:c>
    </x:row>
    <x:row r="1521" ht="25" customHeight="1">
      <x:c r="A1521" s="1" t="str">
        <x:v>sh000016</x:v>
      </x:c>
      <x:c r="B1521" s="1" t="str">
        <x:v>上证50</x:v>
      </x:c>
      <x:c r="C1521" s="1" t="str">
        <x:v>2016-01</x:v>
      </x:c>
      <x:c r="D1521" s="1" t="str">
        <x:v>2015-12-31</x:v>
      </x:c>
      <x:c r="E1521" s="5" t="n">
        <x:v>2420.8</x:v>
      </x:c>
      <x:c r="F1521" s="6" t="str">
        <x:v>2016-01-29</x:v>
      </x:c>
      <x:c r="G1521" s="5" t="n">
        <x:v>1973.01</x:v>
      </x:c>
      <x:c r="H1521" s="7" t="n">
        <x:f>G1521/E1521-1</x:f>
        <x:v>-0.1849760409781891</x:v>
      </x:c>
      <x:c r="I1521" s="1" t="n">
        <x:v>1</x:v>
      </x:c>
      <x:c r="J1521" s="1" t="n">
        <x:v>1</x:v>
      </x:c>
      <x:c r="K1521" s="1" t="str">
        <x:v>中证官方优先</x:v>
      </x:c>
    </x:row>
    <x:row r="1522" ht="25" customHeight="1">
      <x:c r="A1522" s="1" t="str">
        <x:v>sh000016</x:v>
      </x:c>
      <x:c r="B1522" s="1" t="str">
        <x:v>上证50</x:v>
      </x:c>
      <x:c r="C1522" s="1" t="str">
        <x:v>2016-02</x:v>
      </x:c>
      <x:c r="D1522" s="1" t="str">
        <x:v>2016-01-29</x:v>
      </x:c>
      <x:c r="E1522" s="5" t="n">
        <x:v>1973.01</x:v>
      </x:c>
      <x:c r="F1522" s="6" t="str">
        <x:v>2016-02-29</x:v>
      </x:c>
      <x:c r="G1522" s="5" t="n">
        <x:v>1944.61</x:v>
      </x:c>
      <x:c r="H1522" s="7" t="n">
        <x:f>G1522/E1522-1</x:f>
        <x:v>-0.014394250409273224</x:v>
      </x:c>
      <x:c r="I1522" s="1" t="n">
        <x:v>1</x:v>
      </x:c>
      <x:c r="J1522" s="1" t="n">
        <x:v>1</x:v>
      </x:c>
      <x:c r="K1522" s="1" t="str">
        <x:v>中证官方优先</x:v>
      </x:c>
    </x:row>
    <x:row r="1523" ht="25" customHeight="1">
      <x:c r="A1523" s="1" t="str">
        <x:v>sh000016</x:v>
      </x:c>
      <x:c r="B1523" s="1" t="str">
        <x:v>上证50</x:v>
      </x:c>
      <x:c r="C1523" s="1" t="str">
        <x:v>2016-03</x:v>
      </x:c>
      <x:c r="D1523" s="1" t="str">
        <x:v>2016-02-29</x:v>
      </x:c>
      <x:c r="E1523" s="5" t="n">
        <x:v>1944.61</x:v>
      </x:c>
      <x:c r="F1523" s="6" t="str">
        <x:v>2016-03-31</x:v>
      </x:c>
      <x:c r="G1523" s="5" t="n">
        <x:v>2156.54</x:v>
      </x:c>
      <x:c r="H1523" s="7" t="n">
        <x:f>G1523/E1523-1</x:f>
        <x:v>0.10898329227968584</x:v>
      </x:c>
      <x:c r="I1523" s="1" t="n">
        <x:v>1</x:v>
      </x:c>
      <x:c r="J1523" s="1" t="n">
        <x:v>1</x:v>
      </x:c>
      <x:c r="K1523" s="1" t="str">
        <x:v>中证官方优先</x:v>
      </x:c>
    </x:row>
    <x:row r="1524" ht="25" customHeight="1">
      <x:c r="A1524" s="1" t="str">
        <x:v>sh000016</x:v>
      </x:c>
      <x:c r="B1524" s="1" t="str">
        <x:v>上证50</x:v>
      </x:c>
      <x:c r="C1524" s="1" t="str">
        <x:v>2016-04</x:v>
      </x:c>
      <x:c r="D1524" s="1" t="str">
        <x:v>2016-03-31</x:v>
      </x:c>
      <x:c r="E1524" s="5" t="n">
        <x:v>2156.54</x:v>
      </x:c>
      <x:c r="F1524" s="6" t="str">
        <x:v>2016-04-29</x:v>
      </x:c>
      <x:c r="G1524" s="5" t="n">
        <x:v>2135.51</x:v>
      </x:c>
      <x:c r="H1524" s="7" t="n">
        <x:f>G1524/E1524-1</x:f>
        <x:v>-0.009751731940979447</x:v>
      </x:c>
      <x:c r="I1524" s="1" t="n">
        <x:v>1</x:v>
      </x:c>
      <x:c r="J1524" s="1" t="n">
        <x:v>1</x:v>
      </x:c>
      <x:c r="K1524" s="1" t="str">
        <x:v>中证官方优先</x:v>
      </x:c>
    </x:row>
    <x:row r="1525" ht="25" customHeight="1">
      <x:c r="A1525" s="1" t="str">
        <x:v>sh000016</x:v>
      </x:c>
      <x:c r="B1525" s="1" t="str">
        <x:v>上证50</x:v>
      </x:c>
      <x:c r="C1525" s="1" t="str">
        <x:v>2016-05</x:v>
      </x:c>
      <x:c r="D1525" s="1" t="str">
        <x:v>2016-04-29</x:v>
      </x:c>
      <x:c r="E1525" s="5" t="n">
        <x:v>2135.51</x:v>
      </x:c>
      <x:c r="F1525" s="6" t="str">
        <x:v>2016-05-31</x:v>
      </x:c>
      <x:c r="G1525" s="5" t="n">
        <x:v>2155.66</x:v>
      </x:c>
      <x:c r="H1525" s="7" t="n">
        <x:f>G1525/E1525-1</x:f>
        <x:v>0.009435685152492601</x:v>
      </x:c>
      <x:c r="I1525" s="1" t="n">
        <x:v>1</x:v>
      </x:c>
      <x:c r="J1525" s="1" t="n">
        <x:v>1</x:v>
      </x:c>
      <x:c r="K1525" s="1" t="str">
        <x:v>中证官方优先</x:v>
      </x:c>
    </x:row>
    <x:row r="1526" ht="25" customHeight="1">
      <x:c r="A1526" s="1" t="str">
        <x:v>sh000016</x:v>
      </x:c>
      <x:c r="B1526" s="1" t="str">
        <x:v>上证50</x:v>
      </x:c>
      <x:c r="C1526" s="1" t="str">
        <x:v>2016-06</x:v>
      </x:c>
      <x:c r="D1526" s="1" t="str">
        <x:v>2016-05-31</x:v>
      </x:c>
      <x:c r="E1526" s="5" t="n">
        <x:v>2155.66</x:v>
      </x:c>
      <x:c r="F1526" s="6" t="str">
        <x:v>2016-06-30</x:v>
      </x:c>
      <x:c r="G1526" s="5" t="n">
        <x:v>2122.63</x:v>
      </x:c>
      <x:c r="H1526" s="7" t="n">
        <x:f>G1526/E1526-1</x:f>
        <x:v>-0.015322453448131768</x:v>
      </x:c>
      <x:c r="I1526" s="1" t="n">
        <x:v>1</x:v>
      </x:c>
      <x:c r="J1526" s="1" t="n">
        <x:v>1</x:v>
      </x:c>
      <x:c r="K1526" s="1" t="str">
        <x:v>中证官方优先</x:v>
      </x:c>
    </x:row>
    <x:row r="1527" ht="25" customHeight="1">
      <x:c r="A1527" s="1" t="str">
        <x:v>sh000016</x:v>
      </x:c>
      <x:c r="B1527" s="1" t="str">
        <x:v>上证50</x:v>
      </x:c>
      <x:c r="C1527" s="1" t="str">
        <x:v>2016-07</x:v>
      </x:c>
      <x:c r="D1527" s="1" t="str">
        <x:v>2016-06-30</x:v>
      </x:c>
      <x:c r="E1527" s="5" t="n">
        <x:v>2122.63</x:v>
      </x:c>
      <x:c r="F1527" s="6" t="str">
        <x:v>2016-07-29</x:v>
      </x:c>
      <x:c r="G1527" s="5" t="n">
        <x:v>2155.24</x:v>
      </x:c>
      <x:c r="H1527" s="7" t="n">
        <x:f>G1527/E1527-1</x:f>
        <x:v>0.015363016635023374</x:v>
      </x:c>
      <x:c r="I1527" s="1" t="n">
        <x:v>1</x:v>
      </x:c>
      <x:c r="J1527" s="1" t="n">
        <x:v>1</x:v>
      </x:c>
      <x:c r="K1527" s="1" t="str">
        <x:v>中证官方优先</x:v>
      </x:c>
    </x:row>
    <x:row r="1528" ht="25" customHeight="1">
      <x:c r="A1528" s="1" t="str">
        <x:v>sh000016</x:v>
      </x:c>
      <x:c r="B1528" s="1" t="str">
        <x:v>上证50</x:v>
      </x:c>
      <x:c r="C1528" s="1" t="str">
        <x:v>2016-08</x:v>
      </x:c>
      <x:c r="D1528" s="1" t="str">
        <x:v>2016-07-29</x:v>
      </x:c>
      <x:c r="E1528" s="5" t="n">
        <x:v>2155.24</x:v>
      </x:c>
      <x:c r="F1528" s="6" t="str">
        <x:v>2016-08-31</x:v>
      </x:c>
      <x:c r="G1528" s="5" t="n">
        <x:v>2232.71</x:v>
      </x:c>
      <x:c r="H1528" s="7" t="n">
        <x:f>G1528/E1528-1</x:f>
        <x:v>0.0359449527662814</x:v>
      </x:c>
      <x:c r="I1528" s="1" t="n">
        <x:v>1</x:v>
      </x:c>
      <x:c r="J1528" s="1" t="n">
        <x:v>1</x:v>
      </x:c>
      <x:c r="K1528" s="1" t="str">
        <x:v>中证官方优先</x:v>
      </x:c>
    </x:row>
    <x:row r="1529" ht="25" customHeight="1">
      <x:c r="A1529" s="1" t="str">
        <x:v>sh000016</x:v>
      </x:c>
      <x:c r="B1529" s="1" t="str">
        <x:v>上证50</x:v>
      </x:c>
      <x:c r="C1529" s="1" t="str">
        <x:v>2016-09</x:v>
      </x:c>
      <x:c r="D1529" s="1" t="str">
        <x:v>2016-08-31</x:v>
      </x:c>
      <x:c r="E1529" s="5" t="n">
        <x:v>2232.71</x:v>
      </x:c>
      <x:c r="F1529" s="6" t="str">
        <x:v>2016-09-30</x:v>
      </x:c>
      <x:c r="G1529" s="5" t="n">
        <x:v>2177.35</x:v>
      </x:c>
      <x:c r="H1529" s="7" t="n">
        <x:f>G1529/E1529-1</x:f>
        <x:v>-0.02479498009145842</x:v>
      </x:c>
      <x:c r="I1529" s="1" t="n">
        <x:v>1</x:v>
      </x:c>
      <x:c r="J1529" s="1" t="n">
        <x:v>1</x:v>
      </x:c>
      <x:c r="K1529" s="1" t="str">
        <x:v>中证官方优先</x:v>
      </x:c>
    </x:row>
    <x:row r="1530" ht="25" customHeight="1">
      <x:c r="A1530" s="1" t="str">
        <x:v>sh000016</x:v>
      </x:c>
      <x:c r="B1530" s="1" t="str">
        <x:v>上证50</x:v>
      </x:c>
      <x:c r="C1530" s="1" t="str">
        <x:v>2016-10</x:v>
      </x:c>
      <x:c r="D1530" s="1" t="str">
        <x:v>2016-09-30</x:v>
      </x:c>
      <x:c r="E1530" s="5" t="n">
        <x:v>2177.35</x:v>
      </x:c>
      <x:c r="F1530" s="6" t="str">
        <x:v>2016-10-31</x:v>
      </x:c>
      <x:c r="G1530" s="5" t="n">
        <x:v>2250.47</x:v>
      </x:c>
      <x:c r="H1530" s="7" t="n">
        <x:f>G1530/E1530-1</x:f>
        <x:v>0.03358210668932404</x:v>
      </x:c>
      <x:c r="I1530" s="1" t="n">
        <x:v>1</x:v>
      </x:c>
      <x:c r="J1530" s="1" t="n">
        <x:v>1</x:v>
      </x:c>
      <x:c r="K1530" s="1" t="str">
        <x:v>中证官方优先</x:v>
      </x:c>
    </x:row>
    <x:row r="1531" ht="25" customHeight="1">
      <x:c r="A1531" s="1" t="str">
        <x:v>sh000016</x:v>
      </x:c>
      <x:c r="B1531" s="1" t="str">
        <x:v>上证50</x:v>
      </x:c>
      <x:c r="C1531" s="1" t="str">
        <x:v>2016-11</x:v>
      </x:c>
      <x:c r="D1531" s="1" t="str">
        <x:v>2016-10-31</x:v>
      </x:c>
      <x:c r="E1531" s="5" t="n">
        <x:v>2250.47</x:v>
      </x:c>
      <x:c r="F1531" s="6" t="str">
        <x:v>2016-11-30</x:v>
      </x:c>
      <x:c r="G1531" s="5" t="n">
        <x:v>2419.41</x:v>
      </x:c>
      <x:c r="H1531" s="7" t="n">
        <x:f>G1531/E1531-1</x:f>
        <x:v>0.0750687634138647</x:v>
      </x:c>
      <x:c r="I1531" s="1" t="n">
        <x:v>1</x:v>
      </x:c>
      <x:c r="J1531" s="1" t="n">
        <x:v>1</x:v>
      </x:c>
      <x:c r="K1531" s="1" t="str">
        <x:v>中证官方优先</x:v>
      </x:c>
    </x:row>
    <x:row r="1532" ht="25" customHeight="1">
      <x:c r="A1532" s="1" t="str">
        <x:v>sh000016</x:v>
      </x:c>
      <x:c r="B1532" s="1" t="str">
        <x:v>上证50</x:v>
      </x:c>
      <x:c r="C1532" s="1" t="str">
        <x:v>2016-12</x:v>
      </x:c>
      <x:c r="D1532" s="1" t="str">
        <x:v>2016-11-30</x:v>
      </x:c>
      <x:c r="E1532" s="5" t="n">
        <x:v>2419.41</x:v>
      </x:c>
      <x:c r="F1532" s="6" t="str">
        <x:v>2016-12-30</x:v>
      </x:c>
      <x:c r="G1532" s="5" t="n">
        <x:v>2286.9</x:v>
      </x:c>
      <x:c r="H1532" s="7" t="n">
        <x:f>G1532/E1532-1</x:f>
        <x:v>-0.05476955125423133</x:v>
      </x:c>
      <x:c r="I1532" s="1" t="n">
        <x:v>1</x:v>
      </x:c>
      <x:c r="J1532" s="1" t="n">
        <x:v>1</x:v>
      </x:c>
      <x:c r="K1532" s="1" t="str">
        <x:v>中证官方优先</x:v>
      </x:c>
    </x:row>
    <x:row r="1533" ht="25" customHeight="1">
      <x:c r="A1533" s="1" t="str">
        <x:v>sh000016</x:v>
      </x:c>
      <x:c r="B1533" s="1" t="str">
        <x:v>上证50</x:v>
      </x:c>
      <x:c r="C1533" s="1" t="str">
        <x:v>2017-01</x:v>
      </x:c>
      <x:c r="D1533" s="1" t="str">
        <x:v>2016-12-30</x:v>
      </x:c>
      <x:c r="E1533" s="5" t="n">
        <x:v>2286.9</x:v>
      </x:c>
      <x:c r="F1533" s="6" t="str">
        <x:v>2017-01-26</x:v>
      </x:c>
      <x:c r="G1533" s="5" t="n">
        <x:v>2364.02</x:v>
      </x:c>
      <x:c r="H1533" s="7" t="n">
        <x:f>G1533/E1533-1</x:f>
        <x:v>0.03372250644977903</x:v>
      </x:c>
      <x:c r="I1533" s="1" t="n">
        <x:v>1</x:v>
      </x:c>
      <x:c r="J1533" s="1" t="n">
        <x:v>1</x:v>
      </x:c>
      <x:c r="K1533" s="1" t="str">
        <x:v>中证官方优先</x:v>
      </x:c>
    </x:row>
    <x:row r="1534" ht="25" customHeight="1">
      <x:c r="A1534" s="1" t="str">
        <x:v>sh000016</x:v>
      </x:c>
      <x:c r="B1534" s="1" t="str">
        <x:v>上证50</x:v>
      </x:c>
      <x:c r="C1534" s="1" t="str">
        <x:v>2017-02</x:v>
      </x:c>
      <x:c r="D1534" s="1" t="str">
        <x:v>2017-01-26</x:v>
      </x:c>
      <x:c r="E1534" s="5" t="n">
        <x:v>2364.02</x:v>
      </x:c>
      <x:c r="F1534" s="6" t="str">
        <x:v>2017-02-28</x:v>
      </x:c>
      <x:c r="G1534" s="5" t="n">
        <x:v>2370.71</x:v>
      </x:c>
      <x:c r="H1534" s="7" t="n">
        <x:f>G1534/E1534-1</x:f>
        <x:v>0.00282992529674031</x:v>
      </x:c>
      <x:c r="I1534" s="1" t="n">
        <x:v>1</x:v>
      </x:c>
      <x:c r="J1534" s="1" t="n">
        <x:v>1</x:v>
      </x:c>
      <x:c r="K1534" s="1" t="str">
        <x:v>中证官方优先</x:v>
      </x:c>
    </x:row>
    <x:row r="1535" ht="25" customHeight="1">
      <x:c r="A1535" s="1" t="str">
        <x:v>sh000016</x:v>
      </x:c>
      <x:c r="B1535" s="1" t="str">
        <x:v>上证50</x:v>
      </x:c>
      <x:c r="C1535" s="1" t="str">
        <x:v>2017-03</x:v>
      </x:c>
      <x:c r="D1535" s="1" t="str">
        <x:v>2017-02-28</x:v>
      </x:c>
      <x:c r="E1535" s="5" t="n">
        <x:v>2370.71</x:v>
      </x:c>
      <x:c r="F1535" s="6" t="str">
        <x:v>2017-03-31</x:v>
      </x:c>
      <x:c r="G1535" s="5" t="n">
        <x:v>2359.75</x:v>
      </x:c>
      <x:c r="H1535" s="7" t="n">
        <x:f>G1535/E1535-1</x:f>
        <x:v>-0.004623087598230047</x:v>
      </x:c>
      <x:c r="I1535" s="1" t="n">
        <x:v>1</x:v>
      </x:c>
      <x:c r="J1535" s="1" t="n">
        <x:v>1</x:v>
      </x:c>
      <x:c r="K1535" s="1" t="str">
        <x:v>中证官方优先</x:v>
      </x:c>
    </x:row>
    <x:row r="1536" ht="25" customHeight="1">
      <x:c r="A1536" s="1" t="str">
        <x:v>sh000016</x:v>
      </x:c>
      <x:c r="B1536" s="1" t="str">
        <x:v>上证50</x:v>
      </x:c>
      <x:c r="C1536" s="1" t="str">
        <x:v>2017-04</x:v>
      </x:c>
      <x:c r="D1536" s="1" t="str">
        <x:v>2017-03-31</x:v>
      </x:c>
      <x:c r="E1536" s="5" t="n">
        <x:v>2359.75</x:v>
      </x:c>
      <x:c r="F1536" s="6" t="str">
        <x:v>2017-04-28</x:v>
      </x:c>
      <x:c r="G1536" s="5" t="n">
        <x:v>2347.04</x:v>
      </x:c>
      <x:c r="H1536" s="7" t="n">
        <x:f>G1536/E1536-1</x:f>
        <x:v>-0.005386163788536957</x:v>
      </x:c>
      <x:c r="I1536" s="1" t="n">
        <x:v>1</x:v>
      </x:c>
      <x:c r="J1536" s="1" t="n">
        <x:v>1</x:v>
      </x:c>
      <x:c r="K1536" s="1" t="str">
        <x:v>中证官方优先</x:v>
      </x:c>
    </x:row>
    <x:row r="1537" ht="25" customHeight="1">
      <x:c r="A1537" s="1" t="str">
        <x:v>sh000016</x:v>
      </x:c>
      <x:c r="B1537" s="1" t="str">
        <x:v>上证50</x:v>
      </x:c>
      <x:c r="C1537" s="1" t="str">
        <x:v>2017-05</x:v>
      </x:c>
      <x:c r="D1537" s="1" t="str">
        <x:v>2017-04-28</x:v>
      </x:c>
      <x:c r="E1537" s="5" t="n">
        <x:v>2347.04</x:v>
      </x:c>
      <x:c r="F1537" s="6" t="str">
        <x:v>2017-05-31</x:v>
      </x:c>
      <x:c r="G1537" s="5" t="n">
        <x:v>2479.08</x:v>
      </x:c>
      <x:c r="H1537" s="7" t="n">
        <x:f>G1537/E1537-1</x:f>
        <x:v>0.05625809530302006</x:v>
      </x:c>
      <x:c r="I1537" s="1" t="n">
        <x:v>1</x:v>
      </x:c>
      <x:c r="J1537" s="1" t="n">
        <x:v>1</x:v>
      </x:c>
      <x:c r="K1537" s="1" t="str">
        <x:v>中证官方优先</x:v>
      </x:c>
    </x:row>
    <x:row r="1538" ht="25" customHeight="1">
      <x:c r="A1538" s="1" t="str">
        <x:v>sh000016</x:v>
      </x:c>
      <x:c r="B1538" s="1" t="str">
        <x:v>上证50</x:v>
      </x:c>
      <x:c r="C1538" s="1" t="str">
        <x:v>2017-06</x:v>
      </x:c>
      <x:c r="D1538" s="1" t="str">
        <x:v>2017-05-31</x:v>
      </x:c>
      <x:c r="E1538" s="5" t="n">
        <x:v>2479.08</x:v>
      </x:c>
      <x:c r="F1538" s="6" t="str">
        <x:v>2017-06-30</x:v>
      </x:c>
      <x:c r="G1538" s="5" t="n">
        <x:v>2549.97</x:v>
      </x:c>
      <x:c r="H1538" s="7" t="n">
        <x:f>G1538/E1538-1</x:f>
        <x:v>0.02859528534779021</x:v>
      </x:c>
      <x:c r="I1538" s="1" t="n">
        <x:v>1</x:v>
      </x:c>
      <x:c r="J1538" s="1" t="n">
        <x:v>1</x:v>
      </x:c>
      <x:c r="K1538" s="1" t="str">
        <x:v>中证官方优先</x:v>
      </x:c>
    </x:row>
    <x:row r="1539" ht="25" customHeight="1">
      <x:c r="A1539" s="1" t="str">
        <x:v>sh000016</x:v>
      </x:c>
      <x:c r="B1539" s="1" t="str">
        <x:v>上证50</x:v>
      </x:c>
      <x:c r="C1539" s="1" t="str">
        <x:v>2017-07</x:v>
      </x:c>
      <x:c r="D1539" s="1" t="str">
        <x:v>2017-06-30</x:v>
      </x:c>
      <x:c r="E1539" s="5" t="n">
        <x:v>2549.97</x:v>
      </x:c>
      <x:c r="F1539" s="6" t="str">
        <x:v>2017-07-31</x:v>
      </x:c>
      <x:c r="G1539" s="5" t="n">
        <x:v>2638.12</x:v>
      </x:c>
      <x:c r="H1539" s="7" t="n">
        <x:f>G1539/E1539-1</x:f>
        <x:v>0.03456903414549983</x:v>
      </x:c>
      <x:c r="I1539" s="1" t="n">
        <x:v>1</x:v>
      </x:c>
      <x:c r="J1539" s="1" t="n">
        <x:v>1</x:v>
      </x:c>
      <x:c r="K1539" s="1" t="str">
        <x:v>中证官方优先</x:v>
      </x:c>
    </x:row>
    <x:row r="1540" ht="25" customHeight="1">
      <x:c r="A1540" s="1" t="str">
        <x:v>sh000016</x:v>
      </x:c>
      <x:c r="B1540" s="1" t="str">
        <x:v>上证50</x:v>
      </x:c>
      <x:c r="C1540" s="1" t="str">
        <x:v>2017-08</x:v>
      </x:c>
      <x:c r="D1540" s="1" t="str">
        <x:v>2017-07-31</x:v>
      </x:c>
      <x:c r="E1540" s="5" t="n">
        <x:v>2638.12</x:v>
      </x:c>
      <x:c r="F1540" s="6" t="str">
        <x:v>2017-08-31</x:v>
      </x:c>
      <x:c r="G1540" s="5" t="n">
        <x:v>2714.63</x:v>
      </x:c>
      <x:c r="H1540" s="7" t="n">
        <x:f>G1540/E1540-1</x:f>
        <x:v>0.029001713341318958</x:v>
      </x:c>
      <x:c r="I1540" s="1" t="n">
        <x:v>1</x:v>
      </x:c>
      <x:c r="J1540" s="1" t="n">
        <x:v>1</x:v>
      </x:c>
      <x:c r="K1540" s="1" t="str">
        <x:v>中证官方优先</x:v>
      </x:c>
    </x:row>
    <x:row r="1541" ht="25" customHeight="1">
      <x:c r="A1541" s="1" t="str">
        <x:v>sh000016</x:v>
      </x:c>
      <x:c r="B1541" s="1" t="str">
        <x:v>上证50</x:v>
      </x:c>
      <x:c r="C1541" s="1" t="str">
        <x:v>2017-09</x:v>
      </x:c>
      <x:c r="D1541" s="1" t="str">
        <x:v>2017-08-31</x:v>
      </x:c>
      <x:c r="E1541" s="5" t="n">
        <x:v>2714.63</x:v>
      </x:c>
      <x:c r="F1541" s="6" t="str">
        <x:v>2017-09-29</x:v>
      </x:c>
      <x:c r="G1541" s="5" t="n">
        <x:v>2672.33</x:v>
      </x:c>
      <x:c r="H1541" s="7" t="n">
        <x:f>G1541/E1541-1</x:f>
        <x:v>-0.01558223404294512</x:v>
      </x:c>
      <x:c r="I1541" s="1" t="n">
        <x:v>1</x:v>
      </x:c>
      <x:c r="J1541" s="1" t="n">
        <x:v>1</x:v>
      </x:c>
      <x:c r="K1541" s="1" t="str">
        <x:v>中证官方优先</x:v>
      </x:c>
    </x:row>
    <x:row r="1542" ht="25" customHeight="1">
      <x:c r="A1542" s="1" t="str">
        <x:v>sh000016</x:v>
      </x:c>
      <x:c r="B1542" s="1" t="str">
        <x:v>上证50</x:v>
      </x:c>
      <x:c r="C1542" s="1" t="str">
        <x:v>2017-10</x:v>
      </x:c>
      <x:c r="D1542" s="1" t="str">
        <x:v>2017-09-29</x:v>
      </x:c>
      <x:c r="E1542" s="5" t="n">
        <x:v>2672.33</x:v>
      </x:c>
      <x:c r="F1542" s="6" t="str">
        <x:v>2017-10-31</x:v>
      </x:c>
      <x:c r="G1542" s="5" t="n">
        <x:v>2793.71</x:v>
      </x:c>
      <x:c r="H1542" s="7" t="n">
        <x:f>G1542/E1542-1</x:f>
        <x:v>0.04542103707251721</x:v>
      </x:c>
      <x:c r="I1542" s="1" t="n">
        <x:v>1</x:v>
      </x:c>
      <x:c r="J1542" s="1" t="n">
        <x:v>1</x:v>
      </x:c>
      <x:c r="K1542" s="1" t="str">
        <x:v>中证官方优先</x:v>
      </x:c>
    </x:row>
    <x:row r="1543" ht="25" customHeight="1">
      <x:c r="A1543" s="1" t="str">
        <x:v>sh000016</x:v>
      </x:c>
      <x:c r="B1543" s="1" t="str">
        <x:v>上证50</x:v>
      </x:c>
      <x:c r="C1543" s="1" t="str">
        <x:v>2017-11</x:v>
      </x:c>
      <x:c r="D1543" s="1" t="str">
        <x:v>2017-10-31</x:v>
      </x:c>
      <x:c r="E1543" s="5" t="n">
        <x:v>2793.71</x:v>
      </x:c>
      <x:c r="F1543" s="6" t="str">
        <x:v>2017-11-30</x:v>
      </x:c>
      <x:c r="G1543" s="5" t="n">
        <x:v>2863.45</x:v>
      </x:c>
      <x:c r="H1543" s="7" t="n">
        <x:f>G1543/E1543-1</x:f>
        <x:v>0.02496322094991954</x:v>
      </x:c>
      <x:c r="I1543" s="1" t="n">
        <x:v>1</x:v>
      </x:c>
      <x:c r="J1543" s="1" t="n">
        <x:v>1</x:v>
      </x:c>
      <x:c r="K1543" s="1" t="str">
        <x:v>中证官方优先</x:v>
      </x:c>
    </x:row>
    <x:row r="1544" ht="25" customHeight="1">
      <x:c r="A1544" s="1" t="str">
        <x:v>sh000016</x:v>
      </x:c>
      <x:c r="B1544" s="1" t="str">
        <x:v>上证50</x:v>
      </x:c>
      <x:c r="C1544" s="1" t="str">
        <x:v>2017-12</x:v>
      </x:c>
      <x:c r="D1544" s="1" t="str">
        <x:v>2017-11-30</x:v>
      </x:c>
      <x:c r="E1544" s="5" t="n">
        <x:v>2863.45</x:v>
      </x:c>
      <x:c r="F1544" s="6" t="str">
        <x:v>2017-12-29</x:v>
      </x:c>
      <x:c r="G1544" s="5" t="n">
        <x:v>2860.44</x:v>
      </x:c>
      <x:c r="H1544" s="7" t="n">
        <x:f>G1544/E1544-1</x:f>
        <x:v>-0.0010511795212068131</x:v>
      </x:c>
      <x:c r="I1544" s="1" t="n">
        <x:v>1</x:v>
      </x:c>
      <x:c r="J1544" s="1" t="n">
        <x:v>1</x:v>
      </x:c>
      <x:c r="K1544" s="1" t="str">
        <x:v>中证官方优先</x:v>
      </x:c>
    </x:row>
    <x:row r="1545" ht="25" customHeight="1">
      <x:c r="A1545" s="1" t="str">
        <x:v>sh000016</x:v>
      </x:c>
      <x:c r="B1545" s="1" t="str">
        <x:v>上证50</x:v>
      </x:c>
      <x:c r="C1545" s="1" t="str">
        <x:v>2018-01</x:v>
      </x:c>
      <x:c r="D1545" s="1" t="str">
        <x:v>2017-12-29</x:v>
      </x:c>
      <x:c r="E1545" s="5" t="n">
        <x:v>2860.44</x:v>
      </x:c>
      <x:c r="F1545" s="6" t="str">
        <x:v>2018-01-31</x:v>
      </x:c>
      <x:c r="G1545" s="5" t="n">
        <x:v>3116.83</x:v>
      </x:c>
      <x:c r="H1545" s="7" t="n">
        <x:f>G1545/E1545-1</x:f>
        <x:v>0.08963306344478461</x:v>
      </x:c>
      <x:c r="I1545" s="1" t="n">
        <x:v>1</x:v>
      </x:c>
      <x:c r="J1545" s="1" t="n">
        <x:v>1</x:v>
      </x:c>
      <x:c r="K1545" s="1" t="str">
        <x:v>中证官方优先</x:v>
      </x:c>
    </x:row>
    <x:row r="1546" ht="25" customHeight="1">
      <x:c r="A1546" s="1" t="str">
        <x:v>sh000016</x:v>
      </x:c>
      <x:c r="B1546" s="1" t="str">
        <x:v>上证50</x:v>
      </x:c>
      <x:c r="C1546" s="1" t="str">
        <x:v>2018-02</x:v>
      </x:c>
      <x:c r="D1546" s="1" t="str">
        <x:v>2018-01-31</x:v>
      </x:c>
      <x:c r="E1546" s="5" t="n">
        <x:v>3116.83</x:v>
      </x:c>
      <x:c r="F1546" s="6" t="str">
        <x:v>2018-02-28</x:v>
      </x:c>
      <x:c r="G1546" s="5" t="n">
        <x:v>2878.67</x:v>
      </x:c>
      <x:c r="H1546" s="7" t="n">
        <x:f>G1546/E1546-1</x:f>
        <x:v>-0.07641096883692722</x:v>
      </x:c>
      <x:c r="I1546" s="1" t="n">
        <x:v>1</x:v>
      </x:c>
      <x:c r="J1546" s="1" t="n">
        <x:v>1</x:v>
      </x:c>
      <x:c r="K1546" s="1" t="str">
        <x:v>中证官方优先</x:v>
      </x:c>
    </x:row>
    <x:row r="1547" ht="25" customHeight="1">
      <x:c r="A1547" s="1" t="str">
        <x:v>sh000016</x:v>
      </x:c>
      <x:c r="B1547" s="1" t="str">
        <x:v>上证50</x:v>
      </x:c>
      <x:c r="C1547" s="1" t="str">
        <x:v>2018-03</x:v>
      </x:c>
      <x:c r="D1547" s="1" t="str">
        <x:v>2018-02-28</x:v>
      </x:c>
      <x:c r="E1547" s="5" t="n">
        <x:v>2878.67</x:v>
      </x:c>
      <x:c r="F1547" s="6" t="str">
        <x:v>2018-03-30</x:v>
      </x:c>
      <x:c r="G1547" s="5" t="n">
        <x:v>2722.15</x:v>
      </x:c>
      <x:c r="H1547" s="7" t="n">
        <x:f>G1547/E1547-1</x:f>
        <x:v>-0.054372331667054574</x:v>
      </x:c>
      <x:c r="I1547" s="1" t="n">
        <x:v>1</x:v>
      </x:c>
      <x:c r="J1547" s="1" t="n">
        <x:v>1</x:v>
      </x:c>
      <x:c r="K1547" s="1" t="str">
        <x:v>中证官方优先</x:v>
      </x:c>
    </x:row>
    <x:row r="1548" ht="25" customHeight="1">
      <x:c r="A1548" s="1" t="str">
        <x:v>sh000016</x:v>
      </x:c>
      <x:c r="B1548" s="1" t="str">
        <x:v>上证50</x:v>
      </x:c>
      <x:c r="C1548" s="1" t="str">
        <x:v>2018-04</x:v>
      </x:c>
      <x:c r="D1548" s="1" t="str">
        <x:v>2018-03-30</x:v>
      </x:c>
      <x:c r="E1548" s="5" t="n">
        <x:v>2722.15</x:v>
      </x:c>
      <x:c r="F1548" s="6" t="str">
        <x:v>2018-04-27</x:v>
      </x:c>
      <x:c r="G1548" s="5" t="n">
        <x:v>2653.54</x:v>
      </x:c>
      <x:c r="H1548" s="7" t="n">
        <x:f>G1548/E1548-1</x:f>
        <x:v>-0.025204342156016413</x:v>
      </x:c>
      <x:c r="I1548" s="1" t="n">
        <x:v>1</x:v>
      </x:c>
      <x:c r="J1548" s="1" t="n">
        <x:v>1</x:v>
      </x:c>
      <x:c r="K1548" s="1" t="str">
        <x:v>中证官方优先</x:v>
      </x:c>
    </x:row>
    <x:row r="1549" ht="25" customHeight="1">
      <x:c r="A1549" s="1" t="str">
        <x:v>sh000016</x:v>
      </x:c>
      <x:c r="B1549" s="1" t="str">
        <x:v>上证50</x:v>
      </x:c>
      <x:c r="C1549" s="1" t="str">
        <x:v>2018-05</x:v>
      </x:c>
      <x:c r="D1549" s="1" t="str">
        <x:v>2018-04-27</x:v>
      </x:c>
      <x:c r="E1549" s="5" t="n">
        <x:v>2653.54</x:v>
      </x:c>
      <x:c r="F1549" s="6" t="str">
        <x:v>2018-05-31</x:v>
      </x:c>
      <x:c r="G1549" s="5" t="n">
        <x:v>2658.29</x:v>
      </x:c>
      <x:c r="H1549" s="7" t="n">
        <x:f>G1549/E1549-1</x:f>
        <x:v>0.0017900615781183404</x:v>
      </x:c>
      <x:c r="I1549" s="1" t="n">
        <x:v>1</x:v>
      </x:c>
      <x:c r="J1549" s="1" t="n">
        <x:v>1</x:v>
      </x:c>
      <x:c r="K1549" s="1" t="str">
        <x:v>中证官方优先</x:v>
      </x:c>
    </x:row>
    <x:row r="1550" ht="25" customHeight="1">
      <x:c r="A1550" s="1" t="str">
        <x:v>sh000016</x:v>
      </x:c>
      <x:c r="B1550" s="1" t="str">
        <x:v>上证50</x:v>
      </x:c>
      <x:c r="C1550" s="1" t="str">
        <x:v>2018-06</x:v>
      </x:c>
      <x:c r="D1550" s="1" t="str">
        <x:v>2018-05-31</x:v>
      </x:c>
      <x:c r="E1550" s="5" t="n">
        <x:v>2658.29</x:v>
      </x:c>
      <x:c r="F1550" s="6" t="str">
        <x:v>2018-06-29</x:v>
      </x:c>
      <x:c r="G1550" s="5" t="n">
        <x:v>2479.91</x:v>
      </x:c>
      <x:c r="H1550" s="7" t="n">
        <x:f>G1550/E1550-1</x:f>
        <x:v>-0.06710328820407108</x:v>
      </x:c>
      <x:c r="I1550" s="1" t="n">
        <x:v>1</x:v>
      </x:c>
      <x:c r="J1550" s="1" t="n">
        <x:v>1</x:v>
      </x:c>
      <x:c r="K1550" s="1" t="str">
        <x:v>中证官方优先</x:v>
      </x:c>
    </x:row>
    <x:row r="1551" ht="25" customHeight="1">
      <x:c r="A1551" s="1" t="str">
        <x:v>sh000016</x:v>
      </x:c>
      <x:c r="B1551" s="1" t="str">
        <x:v>上证50</x:v>
      </x:c>
      <x:c r="C1551" s="1" t="str">
        <x:v>2018-07</x:v>
      </x:c>
      <x:c r="D1551" s="1" t="str">
        <x:v>2018-06-29</x:v>
      </x:c>
      <x:c r="E1551" s="5" t="n">
        <x:v>2479.91</x:v>
      </x:c>
      <x:c r="F1551" s="6" t="str">
        <x:v>2018-07-31</x:v>
      </x:c>
      <x:c r="G1551" s="5" t="n">
        <x:v>2545.12</x:v>
      </x:c>
      <x:c r="H1551" s="7" t="n">
        <x:f>G1551/E1551-1</x:f>
        <x:v>0.026295309103959497</x:v>
      </x:c>
      <x:c r="I1551" s="1" t="n">
        <x:v>1</x:v>
      </x:c>
      <x:c r="J1551" s="1" t="n">
        <x:v>1</x:v>
      </x:c>
      <x:c r="K1551" s="1" t="str">
        <x:v>中证官方优先</x:v>
      </x:c>
    </x:row>
    <x:row r="1552" ht="25" customHeight="1">
      <x:c r="A1552" s="1" t="str">
        <x:v>sh000016</x:v>
      </x:c>
      <x:c r="B1552" s="1" t="str">
        <x:v>上证50</x:v>
      </x:c>
      <x:c r="C1552" s="1" t="str">
        <x:v>2018-08</x:v>
      </x:c>
      <x:c r="D1552" s="1" t="str">
        <x:v>2018-07-31</x:v>
      </x:c>
      <x:c r="E1552" s="5" t="n">
        <x:v>2545.12</x:v>
      </x:c>
      <x:c r="F1552" s="6" t="str">
        <x:v>2018-08-31</x:v>
      </x:c>
      <x:c r="G1552" s="5" t="n">
        <x:v>2474.48</x:v>
      </x:c>
      <x:c r="H1552" s="7" t="n">
        <x:f>G1552/E1552-1</x:f>
        <x:v>-0.027755076381467236</x:v>
      </x:c>
      <x:c r="I1552" s="1" t="n">
        <x:v>1</x:v>
      </x:c>
      <x:c r="J1552" s="1" t="n">
        <x:v>1</x:v>
      </x:c>
      <x:c r="K1552" s="1" t="str">
        <x:v>中证官方优先</x:v>
      </x:c>
    </x:row>
    <x:row r="1553" ht="25" customHeight="1">
      <x:c r="A1553" s="1" t="str">
        <x:v>sh000016</x:v>
      </x:c>
      <x:c r="B1553" s="1" t="str">
        <x:v>上证50</x:v>
      </x:c>
      <x:c r="C1553" s="1" t="str">
        <x:v>2018-09</x:v>
      </x:c>
      <x:c r="D1553" s="1" t="str">
        <x:v>2018-08-31</x:v>
      </x:c>
      <x:c r="E1553" s="5" t="n">
        <x:v>2474.48</x:v>
      </x:c>
      <x:c r="F1553" s="6" t="str">
        <x:v>2018-09-28</x:v>
      </x:c>
      <x:c r="G1553" s="5" t="n">
        <x:v>2606.67</x:v>
      </x:c>
      <x:c r="H1553" s="7" t="n">
        <x:f>G1553/E1553-1</x:f>
        <x:v>0.053421324884420196</x:v>
      </x:c>
      <x:c r="I1553" s="1" t="n">
        <x:v>1</x:v>
      </x:c>
      <x:c r="J1553" s="1" t="n">
        <x:v>1</x:v>
      </x:c>
      <x:c r="K1553" s="1" t="str">
        <x:v>中证官方优先</x:v>
      </x:c>
    </x:row>
    <x:row r="1554" ht="25" customHeight="1">
      <x:c r="A1554" s="1" t="str">
        <x:v>sh000016</x:v>
      </x:c>
      <x:c r="B1554" s="1" t="str">
        <x:v>上证50</x:v>
      </x:c>
      <x:c r="C1554" s="1" t="str">
        <x:v>2018-10</x:v>
      </x:c>
      <x:c r="D1554" s="1" t="str">
        <x:v>2018-09-28</x:v>
      </x:c>
      <x:c r="E1554" s="5" t="n">
        <x:v>2606.67</x:v>
      </x:c>
      <x:c r="F1554" s="6" t="str">
        <x:v>2018-10-31</x:v>
      </x:c>
      <x:c r="G1554" s="5" t="n">
        <x:v>2451.12</x:v>
      </x:c>
      <x:c r="H1554" s="7" t="n">
        <x:f>G1554/E1554-1</x:f>
        <x:v>-0.05967383673422422</x:v>
      </x:c>
      <x:c r="I1554" s="1" t="n">
        <x:v>1</x:v>
      </x:c>
      <x:c r="J1554" s="1" t="n">
        <x:v>1</x:v>
      </x:c>
      <x:c r="K1554" s="1" t="str">
        <x:v>中证官方优先</x:v>
      </x:c>
    </x:row>
    <x:row r="1555" ht="25" customHeight="1">
      <x:c r="A1555" s="1" t="str">
        <x:v>sh000016</x:v>
      </x:c>
      <x:c r="B1555" s="1" t="str">
        <x:v>上证50</x:v>
      </x:c>
      <x:c r="C1555" s="1" t="str">
        <x:v>2018-11</x:v>
      </x:c>
      <x:c r="D1555" s="1" t="str">
        <x:v>2018-10-31</x:v>
      </x:c>
      <x:c r="E1555" s="5" t="n">
        <x:v>2451.12</x:v>
      </x:c>
      <x:c r="F1555" s="6" t="str">
        <x:v>2018-11-30</x:v>
      </x:c>
      <x:c r="G1555" s="5" t="n">
        <x:v>2428.04</x:v>
      </x:c>
      <x:c r="H1555" s="7" t="n">
        <x:f>G1555/E1555-1</x:f>
        <x:v>-0.009416103658735575</x:v>
      </x:c>
      <x:c r="I1555" s="1" t="n">
        <x:v>1</x:v>
      </x:c>
      <x:c r="J1555" s="1" t="n">
        <x:v>1</x:v>
      </x:c>
      <x:c r="K1555" s="1" t="str">
        <x:v>中证官方优先</x:v>
      </x:c>
    </x:row>
    <x:row r="1556" ht="25" customHeight="1">
      <x:c r="A1556" s="1" t="str">
        <x:v>sh000016</x:v>
      </x:c>
      <x:c r="B1556" s="1" t="str">
        <x:v>上证50</x:v>
      </x:c>
      <x:c r="C1556" s="1" t="str">
        <x:v>2018-12</x:v>
      </x:c>
      <x:c r="D1556" s="1" t="str">
        <x:v>2018-11-30</x:v>
      </x:c>
      <x:c r="E1556" s="5" t="n">
        <x:v>2428.04</x:v>
      </x:c>
      <x:c r="F1556" s="6" t="str">
        <x:v>2018-12-28</x:v>
      </x:c>
      <x:c r="G1556" s="5" t="n">
        <x:v>2293.1</x:v>
      </x:c>
      <x:c r="H1556" s="7" t="n">
        <x:f>G1556/E1556-1</x:f>
        <x:v>-0.055575690680548906</x:v>
      </x:c>
      <x:c r="I1556" s="1" t="n">
        <x:v>1</x:v>
      </x:c>
      <x:c r="J1556" s="1" t="n">
        <x:v>1</x:v>
      </x:c>
      <x:c r="K1556" s="1" t="str">
        <x:v>中证官方优先</x:v>
      </x:c>
    </x:row>
    <x:row r="1557" ht="25" customHeight="1">
      <x:c r="A1557" s="1" t="str">
        <x:v>sh000016</x:v>
      </x:c>
      <x:c r="B1557" s="1" t="str">
        <x:v>上证50</x:v>
      </x:c>
      <x:c r="C1557" s="1" t="str">
        <x:v>2019-01</x:v>
      </x:c>
      <x:c r="D1557" s="1" t="str">
        <x:v>2018-12-28</x:v>
      </x:c>
      <x:c r="E1557" s="5" t="n">
        <x:v>2293.1</x:v>
      </x:c>
      <x:c r="F1557" s="6" t="str">
        <x:v>2019-01-31</x:v>
      </x:c>
      <x:c r="G1557" s="5" t="n">
        <x:v>2483.47</x:v>
      </x:c>
      <x:c r="H1557" s="7" t="n">
        <x:f>G1557/E1557-1</x:f>
        <x:v>0.08301862108063318</x:v>
      </x:c>
      <x:c r="I1557" s="1" t="n">
        <x:v>1</x:v>
      </x:c>
      <x:c r="J1557" s="1" t="n">
        <x:v>1</x:v>
      </x:c>
      <x:c r="K1557" s="1" t="str">
        <x:v>中证官方优先</x:v>
      </x:c>
    </x:row>
    <x:row r="1558" ht="25" customHeight="1">
      <x:c r="A1558" s="1" t="str">
        <x:v>sh000016</x:v>
      </x:c>
      <x:c r="B1558" s="1" t="str">
        <x:v>上证50</x:v>
      </x:c>
      <x:c r="C1558" s="1" t="str">
        <x:v>2019-02</x:v>
      </x:c>
      <x:c r="D1558" s="1" t="str">
        <x:v>2019-01-31</x:v>
      </x:c>
      <x:c r="E1558" s="5" t="n">
        <x:v>2483.47</x:v>
      </x:c>
      <x:c r="F1558" s="6" t="str">
        <x:v>2019-02-28</x:v>
      </x:c>
      <x:c r="G1558" s="5" t="n">
        <x:v>2743.97</x:v>
      </x:c>
      <x:c r="H1558" s="7" t="n">
        <x:f>G1558/E1558-1</x:f>
        <x:v>0.10489355619355178</x:v>
      </x:c>
      <x:c r="I1558" s="1" t="n">
        <x:v>1</x:v>
      </x:c>
      <x:c r="J1558" s="1" t="n">
        <x:v>1</x:v>
      </x:c>
      <x:c r="K1558" s="1" t="str">
        <x:v>中证官方优先</x:v>
      </x:c>
    </x:row>
    <x:row r="1559" ht="25" customHeight="1">
      <x:c r="A1559" s="1" t="str">
        <x:v>sh000016</x:v>
      </x:c>
      <x:c r="B1559" s="1" t="str">
        <x:v>上证50</x:v>
      </x:c>
      <x:c r="C1559" s="1" t="str">
        <x:v>2019-03</x:v>
      </x:c>
      <x:c r="D1559" s="1" t="str">
        <x:v>2019-02-28</x:v>
      </x:c>
      <x:c r="E1559" s="5" t="n">
        <x:v>2743.97</x:v>
      </x:c>
      <x:c r="F1559" s="6" t="str">
        <x:v>2019-03-29</x:v>
      </x:c>
      <x:c r="G1559" s="5" t="n">
        <x:v>2838.51</x:v>
      </x:c>
      <x:c r="H1559" s="7" t="n">
        <x:f>G1559/E1559-1</x:f>
        <x:v>0.03445372945039504</x:v>
      </x:c>
      <x:c r="I1559" s="1" t="n">
        <x:v>1</x:v>
      </x:c>
      <x:c r="J1559" s="1" t="n">
        <x:v>1</x:v>
      </x:c>
      <x:c r="K1559" s="1" t="str">
        <x:v>中证官方优先</x:v>
      </x:c>
    </x:row>
    <x:row r="1560" ht="25" customHeight="1">
      <x:c r="A1560" s="1" t="str">
        <x:v>sh000016</x:v>
      </x:c>
      <x:c r="B1560" s="1" t="str">
        <x:v>上证50</x:v>
      </x:c>
      <x:c r="C1560" s="1" t="str">
        <x:v>2019-04</x:v>
      </x:c>
      <x:c r="D1560" s="1" t="str">
        <x:v>2019-03-29</x:v>
      </x:c>
      <x:c r="E1560" s="5" t="n">
        <x:v>2838.51</x:v>
      </x:c>
      <x:c r="F1560" s="6" t="str">
        <x:v>2019-04-30</x:v>
      </x:c>
      <x:c r="G1560" s="5" t="n">
        <x:v>2945.24</x:v>
      </x:c>
      <x:c r="H1560" s="7" t="n">
        <x:f>G1560/E1560-1</x:f>
        <x:v>0.03760071305015633</x:v>
      </x:c>
      <x:c r="I1560" s="1" t="n">
        <x:v>1</x:v>
      </x:c>
      <x:c r="J1560" s="1" t="n">
        <x:v>1</x:v>
      </x:c>
      <x:c r="K1560" s="1" t="str">
        <x:v>中证官方优先</x:v>
      </x:c>
    </x:row>
    <x:row r="1561" ht="25" customHeight="1">
      <x:c r="A1561" s="1" t="str">
        <x:v>sh000016</x:v>
      </x:c>
      <x:c r="B1561" s="1" t="str">
        <x:v>上证50</x:v>
      </x:c>
      <x:c r="C1561" s="1" t="str">
        <x:v>2019-05</x:v>
      </x:c>
      <x:c r="D1561" s="1" t="str">
        <x:v>2019-04-30</x:v>
      </x:c>
      <x:c r="E1561" s="5" t="n">
        <x:v>2945.24</x:v>
      </x:c>
      <x:c r="F1561" s="6" t="str">
        <x:v>2019-05-31</x:v>
      </x:c>
      <x:c r="G1561" s="5" t="n">
        <x:v>2728.95</x:v>
      </x:c>
      <x:c r="H1561" s="7" t="n">
        <x:f>G1561/E1561-1</x:f>
        <x:v>-0.07343713924841433</x:v>
      </x:c>
      <x:c r="I1561" s="1" t="n">
        <x:v>1</x:v>
      </x:c>
      <x:c r="J1561" s="1" t="n">
        <x:v>1</x:v>
      </x:c>
      <x:c r="K1561" s="1" t="str">
        <x:v>中证官方优先</x:v>
      </x:c>
    </x:row>
    <x:row r="1562" ht="25" customHeight="1">
      <x:c r="A1562" s="1" t="str">
        <x:v>sh000016</x:v>
      </x:c>
      <x:c r="B1562" s="1" t="str">
        <x:v>上证50</x:v>
      </x:c>
      <x:c r="C1562" s="1" t="str">
        <x:v>2019-06</x:v>
      </x:c>
      <x:c r="D1562" s="1" t="str">
        <x:v>2019-05-31</x:v>
      </x:c>
      <x:c r="E1562" s="5" t="n">
        <x:v>2728.95</x:v>
      </x:c>
      <x:c r="F1562" s="6" t="str">
        <x:v>2019-06-28</x:v>
      </x:c>
      <x:c r="G1562" s="5" t="n">
        <x:v>2930.6</x:v>
      </x:c>
      <x:c r="H1562" s="7" t="n">
        <x:f>G1562/E1562-1</x:f>
        <x:v>0.07389288920647141</x:v>
      </x:c>
      <x:c r="I1562" s="1" t="n">
        <x:v>1</x:v>
      </x:c>
      <x:c r="J1562" s="1" t="n">
        <x:v>1</x:v>
      </x:c>
      <x:c r="K1562" s="1" t="str">
        <x:v>中证官方优先</x:v>
      </x:c>
    </x:row>
    <x:row r="1563" ht="25" customHeight="1">
      <x:c r="A1563" s="1" t="str">
        <x:v>sh000016</x:v>
      </x:c>
      <x:c r="B1563" s="1" t="str">
        <x:v>上证50</x:v>
      </x:c>
      <x:c r="C1563" s="1" t="str">
        <x:v>2019-07</x:v>
      </x:c>
      <x:c r="D1563" s="1" t="str">
        <x:v>2019-06-28</x:v>
      </x:c>
      <x:c r="E1563" s="5" t="n">
        <x:v>2930.6</x:v>
      </x:c>
      <x:c r="F1563" s="6" t="str">
        <x:v>2019-07-31</x:v>
      </x:c>
      <x:c r="G1563" s="5" t="n">
        <x:v>2912.66</x:v>
      </x:c>
      <x:c r="H1563" s="7" t="n">
        <x:f>G1563/E1563-1</x:f>
        <x:v>-0.006121613321504182</x:v>
      </x:c>
      <x:c r="I1563" s="1" t="n">
        <x:v>1</x:v>
      </x:c>
      <x:c r="J1563" s="1" t="n">
        <x:v>1</x:v>
      </x:c>
      <x:c r="K1563" s="1" t="str">
        <x:v>中证官方优先</x:v>
      </x:c>
    </x:row>
    <x:row r="1564" ht="25" customHeight="1">
      <x:c r="A1564" s="1" t="str">
        <x:v>sh000016</x:v>
      </x:c>
      <x:c r="B1564" s="1" t="str">
        <x:v>上证50</x:v>
      </x:c>
      <x:c r="C1564" s="1" t="str">
        <x:v>2019-08</x:v>
      </x:c>
      <x:c r="D1564" s="1" t="str">
        <x:v>2019-07-31</x:v>
      </x:c>
      <x:c r="E1564" s="5" t="n">
        <x:v>2912.66</x:v>
      </x:c>
      <x:c r="F1564" s="6" t="str">
        <x:v>2019-08-30</x:v>
      </x:c>
      <x:c r="G1564" s="5" t="n">
        <x:v>2872.4</x:v>
      </x:c>
      <x:c r="H1564" s="7" t="n">
        <x:f>G1564/E1564-1</x:f>
        <x:v>-0.013822416622606082</x:v>
      </x:c>
      <x:c r="I1564" s="1" t="n">
        <x:v>1</x:v>
      </x:c>
      <x:c r="J1564" s="1" t="n">
        <x:v>1</x:v>
      </x:c>
      <x:c r="K1564" s="1" t="str">
        <x:v>中证官方优先</x:v>
      </x:c>
    </x:row>
    <x:row r="1565" ht="25" customHeight="1">
      <x:c r="A1565" s="1" t="str">
        <x:v>sh000016</x:v>
      </x:c>
      <x:c r="B1565" s="1" t="str">
        <x:v>上证50</x:v>
      </x:c>
      <x:c r="C1565" s="1" t="str">
        <x:v>2019-09</x:v>
      </x:c>
      <x:c r="D1565" s="1" t="str">
        <x:v>2019-08-30</x:v>
      </x:c>
      <x:c r="E1565" s="5" t="n">
        <x:v>2872.4</x:v>
      </x:c>
      <x:c r="F1565" s="6" t="str">
        <x:v>2019-09-30</x:v>
      </x:c>
      <x:c r="G1565" s="5" t="n">
        <x:v>2897.7</x:v>
      </x:c>
      <x:c r="H1565" s="7" t="n">
        <x:f>G1565/E1565-1</x:f>
        <x:v>0.008807965464419976</x:v>
      </x:c>
      <x:c r="I1565" s="1" t="n">
        <x:v>1</x:v>
      </x:c>
      <x:c r="J1565" s="1" t="n">
        <x:v>1</x:v>
      </x:c>
      <x:c r="K1565" s="1" t="str">
        <x:v>中证官方优先</x:v>
      </x:c>
    </x:row>
    <x:row r="1566" ht="25" customHeight="1">
      <x:c r="A1566" s="1" t="str">
        <x:v>sh000016</x:v>
      </x:c>
      <x:c r="B1566" s="1" t="str">
        <x:v>上证50</x:v>
      </x:c>
      <x:c r="C1566" s="1" t="str">
        <x:v>2019-10</x:v>
      </x:c>
      <x:c r="D1566" s="1" t="str">
        <x:v>2019-09-30</x:v>
      </x:c>
      <x:c r="E1566" s="5" t="n">
        <x:v>2897.7</x:v>
      </x:c>
      <x:c r="F1566" s="6" t="str">
        <x:v>2019-10-31</x:v>
      </x:c>
      <x:c r="G1566" s="5" t="n">
        <x:v>2954.73</x:v>
      </x:c>
      <x:c r="H1566" s="7" t="n">
        <x:f>G1566/E1566-1</x:f>
        <x:v>0.0196811264106016</x:v>
      </x:c>
      <x:c r="I1566" s="1" t="n">
        <x:v>1</x:v>
      </x:c>
      <x:c r="J1566" s="1" t="n">
        <x:v>1</x:v>
      </x:c>
      <x:c r="K1566" s="1" t="str">
        <x:v>中证官方优先</x:v>
      </x:c>
    </x:row>
    <x:row r="1567" ht="25" customHeight="1">
      <x:c r="A1567" s="1" t="str">
        <x:v>sh000016</x:v>
      </x:c>
      <x:c r="B1567" s="1" t="str">
        <x:v>上证50</x:v>
      </x:c>
      <x:c r="C1567" s="1" t="str">
        <x:v>2019-11</x:v>
      </x:c>
      <x:c r="D1567" s="1" t="str">
        <x:v>2019-10-31</x:v>
      </x:c>
      <x:c r="E1567" s="5" t="n">
        <x:v>2954.73</x:v>
      </x:c>
      <x:c r="F1567" s="6" t="str">
        <x:v>2019-11-29</x:v>
      </x:c>
      <x:c r="G1567" s="5" t="n">
        <x:v>2894.72</x:v>
      </x:c>
      <x:c r="H1567" s="7" t="n">
        <x:f>G1567/E1567-1</x:f>
        <x:v>-0.020309808341202107</x:v>
      </x:c>
      <x:c r="I1567" s="1" t="n">
        <x:v>1</x:v>
      </x:c>
      <x:c r="J1567" s="1" t="n">
        <x:v>1</x:v>
      </x:c>
      <x:c r="K1567" s="1" t="str">
        <x:v>中证官方优先</x:v>
      </x:c>
    </x:row>
    <x:row r="1568" ht="25" customHeight="1">
      <x:c r="A1568" s="1" t="str">
        <x:v>sh000016</x:v>
      </x:c>
      <x:c r="B1568" s="1" t="str">
        <x:v>上证50</x:v>
      </x:c>
      <x:c r="C1568" s="1" t="str">
        <x:v>2019-12</x:v>
      </x:c>
      <x:c r="D1568" s="1" t="str">
        <x:v>2019-11-29</x:v>
      </x:c>
      <x:c r="E1568" s="5" t="n">
        <x:v>2894.72</x:v>
      </x:c>
      <x:c r="F1568" s="6" t="str">
        <x:v>2019-12-31</x:v>
      </x:c>
      <x:c r="G1568" s="5" t="n">
        <x:v>3063.22</x:v>
      </x:c>
      <x:c r="H1568" s="7" t="n">
        <x:f>G1568/E1568-1</x:f>
        <x:v>0.05820942958213582</x:v>
      </x:c>
      <x:c r="I1568" s="1" t="n">
        <x:v>1</x:v>
      </x:c>
      <x:c r="J1568" s="1" t="n">
        <x:v>1</x:v>
      </x:c>
      <x:c r="K1568" s="1" t="str">
        <x:v>中证官方优先</x:v>
      </x:c>
    </x:row>
    <x:row r="1569" ht="25" customHeight="1">
      <x:c r="A1569" s="1" t="str">
        <x:v>sh000016</x:v>
      </x:c>
      <x:c r="B1569" s="1" t="str">
        <x:v>上证50</x:v>
      </x:c>
      <x:c r="C1569" s="1" t="str">
        <x:v>2020-01</x:v>
      </x:c>
      <x:c r="D1569" s="1" t="str">
        <x:v>2019-12-31</x:v>
      </x:c>
      <x:c r="E1569" s="5" t="n">
        <x:v>3063.22</x:v>
      </x:c>
      <x:c r="F1569" s="6" t="str">
        <x:v>2020-01-23</x:v>
      </x:c>
      <x:c r="G1569" s="5" t="n">
        <x:v>2932.49</x:v>
      </x:c>
      <x:c r="H1569" s="7" t="n">
        <x:f>G1569/E1569-1</x:f>
        <x:v>-0.042677313415295015</x:v>
      </x:c>
      <x:c r="I1569" s="1" t="n">
        <x:v>1</x:v>
      </x:c>
      <x:c r="J1569" s="1" t="n">
        <x:v>1</x:v>
      </x:c>
      <x:c r="K1569" s="1" t="str">
        <x:v>中证官方优先</x:v>
      </x:c>
    </x:row>
    <x:row r="1570" ht="25" customHeight="1">
      <x:c r="A1570" s="1" t="str">
        <x:v>sh000016</x:v>
      </x:c>
      <x:c r="B1570" s="1" t="str">
        <x:v>上证50</x:v>
      </x:c>
      <x:c r="C1570" s="1" t="str">
        <x:v>2020-02</x:v>
      </x:c>
      <x:c r="D1570" s="1" t="str">
        <x:v>2020-01-23</x:v>
      </x:c>
      <x:c r="E1570" s="5" t="n">
        <x:v>2932.49</x:v>
      </x:c>
      <x:c r="F1570" s="6" t="str">
        <x:v>2020-02-28</x:v>
      </x:c>
      <x:c r="G1570" s="5" t="n">
        <x:v>2821.04</x:v>
      </x:c>
      <x:c r="H1570" s="7" t="n">
        <x:f>G1570/E1570-1</x:f>
        <x:v>-0.03800524468966637</x:v>
      </x:c>
      <x:c r="I1570" s="1" t="n">
        <x:v>1</x:v>
      </x:c>
      <x:c r="J1570" s="1" t="n">
        <x:v>1</x:v>
      </x:c>
      <x:c r="K1570" s="1" t="str">
        <x:v>中证官方优先</x:v>
      </x:c>
    </x:row>
    <x:row r="1571" ht="25" customHeight="1">
      <x:c r="A1571" s="1" t="str">
        <x:v>sh000016</x:v>
      </x:c>
      <x:c r="B1571" s="1" t="str">
        <x:v>上证50</x:v>
      </x:c>
      <x:c r="C1571" s="1" t="str">
        <x:v>2020-03</x:v>
      </x:c>
      <x:c r="D1571" s="1" t="str">
        <x:v>2020-02-28</x:v>
      </x:c>
      <x:c r="E1571" s="5" t="n">
        <x:v>2821.04</x:v>
      </x:c>
      <x:c r="F1571" s="6" t="str">
        <x:v>2020-03-31</x:v>
      </x:c>
      <x:c r="G1571" s="5" t="n">
        <x:v>2689.38</x:v>
      </x:c>
      <x:c r="H1571" s="7" t="n">
        <x:f>G1571/E1571-1</x:f>
        <x:v>-0.0466707313614837</x:v>
      </x:c>
      <x:c r="I1571" s="1" t="n">
        <x:v>1</x:v>
      </x:c>
      <x:c r="J1571" s="1" t="n">
        <x:v>1</x:v>
      </x:c>
      <x:c r="K1571" s="1" t="str">
        <x:v>中证官方优先</x:v>
      </x:c>
    </x:row>
    <x:row r="1572" ht="25" customHeight="1">
      <x:c r="A1572" s="1" t="str">
        <x:v>sh000016</x:v>
      </x:c>
      <x:c r="B1572" s="1" t="str">
        <x:v>上证50</x:v>
      </x:c>
      <x:c r="C1572" s="1" t="str">
        <x:v>2020-04</x:v>
      </x:c>
      <x:c r="D1572" s="1" t="str">
        <x:v>2020-03-31</x:v>
      </x:c>
      <x:c r="E1572" s="5" t="n">
        <x:v>2689.38</x:v>
      </x:c>
      <x:c r="F1572" s="6" t="str">
        <x:v>2020-04-30</x:v>
      </x:c>
      <x:c r="G1572" s="5" t="n">
        <x:v>2861.91</x:v>
      </x:c>
      <x:c r="H1572" s="7" t="n">
        <x:f>G1572/E1572-1</x:f>
        <x:v>0.06415233250786412</x:v>
      </x:c>
      <x:c r="I1572" s="1" t="n">
        <x:v>1</x:v>
      </x:c>
      <x:c r="J1572" s="1" t="n">
        <x:v>1</x:v>
      </x:c>
      <x:c r="K1572" s="1" t="str">
        <x:v>中证官方优先</x:v>
      </x:c>
    </x:row>
    <x:row r="1573" ht="25" customHeight="1">
      <x:c r="A1573" s="1" t="str">
        <x:v>sh000016</x:v>
      </x:c>
      <x:c r="B1573" s="1" t="str">
        <x:v>上证50</x:v>
      </x:c>
      <x:c r="C1573" s="1" t="str">
        <x:v>2020-05</x:v>
      </x:c>
      <x:c r="D1573" s="1" t="str">
        <x:v>2020-04-30</x:v>
      </x:c>
      <x:c r="E1573" s="5" t="n">
        <x:v>2861.91</x:v>
      </x:c>
      <x:c r="F1573" s="6" t="str">
        <x:v>2020-05-29</x:v>
      </x:c>
      <x:c r="G1573" s="5" t="n">
        <x:v>2806.66</x:v>
      </x:c>
      <x:c r="H1573" s="7" t="n">
        <x:f>G1573/E1573-1</x:f>
        <x:v>-0.01930528912509477</x:v>
      </x:c>
      <x:c r="I1573" s="1" t="n">
        <x:v>1</x:v>
      </x:c>
      <x:c r="J1573" s="1" t="n">
        <x:v>1</x:v>
      </x:c>
      <x:c r="K1573" s="1" t="str">
        <x:v>中证官方优先</x:v>
      </x:c>
    </x:row>
    <x:row r="1574" ht="25" customHeight="1">
      <x:c r="A1574" s="1" t="str">
        <x:v>sh000016</x:v>
      </x:c>
      <x:c r="B1574" s="1" t="str">
        <x:v>上证50</x:v>
      </x:c>
      <x:c r="C1574" s="1" t="str">
        <x:v>2020-06</x:v>
      </x:c>
      <x:c r="D1574" s="1" t="str">
        <x:v>2020-05-29</x:v>
      </x:c>
      <x:c r="E1574" s="5" t="n">
        <x:v>2806.66</x:v>
      </x:c>
      <x:c r="F1574" s="6" t="str">
        <x:v>2020-06-30</x:v>
      </x:c>
      <x:c r="G1574" s="5" t="n">
        <x:v>2942.07</x:v>
      </x:c>
      <x:c r="H1574" s="7" t="n">
        <x:f>G1574/E1574-1</x:f>
        <x:v>0.04824595782887853</x:v>
      </x:c>
      <x:c r="I1574" s="1" t="n">
        <x:v>1</x:v>
      </x:c>
      <x:c r="J1574" s="1" t="n">
        <x:v>1</x:v>
      </x:c>
      <x:c r="K1574" s="1" t="str">
        <x:v>中证官方优先</x:v>
      </x:c>
    </x:row>
    <x:row r="1575" ht="25" customHeight="1">
      <x:c r="A1575" s="1" t="str">
        <x:v>sh000016</x:v>
      </x:c>
      <x:c r="B1575" s="1" t="str">
        <x:v>上证50</x:v>
      </x:c>
      <x:c r="C1575" s="1" t="str">
        <x:v>2020-07</x:v>
      </x:c>
      <x:c r="D1575" s="1" t="str">
        <x:v>2020-06-30</x:v>
      </x:c>
      <x:c r="E1575" s="5" t="n">
        <x:v>2942.07</x:v>
      </x:c>
      <x:c r="F1575" s="6" t="str">
        <x:v>2020-07-31</x:v>
      </x:c>
      <x:c r="G1575" s="5" t="n">
        <x:v>3249.34</x:v>
      </x:c>
      <x:c r="H1575" s="7" t="n">
        <x:f>G1575/E1575-1</x:f>
        <x:v>0.10444007110639797</x:v>
      </x:c>
      <x:c r="I1575" s="1" t="n">
        <x:v>1</x:v>
      </x:c>
      <x:c r="J1575" s="1" t="n">
        <x:v>1</x:v>
      </x:c>
      <x:c r="K1575" s="1" t="str">
        <x:v>中证官方优先</x:v>
      </x:c>
    </x:row>
    <x:row r="1576" ht="25" customHeight="1">
      <x:c r="A1576" s="1" t="str">
        <x:v>sh000016</x:v>
      </x:c>
      <x:c r="B1576" s="1" t="str">
        <x:v>上证50</x:v>
      </x:c>
      <x:c r="C1576" s="1" t="str">
        <x:v>2020-08</x:v>
      </x:c>
      <x:c r="D1576" s="1" t="str">
        <x:v>2020-07-31</x:v>
      </x:c>
      <x:c r="E1576" s="5" t="n">
        <x:v>3249.34</x:v>
      </x:c>
      <x:c r="F1576" s="6" t="str">
        <x:v>2020-08-31</x:v>
      </x:c>
      <x:c r="G1576" s="5" t="n">
        <x:v>3343.89</x:v>
      </x:c>
      <x:c r="H1576" s="7" t="n">
        <x:f>G1576/E1576-1</x:f>
        <x:v>0.029098216868656213</x:v>
      </x:c>
      <x:c r="I1576" s="1" t="n">
        <x:v>1</x:v>
      </x:c>
      <x:c r="J1576" s="1" t="n">
        <x:v>1</x:v>
      </x:c>
      <x:c r="K1576" s="1" t="str">
        <x:v>中证官方优先</x:v>
      </x:c>
    </x:row>
    <x:row r="1577" ht="25" customHeight="1">
      <x:c r="A1577" s="1" t="str">
        <x:v>sh000016</x:v>
      </x:c>
      <x:c r="B1577" s="1" t="str">
        <x:v>上证50</x:v>
      </x:c>
      <x:c r="C1577" s="1" t="str">
        <x:v>2020-09</x:v>
      </x:c>
      <x:c r="D1577" s="1" t="str">
        <x:v>2020-08-31</x:v>
      </x:c>
      <x:c r="E1577" s="5" t="n">
        <x:v>3343.89</x:v>
      </x:c>
      <x:c r="F1577" s="6" t="str">
        <x:v>2020-09-30</x:v>
      </x:c>
      <x:c r="G1577" s="5" t="n">
        <x:v>3232.42</x:v>
      </x:c>
      <x:c r="H1577" s="7" t="n">
        <x:f>G1577/E1577-1</x:f>
        <x:v>-0.033335426703629545</x:v>
      </x:c>
      <x:c r="I1577" s="1" t="n">
        <x:v>1</x:v>
      </x:c>
      <x:c r="J1577" s="1" t="n">
        <x:v>1</x:v>
      </x:c>
      <x:c r="K1577" s="1" t="str">
        <x:v>中证官方优先</x:v>
      </x:c>
    </x:row>
    <x:row r="1578" ht="25" customHeight="1">
      <x:c r="A1578" s="1" t="str">
        <x:v>sh000016</x:v>
      </x:c>
      <x:c r="B1578" s="1" t="str">
        <x:v>上证50</x:v>
      </x:c>
      <x:c r="C1578" s="1" t="str">
        <x:v>2020-10</x:v>
      </x:c>
      <x:c r="D1578" s="1" t="str">
        <x:v>2020-09-30</x:v>
      </x:c>
      <x:c r="E1578" s="5" t="n">
        <x:v>3232.42</x:v>
      </x:c>
      <x:c r="F1578" s="6" t="str">
        <x:v>2020-10-30</x:v>
      </x:c>
      <x:c r="G1578" s="5" t="n">
        <x:v>3280.38</x:v>
      </x:c>
      <x:c r="H1578" s="7" t="n">
        <x:f>G1578/E1578-1</x:f>
        <x:v>0.014837180811899442</x:v>
      </x:c>
      <x:c r="I1578" s="1" t="n">
        <x:v>1</x:v>
      </x:c>
      <x:c r="J1578" s="1" t="n">
        <x:v>1</x:v>
      </x:c>
      <x:c r="K1578" s="1" t="str">
        <x:v>中证官方优先</x:v>
      </x:c>
    </x:row>
    <x:row r="1579" ht="25" customHeight="1">
      <x:c r="A1579" s="1" t="str">
        <x:v>sh000016</x:v>
      </x:c>
      <x:c r="B1579" s="1" t="str">
        <x:v>上证50</x:v>
      </x:c>
      <x:c r="C1579" s="1" t="str">
        <x:v>2020-11</x:v>
      </x:c>
      <x:c r="D1579" s="1" t="str">
        <x:v>2020-10-30</x:v>
      </x:c>
      <x:c r="E1579" s="5" t="n">
        <x:v>3280.38</x:v>
      </x:c>
      <x:c r="F1579" s="6" t="str">
        <x:v>2020-11-30</x:v>
      </x:c>
      <x:c r="G1579" s="5" t="n">
        <x:v>3469.42</x:v>
      </x:c>
      <x:c r="H1579" s="7" t="n">
        <x:f>G1579/E1579-1</x:f>
        <x:v>0.05762746998823309</x:v>
      </x:c>
      <x:c r="I1579" s="1" t="n">
        <x:v>1</x:v>
      </x:c>
      <x:c r="J1579" s="1" t="n">
        <x:v>1</x:v>
      </x:c>
      <x:c r="K1579" s="1" t="str">
        <x:v>中证官方优先</x:v>
      </x:c>
    </x:row>
    <x:row r="1580" ht="25" customHeight="1">
      <x:c r="A1580" s="1" t="str">
        <x:v>sh000016</x:v>
      </x:c>
      <x:c r="B1580" s="1" t="str">
        <x:v>上证50</x:v>
      </x:c>
      <x:c r="C1580" s="1" t="str">
        <x:v>2020-12</x:v>
      </x:c>
      <x:c r="D1580" s="1" t="str">
        <x:v>2020-11-30</x:v>
      </x:c>
      <x:c r="E1580" s="5" t="n">
        <x:v>3469.42</x:v>
      </x:c>
      <x:c r="F1580" s="6" t="str">
        <x:v>2020-12-31</x:v>
      </x:c>
      <x:c r="G1580" s="5" t="n">
        <x:v>3640.64</x:v>
      </x:c>
      <x:c r="H1580" s="7" t="n">
        <x:f>G1580/E1580-1</x:f>
        <x:v>0.04935118838307262</x:v>
      </x:c>
      <x:c r="I1580" s="1" t="n">
        <x:v>1</x:v>
      </x:c>
      <x:c r="J1580" s="1" t="n">
        <x:v>1</x:v>
      </x:c>
      <x:c r="K1580" s="1" t="str">
        <x:v>中证官方优先</x:v>
      </x:c>
    </x:row>
    <x:row r="1581" ht="25" customHeight="1">
      <x:c r="A1581" s="1" t="str">
        <x:v>sh000016</x:v>
      </x:c>
      <x:c r="B1581" s="1" t="str">
        <x:v>上证50</x:v>
      </x:c>
      <x:c r="C1581" s="1" t="str">
        <x:v>2021-01</x:v>
      </x:c>
      <x:c r="D1581" s="1" t="str">
        <x:v>2020-12-31</x:v>
      </x:c>
      <x:c r="E1581" s="5" t="n">
        <x:v>3640.64</x:v>
      </x:c>
      <x:c r="F1581" s="6" t="str">
        <x:v>2021-01-29</x:v>
      </x:c>
      <x:c r="G1581" s="5" t="n">
        <x:v>3713.25</x:v>
      </x:c>
      <x:c r="H1581" s="7" t="n">
        <x:f>G1581/E1581-1</x:f>
        <x:v>0.01994429550848209</x:v>
      </x:c>
      <x:c r="I1581" s="1" t="n">
        <x:v>1</x:v>
      </x:c>
      <x:c r="J1581" s="1" t="n">
        <x:v>1</x:v>
      </x:c>
      <x:c r="K1581" s="1" t="str">
        <x:v>中证官方优先</x:v>
      </x:c>
    </x:row>
    <x:row r="1582" ht="25" customHeight="1">
      <x:c r="A1582" s="1" t="str">
        <x:v>sh000016</x:v>
      </x:c>
      <x:c r="B1582" s="1" t="str">
        <x:v>上证50</x:v>
      </x:c>
      <x:c r="C1582" s="1" t="str">
        <x:v>2021-02</x:v>
      </x:c>
      <x:c r="D1582" s="1" t="str">
        <x:v>2021-01-29</x:v>
      </x:c>
      <x:c r="E1582" s="5" t="n">
        <x:v>3713.25</x:v>
      </x:c>
      <x:c r="F1582" s="6" t="str">
        <x:v>2021-02-26</x:v>
      </x:c>
      <x:c r="G1582" s="5" t="n">
        <x:v>3756.86</x:v>
      </x:c>
      <x:c r="H1582" s="7" t="n">
        <x:f>G1582/E1582-1</x:f>
        <x:v>0.011744428734935752</x:v>
      </x:c>
      <x:c r="I1582" s="1" t="n">
        <x:v>1</x:v>
      </x:c>
      <x:c r="J1582" s="1" t="n">
        <x:v>1</x:v>
      </x:c>
      <x:c r="K1582" s="1" t="str">
        <x:v>中证官方优先</x:v>
      </x:c>
    </x:row>
    <x:row r="1583" ht="25" customHeight="1">
      <x:c r="A1583" s="1" t="str">
        <x:v>sh000016</x:v>
      </x:c>
      <x:c r="B1583" s="1" t="str">
        <x:v>上证50</x:v>
      </x:c>
      <x:c r="C1583" s="1" t="str">
        <x:v>2021-03</x:v>
      </x:c>
      <x:c r="D1583" s="1" t="str">
        <x:v>2021-02-26</x:v>
      </x:c>
      <x:c r="E1583" s="5" t="n">
        <x:v>3756.86</x:v>
      </x:c>
      <x:c r="F1583" s="6" t="str">
        <x:v>2021-03-31</x:v>
      </x:c>
      <x:c r="G1583" s="5" t="n">
        <x:v>3539.37</x:v>
      </x:c>
      <x:c r="H1583" s="7" t="n">
        <x:f>G1583/E1583-1</x:f>
        <x:v>-0.05789143060960489</x:v>
      </x:c>
      <x:c r="I1583" s="1" t="n">
        <x:v>1</x:v>
      </x:c>
      <x:c r="J1583" s="1" t="n">
        <x:v>1</x:v>
      </x:c>
      <x:c r="K1583" s="1" t="str">
        <x:v>中证官方优先</x:v>
      </x:c>
    </x:row>
    <x:row r="1584" ht="25" customHeight="1">
      <x:c r="A1584" s="1" t="str">
        <x:v>sh000016</x:v>
      </x:c>
      <x:c r="B1584" s="1" t="str">
        <x:v>上证50</x:v>
      </x:c>
      <x:c r="C1584" s="1" t="str">
        <x:v>2021-04</x:v>
      </x:c>
      <x:c r="D1584" s="1" t="str">
        <x:v>2021-03-31</x:v>
      </x:c>
      <x:c r="E1584" s="5" t="n">
        <x:v>3539.37</x:v>
      </x:c>
      <x:c r="F1584" s="6" t="str">
        <x:v>2021-04-30</x:v>
      </x:c>
      <x:c r="G1584" s="5" t="n">
        <x:v>3491.19</x:v>
      </x:c>
      <x:c r="H1584" s="7" t="n">
        <x:f>G1584/E1584-1</x:f>
        <x:v>-0.013612592071470253</x:v>
      </x:c>
      <x:c r="I1584" s="1" t="n">
        <x:v>1</x:v>
      </x:c>
      <x:c r="J1584" s="1" t="n">
        <x:v>1</x:v>
      </x:c>
      <x:c r="K1584" s="1" t="str">
        <x:v>中证官方优先</x:v>
      </x:c>
    </x:row>
    <x:row r="1585" ht="25" customHeight="1">
      <x:c r="A1585" s="1" t="str">
        <x:v>sh000016</x:v>
      </x:c>
      <x:c r="B1585" s="1" t="str">
        <x:v>上证50</x:v>
      </x:c>
      <x:c r="C1585" s="1" t="str">
        <x:v>2021-05</x:v>
      </x:c>
      <x:c r="D1585" s="1" t="str">
        <x:v>2021-04-30</x:v>
      </x:c>
      <x:c r="E1585" s="5" t="n">
        <x:v>3491.19</x:v>
      </x:c>
      <x:c r="F1585" s="6" t="str">
        <x:v>2021-05-31</x:v>
      </x:c>
      <x:c r="G1585" s="5" t="n">
        <x:v>3650.22</x:v>
      </x:c>
      <x:c r="H1585" s="7" t="n">
        <x:f>G1585/E1585-1</x:f>
        <x:v>0.04555180325333197</x:v>
      </x:c>
      <x:c r="I1585" s="1" t="n">
        <x:v>1</x:v>
      </x:c>
      <x:c r="J1585" s="1" t="n">
        <x:v>1</x:v>
      </x:c>
      <x:c r="K1585" s="1" t="str">
        <x:v>中证官方优先</x:v>
      </x:c>
    </x:row>
    <x:row r="1586" ht="25" customHeight="1">
      <x:c r="A1586" s="1" t="str">
        <x:v>sh000016</x:v>
      </x:c>
      <x:c r="B1586" s="1" t="str">
        <x:v>上证50</x:v>
      </x:c>
      <x:c r="C1586" s="1" t="str">
        <x:v>2021-06</x:v>
      </x:c>
      <x:c r="D1586" s="1" t="str">
        <x:v>2021-05-31</x:v>
      </x:c>
      <x:c r="E1586" s="5" t="n">
        <x:v>3650.22</x:v>
      </x:c>
      <x:c r="F1586" s="6" t="str">
        <x:v>2021-06-30</x:v>
      </x:c>
      <x:c r="G1586" s="5" t="n">
        <x:v>3498.65</x:v>
      </x:c>
      <x:c r="H1586" s="7" t="n">
        <x:f>G1586/E1586-1</x:f>
        <x:v>-0.041523524609475504</x:v>
      </x:c>
      <x:c r="I1586" s="1" t="n">
        <x:v>1</x:v>
      </x:c>
      <x:c r="J1586" s="1" t="n">
        <x:v>1</x:v>
      </x:c>
      <x:c r="K1586" s="1" t="str">
        <x:v>中证官方优先</x:v>
      </x:c>
    </x:row>
    <x:row r="1587" ht="25" customHeight="1">
      <x:c r="A1587" s="1" t="str">
        <x:v>sh000016</x:v>
      </x:c>
      <x:c r="B1587" s="1" t="str">
        <x:v>上证50</x:v>
      </x:c>
      <x:c r="C1587" s="1" t="str">
        <x:v>2021-07</x:v>
      </x:c>
      <x:c r="D1587" s="1" t="str">
        <x:v>2021-06-30</x:v>
      </x:c>
      <x:c r="E1587" s="5" t="n">
        <x:v>3498.65</x:v>
      </x:c>
      <x:c r="F1587" s="6" t="str">
        <x:v>2021-07-30</x:v>
      </x:c>
      <x:c r="G1587" s="5" t="n">
        <x:v>3132.82</x:v>
      </x:c>
      <x:c r="H1587" s="7" t="n">
        <x:f>G1587/E1587-1</x:f>
        <x:v>-0.10456318865848258</x:v>
      </x:c>
      <x:c r="I1587" s="1" t="n">
        <x:v>1</x:v>
      </x:c>
      <x:c r="J1587" s="1" t="n">
        <x:v>1</x:v>
      </x:c>
      <x:c r="K1587" s="1" t="str">
        <x:v>中证官方优先</x:v>
      </x:c>
    </x:row>
    <x:row r="1588" ht="25" customHeight="1">
      <x:c r="A1588" s="1" t="str">
        <x:v>sh000016</x:v>
      </x:c>
      <x:c r="B1588" s="1" t="str">
        <x:v>上证50</x:v>
      </x:c>
      <x:c r="C1588" s="1" t="str">
        <x:v>2021-08</x:v>
      </x:c>
      <x:c r="D1588" s="1" t="str">
        <x:v>2021-07-30</x:v>
      </x:c>
      <x:c r="E1588" s="5" t="n">
        <x:v>3132.82</x:v>
      </x:c>
      <x:c r="F1588" s="6" t="str">
        <x:v>2021-08-31</x:v>
      </x:c>
      <x:c r="G1588" s="5" t="n">
        <x:v>3097.06</x:v>
      </x:c>
      <x:c r="H1588" s="7" t="n">
        <x:f>G1588/E1588-1</x:f>
        <x:v>-0.011414636014836499</x:v>
      </x:c>
      <x:c r="I1588" s="1" t="n">
        <x:v>1</x:v>
      </x:c>
      <x:c r="J1588" s="1" t="n">
        <x:v>1</x:v>
      </x:c>
      <x:c r="K1588" s="1" t="str">
        <x:v>中证官方优先</x:v>
      </x:c>
    </x:row>
    <x:row r="1589" ht="25" customHeight="1">
      <x:c r="A1589" s="1" t="str">
        <x:v>sh000016</x:v>
      </x:c>
      <x:c r="B1589" s="1" t="str">
        <x:v>上证50</x:v>
      </x:c>
      <x:c r="C1589" s="1" t="str">
        <x:v>2021-09</x:v>
      </x:c>
      <x:c r="D1589" s="1" t="str">
        <x:v>2021-08-31</x:v>
      </x:c>
      <x:c r="E1589" s="5" t="n">
        <x:v>3097.06</x:v>
      </x:c>
      <x:c r="F1589" s="6" t="str">
        <x:v>2021-09-30</x:v>
      </x:c>
      <x:c r="G1589" s="5" t="n">
        <x:v>3196.99</x:v>
      </x:c>
      <x:c r="H1589" s="7" t="n">
        <x:f>G1589/E1589-1</x:f>
        <x:v>0.0322660846092746</x:v>
      </x:c>
      <x:c r="I1589" s="1" t="n">
        <x:v>1</x:v>
      </x:c>
      <x:c r="J1589" s="1" t="n">
        <x:v>1</x:v>
      </x:c>
      <x:c r="K1589" s="1" t="str">
        <x:v>中证官方优先</x:v>
      </x:c>
    </x:row>
    <x:row r="1590" ht="25" customHeight="1">
      <x:c r="A1590" s="1" t="str">
        <x:v>sh000016</x:v>
      </x:c>
      <x:c r="B1590" s="1" t="str">
        <x:v>上证50</x:v>
      </x:c>
      <x:c r="C1590" s="1" t="str">
        <x:v>2021-10</x:v>
      </x:c>
      <x:c r="D1590" s="1" t="str">
        <x:v>2021-09-30</x:v>
      </x:c>
      <x:c r="E1590" s="5" t="n">
        <x:v>3196.99</x:v>
      </x:c>
      <x:c r="F1590" s="6" t="str">
        <x:v>2021-10-29</x:v>
      </x:c>
      <x:c r="G1590" s="5" t="n">
        <x:v>3267.25</x:v>
      </x:c>
      <x:c r="H1590" s="7" t="n">
        <x:f>G1590/E1590-1</x:f>
        <x:v>0.021976922042296065</x:v>
      </x:c>
      <x:c r="I1590" s="1" t="n">
        <x:v>1</x:v>
      </x:c>
      <x:c r="J1590" s="1" t="n">
        <x:v>1</x:v>
      </x:c>
      <x:c r="K1590" s="1" t="str">
        <x:v>中证官方优先</x:v>
      </x:c>
    </x:row>
    <x:row r="1591" ht="25" customHeight="1">
      <x:c r="A1591" s="1" t="str">
        <x:v>sh000016</x:v>
      </x:c>
      <x:c r="B1591" s="1" t="str">
        <x:v>上证50</x:v>
      </x:c>
      <x:c r="C1591" s="1" t="str">
        <x:v>2021-11</x:v>
      </x:c>
      <x:c r="D1591" s="1" t="str">
        <x:v>2021-10-29</x:v>
      </x:c>
      <x:c r="E1591" s="5" t="n">
        <x:v>3267.25</x:v>
      </x:c>
      <x:c r="F1591" s="6" t="str">
        <x:v>2021-11-30</x:v>
      </x:c>
      <x:c r="G1591" s="5" t="n">
        <x:v>3165.35</x:v>
      </x:c>
      <x:c r="H1591" s="7" t="n">
        <x:f>G1591/E1591-1</x:f>
        <x:v>-0.031188308210268634</x:v>
      </x:c>
      <x:c r="I1591" s="1" t="n">
        <x:v>1</x:v>
      </x:c>
      <x:c r="J1591" s="1" t="n">
        <x:v>1</x:v>
      </x:c>
      <x:c r="K1591" s="1" t="str">
        <x:v>中证官方优先</x:v>
      </x:c>
    </x:row>
    <x:row r="1592" ht="25" customHeight="1">
      <x:c r="A1592" s="1" t="str">
        <x:v>sh000016</x:v>
      </x:c>
      <x:c r="B1592" s="1" t="str">
        <x:v>上证50</x:v>
      </x:c>
      <x:c r="C1592" s="1" t="str">
        <x:v>2021-12</x:v>
      </x:c>
      <x:c r="D1592" s="1" t="str">
        <x:v>2021-11-30</x:v>
      </x:c>
      <x:c r="E1592" s="5" t="n">
        <x:v>3165.35</x:v>
      </x:c>
      <x:c r="F1592" s="6" t="str">
        <x:v>2021-12-31</x:v>
      </x:c>
      <x:c r="G1592" s="5" t="n">
        <x:v>3274.32</x:v>
      </x:c>
      <x:c r="H1592" s="7" t="n">
        <x:f>G1592/E1592-1</x:f>
        <x:v>0.034425892871246644</x:v>
      </x:c>
      <x:c r="I1592" s="1" t="n">
        <x:v>1</x:v>
      </x:c>
      <x:c r="J1592" s="1" t="n">
        <x:v>1</x:v>
      </x:c>
      <x:c r="K1592" s="1" t="str">
        <x:v>中证官方优先</x:v>
      </x:c>
    </x:row>
    <x:row r="1593" ht="25" customHeight="1">
      <x:c r="A1593" s="1" t="str">
        <x:v>sh000016</x:v>
      </x:c>
      <x:c r="B1593" s="1" t="str">
        <x:v>上证50</x:v>
      </x:c>
      <x:c r="C1593" s="1" t="str">
        <x:v>2022-01</x:v>
      </x:c>
      <x:c r="D1593" s="1" t="str">
        <x:v>2021-12-31</x:v>
      </x:c>
      <x:c r="E1593" s="5" t="n">
        <x:v>3274.32</x:v>
      </x:c>
      <x:c r="F1593" s="6" t="str">
        <x:v>2022-01-28</x:v>
      </x:c>
      <x:c r="G1593" s="5" t="n">
        <x:v>3054.02</x:v>
      </x:c>
      <x:c r="H1593" s="7" t="n">
        <x:f>G1593/E1593-1</x:f>
        <x:v>-0.06728114539812857</x:v>
      </x:c>
      <x:c r="I1593" s="1" t="n">
        <x:v>1</x:v>
      </x:c>
      <x:c r="J1593" s="1" t="n">
        <x:v>1</x:v>
      </x:c>
      <x:c r="K1593" s="1" t="str">
        <x:v>中证官方优先</x:v>
      </x:c>
    </x:row>
    <x:row r="1594" ht="25" customHeight="1">
      <x:c r="A1594" s="1" t="str">
        <x:v>sh000016</x:v>
      </x:c>
      <x:c r="B1594" s="1" t="str">
        <x:v>上证50</x:v>
      </x:c>
      <x:c r="C1594" s="1" t="str">
        <x:v>2022-02</x:v>
      </x:c>
      <x:c r="D1594" s="1" t="str">
        <x:v>2022-01-28</x:v>
      </x:c>
      <x:c r="E1594" s="5" t="n">
        <x:v>3054.02</x:v>
      </x:c>
      <x:c r="F1594" s="6" t="str">
        <x:v>2022-02-28</x:v>
      </x:c>
      <x:c r="G1594" s="5" t="n">
        <x:v>3080.78</x:v>
      </x:c>
      <x:c r="H1594" s="7" t="n">
        <x:f>G1594/E1594-1</x:f>
        <x:v>0.008762221596453346</x:v>
      </x:c>
      <x:c r="I1594" s="1" t="n">
        <x:v>1</x:v>
      </x:c>
      <x:c r="J1594" s="1" t="n">
        <x:v>1</x:v>
      </x:c>
      <x:c r="K1594" s="1" t="str">
        <x:v>中证官方优先</x:v>
      </x:c>
    </x:row>
    <x:row r="1595" ht="25" customHeight="1">
      <x:c r="A1595" s="1" t="str">
        <x:v>sh000016</x:v>
      </x:c>
      <x:c r="B1595" s="1" t="str">
        <x:v>上证50</x:v>
      </x:c>
      <x:c r="C1595" s="1" t="str">
        <x:v>2022-03</x:v>
      </x:c>
      <x:c r="D1595" s="1" t="str">
        <x:v>2022-02-28</x:v>
      </x:c>
      <x:c r="E1595" s="5" t="n">
        <x:v>3080.78</x:v>
      </x:c>
      <x:c r="F1595" s="6" t="str">
        <x:v>2022-03-31</x:v>
      </x:c>
      <x:c r="G1595" s="5" t="n">
        <x:v>2898.83</x:v>
      </x:c>
      <x:c r="H1595" s="7" t="n">
        <x:f>G1595/E1595-1</x:f>
        <x:v>-0.05905971864268145</x:v>
      </x:c>
      <x:c r="I1595" s="1" t="n">
        <x:v>1</x:v>
      </x:c>
      <x:c r="J1595" s="1" t="n">
        <x:v>1</x:v>
      </x:c>
      <x:c r="K1595" s="1" t="str">
        <x:v>中证官方优先</x:v>
      </x:c>
    </x:row>
    <x:row r="1596" ht="25" customHeight="1">
      <x:c r="A1596" s="1" t="str">
        <x:v>sh000016</x:v>
      </x:c>
      <x:c r="B1596" s="1" t="str">
        <x:v>上证50</x:v>
      </x:c>
      <x:c r="C1596" s="1" t="str">
        <x:v>2022-04</x:v>
      </x:c>
      <x:c r="D1596" s="1" t="str">
        <x:v>2022-03-31</x:v>
      </x:c>
      <x:c r="E1596" s="5" t="n">
        <x:v>2898.83</x:v>
      </x:c>
      <x:c r="F1596" s="6" t="str">
        <x:v>2022-04-29</x:v>
      </x:c>
      <x:c r="G1596" s="5" t="n">
        <x:v>2805.34</x:v>
      </x:c>
      <x:c r="H1596" s="7" t="n">
        <x:f>G1596/E1596-1</x:f>
        <x:v>-0.03225094262167838</x:v>
      </x:c>
      <x:c r="I1596" s="1" t="n">
        <x:v>1</x:v>
      </x:c>
      <x:c r="J1596" s="1" t="n">
        <x:v>1</x:v>
      </x:c>
      <x:c r="K1596" s="1" t="str">
        <x:v>中证官方优先</x:v>
      </x:c>
    </x:row>
    <x:row r="1597" ht="25" customHeight="1">
      <x:c r="A1597" s="1" t="str">
        <x:v>sh000016</x:v>
      </x:c>
      <x:c r="B1597" s="1" t="str">
        <x:v>上证50</x:v>
      </x:c>
      <x:c r="C1597" s="1" t="str">
        <x:v>2022-05</x:v>
      </x:c>
      <x:c r="D1597" s="1" t="str">
        <x:v>2022-04-29</x:v>
      </x:c>
      <x:c r="E1597" s="5" t="n">
        <x:v>2805.34</x:v>
      </x:c>
      <x:c r="F1597" s="6" t="str">
        <x:v>2022-05-31</x:v>
      </x:c>
      <x:c r="G1597" s="5" t="n">
        <x:v>2813.22</x:v>
      </x:c>
      <x:c r="H1597" s="7" t="n">
        <x:f>G1597/E1597-1</x:f>
        <x:v>0.002808928686005796</x:v>
      </x:c>
      <x:c r="I1597" s="1" t="n">
        <x:v>1</x:v>
      </x:c>
      <x:c r="J1597" s="1" t="n">
        <x:v>1</x:v>
      </x:c>
      <x:c r="K1597" s="1" t="str">
        <x:v>中证官方优先</x:v>
      </x:c>
    </x:row>
    <x:row r="1598" ht="25" customHeight="1">
      <x:c r="A1598" s="1" t="str">
        <x:v>sh000016</x:v>
      </x:c>
      <x:c r="B1598" s="1" t="str">
        <x:v>上证50</x:v>
      </x:c>
      <x:c r="C1598" s="1" t="str">
        <x:v>2022-06</x:v>
      </x:c>
      <x:c r="D1598" s="1" t="str">
        <x:v>2022-05-31</x:v>
      </x:c>
      <x:c r="E1598" s="5" t="n">
        <x:v>2813.22</x:v>
      </x:c>
      <x:c r="F1598" s="6" t="str">
        <x:v>2022-06-30</x:v>
      </x:c>
      <x:c r="G1598" s="5" t="n">
        <x:v>3058.4</x:v>
      </x:c>
      <x:c r="H1598" s="7" t="n">
        <x:f>G1598/E1598-1</x:f>
        <x:v>0.08715279999431269</x:v>
      </x:c>
      <x:c r="I1598" s="1" t="n">
        <x:v>1</x:v>
      </x:c>
      <x:c r="J1598" s="1" t="n">
        <x:v>1</x:v>
      </x:c>
      <x:c r="K1598" s="1" t="str">
        <x:v>中证官方优先</x:v>
      </x:c>
    </x:row>
    <x:row r="1599" ht="25" customHeight="1">
      <x:c r="A1599" s="1" t="str">
        <x:v>sh000016</x:v>
      </x:c>
      <x:c r="B1599" s="1" t="str">
        <x:v>上证50</x:v>
      </x:c>
      <x:c r="C1599" s="1" t="str">
        <x:v>2022-07</x:v>
      </x:c>
      <x:c r="D1599" s="1" t="str">
        <x:v>2022-06-30</x:v>
      </x:c>
      <x:c r="E1599" s="5" t="n">
        <x:v>3058.4</x:v>
      </x:c>
      <x:c r="F1599" s="6" t="str">
        <x:v>2022-07-29</x:v>
      </x:c>
      <x:c r="G1599" s="5" t="n">
        <x:v>2792.33</x:v>
      </x:c>
      <x:c r="H1599" s="7" t="n">
        <x:f>G1599/E1599-1</x:f>
        <x:v>-0.08699646874182587</x:v>
      </x:c>
      <x:c r="I1599" s="1" t="n">
        <x:v>1</x:v>
      </x:c>
      <x:c r="J1599" s="1" t="n">
        <x:v>1</x:v>
      </x:c>
      <x:c r="K1599" s="1" t="str">
        <x:v>中证官方优先</x:v>
      </x:c>
    </x:row>
    <x:row r="1600" ht="25" customHeight="1">
      <x:c r="A1600" s="1" t="str">
        <x:v>sh000016</x:v>
      </x:c>
      <x:c r="B1600" s="1" t="str">
        <x:v>上证50</x:v>
      </x:c>
      <x:c r="C1600" s="1" t="str">
        <x:v>2022-08</x:v>
      </x:c>
      <x:c r="D1600" s="1" t="str">
        <x:v>2022-07-29</x:v>
      </x:c>
      <x:c r="E1600" s="5" t="n">
        <x:v>2792.33</x:v>
      </x:c>
      <x:c r="F1600" s="6" t="str">
        <x:v>2022-08-31</x:v>
      </x:c>
      <x:c r="G1600" s="5" t="n">
        <x:v>2761.78</x:v>
      </x:c>
      <x:c r="H1600" s="7" t="n">
        <x:f>G1600/E1600-1</x:f>
        <x:v>-0.01094068394494907</x:v>
      </x:c>
      <x:c r="I1600" s="1" t="n">
        <x:v>1</x:v>
      </x:c>
      <x:c r="J1600" s="1" t="n">
        <x:v>1</x:v>
      </x:c>
      <x:c r="K1600" s="1" t="str">
        <x:v>中证官方优先</x:v>
      </x:c>
    </x:row>
    <x:row r="1601" ht="25" customHeight="1">
      <x:c r="A1601" s="1" t="str">
        <x:v>sh000016</x:v>
      </x:c>
      <x:c r="B1601" s="1" t="str">
        <x:v>上证50</x:v>
      </x:c>
      <x:c r="C1601" s="1" t="str">
        <x:v>2022-09</x:v>
      </x:c>
      <x:c r="D1601" s="1" t="str">
        <x:v>2022-08-31</x:v>
      </x:c>
      <x:c r="E1601" s="5" t="n">
        <x:v>2761.78</x:v>
      </x:c>
      <x:c r="F1601" s="6" t="str">
        <x:v>2022-09-30</x:v>
      </x:c>
      <x:c r="G1601" s="5" t="n">
        <x:v>2610.12</x:v>
      </x:c>
      <x:c r="H1601" s="7" t="n">
        <x:f>G1601/E1601-1</x:f>
        <x:v>-0.054913859901947415</x:v>
      </x:c>
      <x:c r="I1601" s="1" t="n">
        <x:v>1</x:v>
      </x:c>
      <x:c r="J1601" s="1" t="n">
        <x:v>1</x:v>
      </x:c>
      <x:c r="K1601" s="1" t="str">
        <x:v>中证官方优先</x:v>
      </x:c>
    </x:row>
    <x:row r="1602" ht="25" customHeight="1">
      <x:c r="A1602" s="1" t="str">
        <x:v>sh000016</x:v>
      </x:c>
      <x:c r="B1602" s="1" t="str">
        <x:v>上证50</x:v>
      </x:c>
      <x:c r="C1602" s="1" t="str">
        <x:v>2022-10</x:v>
      </x:c>
      <x:c r="D1602" s="1" t="str">
        <x:v>2022-09-30</x:v>
      </x:c>
      <x:c r="E1602" s="5" t="n">
        <x:v>2610.12</x:v>
      </x:c>
      <x:c r="F1602" s="6" t="str">
        <x:v>2022-10-31</x:v>
      </x:c>
      <x:c r="G1602" s="5" t="n">
        <x:v>2295.92</x:v>
      </x:c>
      <x:c r="H1602" s="7" t="n">
        <x:f>G1602/E1602-1</x:f>
        <x:v>-0.12037760715982404</x:v>
      </x:c>
      <x:c r="I1602" s="1" t="n">
        <x:v>1</x:v>
      </x:c>
      <x:c r="J1602" s="1" t="n">
        <x:v>1</x:v>
      </x:c>
      <x:c r="K1602" s="1" t="str">
        <x:v>中证官方优先</x:v>
      </x:c>
    </x:row>
    <x:row r="1603" ht="25" customHeight="1">
      <x:c r="A1603" s="1" t="str">
        <x:v>sh000016</x:v>
      </x:c>
      <x:c r="B1603" s="1" t="str">
        <x:v>上证50</x:v>
      </x:c>
      <x:c r="C1603" s="1" t="str">
        <x:v>2022-11</x:v>
      </x:c>
      <x:c r="D1603" s="1" t="str">
        <x:v>2022-10-31</x:v>
      </x:c>
      <x:c r="E1603" s="5" t="n">
        <x:v>2295.92</x:v>
      </x:c>
      <x:c r="F1603" s="6" t="str">
        <x:v>2022-11-30</x:v>
      </x:c>
      <x:c r="G1603" s="5" t="n">
        <x:v>2606.54</x:v>
      </x:c>
      <x:c r="H1603" s="7" t="n">
        <x:f>G1603/E1603-1</x:f>
        <x:v>0.13529217045890096</x:v>
      </x:c>
      <x:c r="I1603" s="1" t="n">
        <x:v>1</x:v>
      </x:c>
      <x:c r="J1603" s="1" t="n">
        <x:v>1</x:v>
      </x:c>
      <x:c r="K1603" s="1" t="str">
        <x:v>中证官方优先</x:v>
      </x:c>
    </x:row>
    <x:row r="1604" ht="25" customHeight="1">
      <x:c r="A1604" s="1" t="str">
        <x:v>sh000016</x:v>
      </x:c>
      <x:c r="B1604" s="1" t="str">
        <x:v>上证50</x:v>
      </x:c>
      <x:c r="C1604" s="1" t="str">
        <x:v>2022-12</x:v>
      </x:c>
      <x:c r="D1604" s="1" t="str">
        <x:v>2022-11-30</x:v>
      </x:c>
      <x:c r="E1604" s="5" t="n">
        <x:v>2606.54</x:v>
      </x:c>
      <x:c r="F1604" s="6" t="str">
        <x:v>2022-12-30</x:v>
      </x:c>
      <x:c r="G1604" s="5" t="n">
        <x:v>2635.25</x:v>
      </x:c>
      <x:c r="H1604" s="7" t="n">
        <x:f>G1604/E1604-1</x:f>
        <x:v>0.011014601732564966</x:v>
      </x:c>
      <x:c r="I1604" s="1" t="n">
        <x:v>1</x:v>
      </x:c>
      <x:c r="J1604" s="1" t="n">
        <x:v>1</x:v>
      </x:c>
      <x:c r="K1604" s="1" t="str">
        <x:v>中证官方优先</x:v>
      </x:c>
    </x:row>
    <x:row r="1605" ht="25" customHeight="1">
      <x:c r="A1605" s="1" t="str">
        <x:v>sh000016</x:v>
      </x:c>
      <x:c r="B1605" s="1" t="str">
        <x:v>上证50</x:v>
      </x:c>
      <x:c r="C1605" s="1" t="str">
        <x:v>2023-01</x:v>
      </x:c>
      <x:c r="D1605" s="1" t="str">
        <x:v>2022-12-30</x:v>
      </x:c>
      <x:c r="E1605" s="5" t="n">
        <x:v>2635.25</x:v>
      </x:c>
      <x:c r="F1605" s="6" t="str">
        <x:v>2023-01-31</x:v>
      </x:c>
      <x:c r="G1605" s="5" t="n">
        <x:v>2807.95</x:v>
      </x:c>
      <x:c r="H1605" s="7" t="n">
        <x:f>G1605/E1605-1</x:f>
        <x:v>0.06553457926192952</x:v>
      </x:c>
      <x:c r="I1605" s="1" t="n">
        <x:v>1</x:v>
      </x:c>
      <x:c r="J1605" s="1" t="n">
        <x:v>1</x:v>
      </x:c>
      <x:c r="K1605" s="1" t="str">
        <x:v>中证官方优先</x:v>
      </x:c>
    </x:row>
    <x:row r="1606" ht="25" customHeight="1">
      <x:c r="A1606" s="1" t="str">
        <x:v>sh000016</x:v>
      </x:c>
      <x:c r="B1606" s="1" t="str">
        <x:v>上证50</x:v>
      </x:c>
      <x:c r="C1606" s="1" t="str">
        <x:v>2023-02</x:v>
      </x:c>
      <x:c r="D1606" s="1" t="str">
        <x:v>2023-01-31</x:v>
      </x:c>
      <x:c r="E1606" s="5" t="n">
        <x:v>2807.95</x:v>
      </x:c>
      <x:c r="F1606" s="6" t="str">
        <x:v>2023-02-28</x:v>
      </x:c>
      <x:c r="G1606" s="5" t="n">
        <x:v>2737.15</x:v>
      </x:c>
      <x:c r="H1606" s="7" t="n">
        <x:f>G1606/E1606-1</x:f>
        <x:v>-0.025214124183122855</x:v>
      </x:c>
      <x:c r="I1606" s="1" t="n">
        <x:v>1</x:v>
      </x:c>
      <x:c r="J1606" s="1" t="n">
        <x:v>1</x:v>
      </x:c>
      <x:c r="K1606" s="1" t="str">
        <x:v>中证官方优先</x:v>
      </x:c>
    </x:row>
    <x:row r="1607" ht="25" customHeight="1">
      <x:c r="A1607" s="1" t="str">
        <x:v>sh000016</x:v>
      </x:c>
      <x:c r="B1607" s="1" t="str">
        <x:v>上证50</x:v>
      </x:c>
      <x:c r="C1607" s="1" t="str">
        <x:v>2023-03</x:v>
      </x:c>
      <x:c r="D1607" s="1" t="str">
        <x:v>2023-02-28</x:v>
      </x:c>
      <x:c r="E1607" s="5" t="n">
        <x:v>2737.15</x:v>
      </x:c>
      <x:c r="F1607" s="6" t="str">
        <x:v>2023-03-31</x:v>
      </x:c>
      <x:c r="G1607" s="5" t="n">
        <x:v>2661.92</x:v>
      </x:c>
      <x:c r="H1607" s="7" t="n">
        <x:f>G1607/E1607-1</x:f>
        <x:v>-0.02748479257621983</x:v>
      </x:c>
      <x:c r="I1607" s="1" t="n">
        <x:v>1</x:v>
      </x:c>
      <x:c r="J1607" s="1" t="n">
        <x:v>1</x:v>
      </x:c>
      <x:c r="K1607" s="1" t="str">
        <x:v>中证官方优先</x:v>
      </x:c>
    </x:row>
    <x:row r="1608" ht="25" customHeight="1">
      <x:c r="A1608" s="1" t="str">
        <x:v>sh000016</x:v>
      </x:c>
      <x:c r="B1608" s="1" t="str">
        <x:v>上证50</x:v>
      </x:c>
      <x:c r="C1608" s="1" t="str">
        <x:v>2023-04</x:v>
      </x:c>
      <x:c r="D1608" s="1" t="str">
        <x:v>2023-03-31</x:v>
      </x:c>
      <x:c r="E1608" s="5" t="n">
        <x:v>2661.92</x:v>
      </x:c>
      <x:c r="F1608" s="6" t="str">
        <x:v>2023-04-28</x:v>
      </x:c>
      <x:c r="G1608" s="5" t="n">
        <x:v>2677.76</x:v>
      </x:c>
      <x:c r="H1608" s="7" t="n">
        <x:f>G1608/E1608-1</x:f>
        <x:v>0.005950592053855841</x:v>
      </x:c>
      <x:c r="I1608" s="1" t="n">
        <x:v>1</x:v>
      </x:c>
      <x:c r="J1608" s="1" t="n">
        <x:v>1</x:v>
      </x:c>
      <x:c r="K1608" s="1" t="str">
        <x:v>中证官方优先</x:v>
      </x:c>
    </x:row>
    <x:row r="1609" ht="25" customHeight="1">
      <x:c r="A1609" s="1" t="str">
        <x:v>sh000016</x:v>
      </x:c>
      <x:c r="B1609" s="1" t="str">
        <x:v>上证50</x:v>
      </x:c>
      <x:c r="C1609" s="1" t="str">
        <x:v>2023-05</x:v>
      </x:c>
      <x:c r="D1609" s="1" t="str">
        <x:v>2023-04-28</x:v>
      </x:c>
      <x:c r="E1609" s="5" t="n">
        <x:v>2677.76</x:v>
      </x:c>
      <x:c r="F1609" s="6" t="str">
        <x:v>2023-05-31</x:v>
      </x:c>
      <x:c r="G1609" s="5" t="n">
        <x:v>2493.35</x:v>
      </x:c>
      <x:c r="H1609" s="7" t="n">
        <x:f>G1609/E1609-1</x:f>
        <x:v>-0.06886726218929262</x:v>
      </x:c>
      <x:c r="I1609" s="1" t="n">
        <x:v>1</x:v>
      </x:c>
      <x:c r="J1609" s="1" t="n">
        <x:v>1</x:v>
      </x:c>
      <x:c r="K1609" s="1" t="str">
        <x:v>中证官方优先</x:v>
      </x:c>
    </x:row>
    <x:row r="1610" ht="25" customHeight="1">
      <x:c r="A1610" s="1" t="str">
        <x:v>sh000016</x:v>
      </x:c>
      <x:c r="B1610" s="1" t="str">
        <x:v>上证50</x:v>
      </x:c>
      <x:c r="C1610" s="1" t="str">
        <x:v>2023-06</x:v>
      </x:c>
      <x:c r="D1610" s="1" t="str">
        <x:v>2023-05-31</x:v>
      </x:c>
      <x:c r="E1610" s="5" t="n">
        <x:v>2493.35</x:v>
      </x:c>
      <x:c r="F1610" s="6" t="str">
        <x:v>2023-06-30</x:v>
      </x:c>
      <x:c r="G1610" s="5" t="n">
        <x:v>2492.1</x:v>
      </x:c>
      <x:c r="H1610" s="7" t="n">
        <x:f>G1610/E1610-1</x:f>
        <x:v>-0.0005013335472356939</x:v>
      </x:c>
      <x:c r="I1610" s="1" t="n">
        <x:v>1</x:v>
      </x:c>
      <x:c r="J1610" s="1" t="n">
        <x:v>1</x:v>
      </x:c>
      <x:c r="K1610" s="1" t="str">
        <x:v>中证官方优先</x:v>
      </x:c>
    </x:row>
    <x:row r="1611" ht="25" customHeight="1">
      <x:c r="A1611" s="1" t="str">
        <x:v>sh000016</x:v>
      </x:c>
      <x:c r="B1611" s="1" t="str">
        <x:v>上证50</x:v>
      </x:c>
      <x:c r="C1611" s="1" t="str">
        <x:v>2023-07</x:v>
      </x:c>
      <x:c r="D1611" s="1" t="str">
        <x:v>2023-06-30</x:v>
      </x:c>
      <x:c r="E1611" s="5" t="n">
        <x:v>2492.1</x:v>
      </x:c>
      <x:c r="F1611" s="6" t="str">
        <x:v>2023-07-31</x:v>
      </x:c>
      <x:c r="G1611" s="5" t="n">
        <x:v>2653.37</x:v>
      </x:c>
      <x:c r="H1611" s="7" t="n">
        <x:f>G1611/E1611-1</x:f>
        <x:v>0.0647124914730548</x:v>
      </x:c>
      <x:c r="I1611" s="1" t="n">
        <x:v>1</x:v>
      </x:c>
      <x:c r="J1611" s="1" t="n">
        <x:v>1</x:v>
      </x:c>
      <x:c r="K1611" s="1" t="str">
        <x:v>中证官方优先</x:v>
      </x:c>
    </x:row>
    <x:row r="1612" ht="25" customHeight="1">
      <x:c r="A1612" s="1" t="str">
        <x:v>sh000016</x:v>
      </x:c>
      <x:c r="B1612" s="1" t="str">
        <x:v>上证50</x:v>
      </x:c>
      <x:c r="C1612" s="1" t="str">
        <x:v>2023-08</x:v>
      </x:c>
      <x:c r="D1612" s="1" t="str">
        <x:v>2023-07-31</x:v>
      </x:c>
      <x:c r="E1612" s="5" t="n">
        <x:v>2653.37</x:v>
      </x:c>
      <x:c r="F1612" s="6" t="str">
        <x:v>2023-08-31</x:v>
      </x:c>
      <x:c r="G1612" s="5" t="n">
        <x:v>2510.46</x:v>
      </x:c>
      <x:c r="H1612" s="7" t="n">
        <x:f>G1612/E1612-1</x:f>
        <x:v>-0.053859808469983395</x:v>
      </x:c>
      <x:c r="I1612" s="1" t="n">
        <x:v>1</x:v>
      </x:c>
      <x:c r="J1612" s="1" t="n">
        <x:v>1</x:v>
      </x:c>
      <x:c r="K1612" s="1" t="str">
        <x:v>中证官方优先</x:v>
      </x:c>
    </x:row>
    <x:row r="1613" ht="25" customHeight="1">
      <x:c r="A1613" s="1" t="str">
        <x:v>sh000016</x:v>
      </x:c>
      <x:c r="B1613" s="1" t="str">
        <x:v>上证50</x:v>
      </x:c>
      <x:c r="C1613" s="1" t="str">
        <x:v>2023-09</x:v>
      </x:c>
      <x:c r="D1613" s="1" t="str">
        <x:v>2023-08-31</x:v>
      </x:c>
      <x:c r="E1613" s="5" t="n">
        <x:v>2510.46</x:v>
      </x:c>
      <x:c r="F1613" s="6" t="str">
        <x:v>2023-09-28</x:v>
      </x:c>
      <x:c r="G1613" s="5" t="n">
        <x:v>2507.09</x:v>
      </x:c>
      <x:c r="H1613" s="7" t="n">
        <x:f>G1613/E1613-1</x:f>
        <x:v>-0.0013423834675716506</x:v>
      </x:c>
      <x:c r="I1613" s="1" t="n">
        <x:v>1</x:v>
      </x:c>
      <x:c r="J1613" s="1" t="n">
        <x:v>1</x:v>
      </x:c>
      <x:c r="K1613" s="1" t="str">
        <x:v>中证官方优先</x:v>
      </x:c>
    </x:row>
    <x:row r="1614" ht="25" customHeight="1">
      <x:c r="A1614" s="1" t="str">
        <x:v>sh000016</x:v>
      </x:c>
      <x:c r="B1614" s="1" t="str">
        <x:v>上证50</x:v>
      </x:c>
      <x:c r="C1614" s="1" t="str">
        <x:v>2023-10</x:v>
      </x:c>
      <x:c r="D1614" s="1" t="str">
        <x:v>2023-09-28</x:v>
      </x:c>
      <x:c r="E1614" s="5" t="n">
        <x:v>2507.09</x:v>
      </x:c>
      <x:c r="F1614" s="6" t="str">
        <x:v>2023-10-31</x:v>
      </x:c>
      <x:c r="G1614" s="5" t="n">
        <x:v>2411.48</x:v>
      </x:c>
      <x:c r="H1614" s="7" t="n">
        <x:f>G1614/E1614-1</x:f>
        <x:v>-0.038135846738649226</x:v>
      </x:c>
      <x:c r="I1614" s="1" t="n">
        <x:v>1</x:v>
      </x:c>
      <x:c r="J1614" s="1" t="n">
        <x:v>1</x:v>
      </x:c>
      <x:c r="K1614" s="1" t="str">
        <x:v>中证官方优先</x:v>
      </x:c>
    </x:row>
    <x:row r="1615" ht="25" customHeight="1">
      <x:c r="A1615" s="1" t="str">
        <x:v>sh000016</x:v>
      </x:c>
      <x:c r="B1615" s="1" t="str">
        <x:v>上证50</x:v>
      </x:c>
      <x:c r="C1615" s="1" t="str">
        <x:v>2023-11</x:v>
      </x:c>
      <x:c r="D1615" s="1" t="str">
        <x:v>2023-10-31</x:v>
      </x:c>
      <x:c r="E1615" s="5" t="n">
        <x:v>2411.48</x:v>
      </x:c>
      <x:c r="F1615" s="6" t="str">
        <x:v>2023-11-30</x:v>
      </x:c>
      <x:c r="G1615" s="5" t="n">
        <x:v>2366</x:v>
      </x:c>
      <x:c r="H1615" s="7" t="n">
        <x:f>G1615/E1615-1</x:f>
        <x:v>-0.01885978735050675</x:v>
      </x:c>
      <x:c r="I1615" s="1" t="n">
        <x:v>1</x:v>
      </x:c>
      <x:c r="J1615" s="1" t="n">
        <x:v>1</x:v>
      </x:c>
      <x:c r="K1615" s="1" t="str">
        <x:v>中证官方优先</x:v>
      </x:c>
    </x:row>
    <x:row r="1616" ht="25" customHeight="1">
      <x:c r="A1616" s="1" t="str">
        <x:v>sh000016</x:v>
      </x:c>
      <x:c r="B1616" s="1" t="str">
        <x:v>上证50</x:v>
      </x:c>
      <x:c r="C1616" s="1" t="str">
        <x:v>2023-12</x:v>
      </x:c>
      <x:c r="D1616" s="1" t="str">
        <x:v>2023-11-30</x:v>
      </x:c>
      <x:c r="E1616" s="5" t="n">
        <x:v>2366</x:v>
      </x:c>
      <x:c r="F1616" s="6" t="str">
        <x:v>2023-12-29</x:v>
      </x:c>
      <x:c r="G1616" s="5" t="n">
        <x:v>2326.17</x:v>
      </x:c>
      <x:c r="H1616" s="7" t="n">
        <x:f>G1616/E1616-1</x:f>
        <x:v>-0.016834319526627173</x:v>
      </x:c>
      <x:c r="I1616" s="1" t="n">
        <x:v>1</x:v>
      </x:c>
      <x:c r="J1616" s="1" t="n">
        <x:v>1</x:v>
      </x:c>
      <x:c r="K1616" s="1" t="str">
        <x:v>中证官方优先</x:v>
      </x:c>
    </x:row>
    <x:row r="1617" ht="25" customHeight="1">
      <x:c r="A1617" s="1" t="str">
        <x:v>sh000016</x:v>
      </x:c>
      <x:c r="B1617" s="1" t="str">
        <x:v>上证50</x:v>
      </x:c>
      <x:c r="C1617" s="1" t="str">
        <x:v>2024-01</x:v>
      </x:c>
      <x:c r="D1617" s="1" t="str">
        <x:v>2023-12-29</x:v>
      </x:c>
      <x:c r="E1617" s="5" t="n">
        <x:v>2326.17</x:v>
      </x:c>
      <x:c r="F1617" s="6" t="str">
        <x:v>2024-01-31</x:v>
      </x:c>
      <x:c r="G1617" s="5" t="n">
        <x:v>2254.3</x:v>
      </x:c>
      <x:c r="H1617" s="7" t="n">
        <x:f>G1617/E1617-1</x:f>
        <x:v>-0.030896280151493594</x:v>
      </x:c>
      <x:c r="I1617" s="1" t="n">
        <x:v>1</x:v>
      </x:c>
      <x:c r="J1617" s="1" t="n">
        <x:v>1</x:v>
      </x:c>
      <x:c r="K1617" s="1" t="str">
        <x:v>中证官方优先</x:v>
      </x:c>
    </x:row>
    <x:row r="1618" ht="25" customHeight="1">
      <x:c r="A1618" s="1" t="str">
        <x:v>sh000016</x:v>
      </x:c>
      <x:c r="B1618" s="1" t="str">
        <x:v>上证50</x:v>
      </x:c>
      <x:c r="C1618" s="1" t="str">
        <x:v>2024-02</x:v>
      </x:c>
      <x:c r="D1618" s="1" t="str">
        <x:v>2024-01-31</x:v>
      </x:c>
      <x:c r="E1618" s="5" t="n">
        <x:v>2254.3</x:v>
      </x:c>
      <x:c r="F1618" s="6" t="str">
        <x:v>2024-02-29</x:v>
      </x:c>
      <x:c r="G1618" s="5" t="n">
        <x:v>2413.14</x:v>
      </x:c>
      <x:c r="H1618" s="7" t="n">
        <x:f>G1618/E1618-1</x:f>
        <x:v>0.07046089695249069</x:v>
      </x:c>
      <x:c r="I1618" s="1" t="n">
        <x:v>1</x:v>
      </x:c>
      <x:c r="J1618" s="1" t="n">
        <x:v>1</x:v>
      </x:c>
      <x:c r="K1618" s="1" t="str">
        <x:v>中证官方优先</x:v>
      </x:c>
    </x:row>
    <x:row r="1619" ht="25" customHeight="1">
      <x:c r="A1619" s="1" t="str">
        <x:v>sh000016</x:v>
      </x:c>
      <x:c r="B1619" s="1" t="str">
        <x:v>上证50</x:v>
      </x:c>
      <x:c r="C1619" s="1" t="str">
        <x:v>2024-03</x:v>
      </x:c>
      <x:c r="D1619" s="1" t="str">
        <x:v>2024-02-29</x:v>
      </x:c>
      <x:c r="E1619" s="5" t="n">
        <x:v>2413.14</x:v>
      </x:c>
      <x:c r="F1619" s="6" t="str">
        <x:v>2024-03-29</x:v>
      </x:c>
      <x:c r="G1619" s="5" t="n">
        <x:v>2414.92</x:v>
      </x:c>
      <x:c r="H1619" s="7" t="n">
        <x:f>G1619/E1619-1</x:f>
        <x:v>0.0007376281525315331</x:v>
      </x:c>
      <x:c r="I1619" s="1" t="n">
        <x:v>1</x:v>
      </x:c>
      <x:c r="J1619" s="1" t="n">
        <x:v>1</x:v>
      </x:c>
      <x:c r="K1619" s="1" t="str">
        <x:v>中证官方优先</x:v>
      </x:c>
    </x:row>
    <x:row r="1620" ht="25" customHeight="1">
      <x:c r="A1620" s="1" t="str">
        <x:v>sh000016</x:v>
      </x:c>
      <x:c r="B1620" s="1" t="str">
        <x:v>上证50</x:v>
      </x:c>
      <x:c r="C1620" s="1" t="str">
        <x:v>2024-04</x:v>
      </x:c>
      <x:c r="D1620" s="1" t="str">
        <x:v>2024-03-29</x:v>
      </x:c>
      <x:c r="E1620" s="5" t="n">
        <x:v>2414.92</x:v>
      </x:c>
      <x:c r="F1620" s="6" t="str">
        <x:v>2024-04-30</x:v>
      </x:c>
      <x:c r="G1620" s="5" t="n">
        <x:v>2464.24</x:v>
      </x:c>
      <x:c r="H1620" s="7" t="n">
        <x:f>G1620/E1620-1</x:f>
        <x:v>0.020423036787968085</x:v>
      </x:c>
      <x:c r="I1620" s="1" t="n">
        <x:v>1</x:v>
      </x:c>
      <x:c r="J1620" s="1" t="n">
        <x:v>1</x:v>
      </x:c>
      <x:c r="K1620" s="1" t="str">
        <x:v>中证官方优先</x:v>
      </x:c>
    </x:row>
    <x:row r="1621" ht="25" customHeight="1">
      <x:c r="A1621" s="1" t="str">
        <x:v>sh000016</x:v>
      </x:c>
      <x:c r="B1621" s="1" t="str">
        <x:v>上证50</x:v>
      </x:c>
      <x:c r="C1621" s="1" t="str">
        <x:v>2024-05</x:v>
      </x:c>
      <x:c r="D1621" s="1" t="str">
        <x:v>2024-04-30</x:v>
      </x:c>
      <x:c r="E1621" s="5" t="n">
        <x:v>2464.24</x:v>
      </x:c>
      <x:c r="F1621" s="6" t="str">
        <x:v>2024-05-31</x:v>
      </x:c>
      <x:c r="G1621" s="5" t="n">
        <x:v>2462.18</x:v>
      </x:c>
      <x:c r="H1621" s="7" t="n">
        <x:f>G1621/E1621-1</x:f>
        <x:v>-0.0008359575366035932</x:v>
      </x:c>
      <x:c r="I1621" s="1" t="n">
        <x:v>1</x:v>
      </x:c>
      <x:c r="J1621" s="1" t="n">
        <x:v>1</x:v>
      </x:c>
      <x:c r="K1621" s="1" t="str">
        <x:v>中证官方优先</x:v>
      </x:c>
    </x:row>
    <x:row r="1622" ht="25" customHeight="1">
      <x:c r="A1622" s="1" t="str">
        <x:v>sh000016</x:v>
      </x:c>
      <x:c r="B1622" s="1" t="str">
        <x:v>上证50</x:v>
      </x:c>
      <x:c r="C1622" s="1" t="str">
        <x:v>2024-06</x:v>
      </x:c>
      <x:c r="D1622" s="1" t="str">
        <x:v>2024-05-31</x:v>
      </x:c>
      <x:c r="E1622" s="5" t="n">
        <x:v>2462.18</x:v>
      </x:c>
      <x:c r="F1622" s="6" t="str">
        <x:v>2024-06-28</x:v>
      </x:c>
      <x:c r="G1622" s="5" t="n">
        <x:v>2394.87</x:v>
      </x:c>
      <x:c r="H1622" s="7" t="n">
        <x:f>G1622/E1622-1</x:f>
        <x:v>-0.027337562647734903</x:v>
      </x:c>
      <x:c r="I1622" s="1" t="n">
        <x:v>1</x:v>
      </x:c>
      <x:c r="J1622" s="1" t="n">
        <x:v>1</x:v>
      </x:c>
      <x:c r="K1622" s="1" t="str">
        <x:v>中证官方优先</x:v>
      </x:c>
    </x:row>
    <x:row r="1623" ht="25" customHeight="1">
      <x:c r="A1623" s="1" t="str">
        <x:v>sh000016</x:v>
      </x:c>
      <x:c r="B1623" s="1" t="str">
        <x:v>上证50</x:v>
      </x:c>
      <x:c r="C1623" s="1" t="str">
        <x:v>2024-07</x:v>
      </x:c>
      <x:c r="D1623" s="1" t="str">
        <x:v>2024-06-28</x:v>
      </x:c>
      <x:c r="E1623" s="5" t="n">
        <x:v>2394.87</x:v>
      </x:c>
      <x:c r="F1623" s="6" t="str">
        <x:v>2024-07-31</x:v>
      </x:c>
      <x:c r="G1623" s="5" t="n">
        <x:v>2375.39</x:v>
      </x:c>
      <x:c r="H1623" s="7" t="n">
        <x:f>G1623/E1623-1</x:f>
        <x:v>-0.008134053205393177</x:v>
      </x:c>
      <x:c r="I1623" s="1" t="n">
        <x:v>1</x:v>
      </x:c>
      <x:c r="J1623" s="1" t="n">
        <x:v>1</x:v>
      </x:c>
      <x:c r="K1623" s="1" t="str">
        <x:v>中证官方优先</x:v>
      </x:c>
    </x:row>
    <x:row r="1624" ht="25" customHeight="1">
      <x:c r="A1624" s="1" t="str">
        <x:v>sh000016</x:v>
      </x:c>
      <x:c r="B1624" s="1" t="str">
        <x:v>上证50</x:v>
      </x:c>
      <x:c r="C1624" s="1" t="str">
        <x:v>2024-08</x:v>
      </x:c>
      <x:c r="D1624" s="1" t="str">
        <x:v>2024-07-31</x:v>
      </x:c>
      <x:c r="E1624" s="5" t="n">
        <x:v>2375.39</x:v>
      </x:c>
      <x:c r="F1624" s="6" t="str">
        <x:v>2024-08-30</x:v>
      </x:c>
      <x:c r="G1624" s="5" t="n">
        <x:v>2335.21</x:v>
      </x:c>
      <x:c r="H1624" s="7" t="n">
        <x:f>G1624/E1624-1</x:f>
        <x:v>-0.016915117096560905</x:v>
      </x:c>
      <x:c r="I1624" s="1" t="n">
        <x:v>1</x:v>
      </x:c>
      <x:c r="J1624" s="1" t="n">
        <x:v>1</x:v>
      </x:c>
      <x:c r="K1624" s="1" t="str">
        <x:v>中证官方优先</x:v>
      </x:c>
    </x:row>
    <x:row r="1625" ht="25" customHeight="1">
      <x:c r="A1625" s="1" t="str">
        <x:v>sh000016</x:v>
      </x:c>
      <x:c r="B1625" s="1" t="str">
        <x:v>上证50</x:v>
      </x:c>
      <x:c r="C1625" s="1" t="str">
        <x:v>2024-09</x:v>
      </x:c>
      <x:c r="D1625" s="1" t="str">
        <x:v>2024-08-30</x:v>
      </x:c>
      <x:c r="E1625" s="5" t="n">
        <x:v>2335.21</x:v>
      </x:c>
      <x:c r="F1625" s="6" t="str">
        <x:v>2024-09-30</x:v>
      </x:c>
      <x:c r="G1625" s="5" t="n">
        <x:v>2755.4</x:v>
      </x:c>
      <x:c r="H1625" s="7" t="n">
        <x:f>G1625/E1625-1</x:f>
        <x:v>0.17993670804767015</x:v>
      </x:c>
      <x:c r="I1625" s="1" t="n">
        <x:v>1</x:v>
      </x:c>
      <x:c r="J1625" s="1" t="n">
        <x:v>1</x:v>
      </x:c>
      <x:c r="K1625" s="1" t="str">
        <x:v>中证官方优先</x:v>
      </x:c>
    </x:row>
    <x:row r="1626" ht="25" customHeight="1">
      <x:c r="A1626" s="1" t="str">
        <x:v>sh000016</x:v>
      </x:c>
      <x:c r="B1626" s="1" t="str">
        <x:v>上证50</x:v>
      </x:c>
      <x:c r="C1626" s="1" t="str">
        <x:v>2024-10</x:v>
      </x:c>
      <x:c r="D1626" s="1" t="str">
        <x:v>2024-09-30</x:v>
      </x:c>
      <x:c r="E1626" s="5" t="n">
        <x:v>2755.4</x:v>
      </x:c>
      <x:c r="F1626" s="6" t="str">
        <x:v>2024-10-31</x:v>
      </x:c>
      <x:c r="G1626" s="5" t="n">
        <x:v>2633.12</x:v>
      </x:c>
      <x:c r="H1626" s="7" t="n">
        <x:f>G1626/E1626-1</x:f>
        <x:v>-0.044378311678885174</x:v>
      </x:c>
      <x:c r="I1626" s="1" t="n">
        <x:v>1</x:v>
      </x:c>
      <x:c r="J1626" s="1" t="n">
        <x:v>1</x:v>
      </x:c>
      <x:c r="K1626" s="1" t="str">
        <x:v>中证官方优先</x:v>
      </x:c>
    </x:row>
    <x:row r="1627" ht="25" customHeight="1">
      <x:c r="A1627" s="1" t="str">
        <x:v>sh000016</x:v>
      </x:c>
      <x:c r="B1627" s="1" t="str">
        <x:v>上证50</x:v>
      </x:c>
      <x:c r="C1627" s="1" t="str">
        <x:v>2024-11</x:v>
      </x:c>
      <x:c r="D1627" s="1" t="str">
        <x:v>2024-10-31</x:v>
      </x:c>
      <x:c r="E1627" s="5" t="n">
        <x:v>2633.12</x:v>
      </x:c>
      <x:c r="F1627" s="6" t="str">
        <x:v>2024-11-29</x:v>
      </x:c>
      <x:c r="G1627" s="5" t="n">
        <x:v>2624.96</x:v>
      </x:c>
      <x:c r="H1627" s="7" t="n">
        <x:f>G1627/E1627-1</x:f>
        <x:v>-0.003098985234246787</x:v>
      </x:c>
      <x:c r="I1627" s="1" t="n">
        <x:v>1</x:v>
      </x:c>
      <x:c r="J1627" s="1" t="n">
        <x:v>1</x:v>
      </x:c>
      <x:c r="K1627" s="1" t="str">
        <x:v>中证官方优先</x:v>
      </x:c>
    </x:row>
    <x:row r="1628" ht="25" customHeight="1">
      <x:c r="A1628" s="1" t="str">
        <x:v>sh000016</x:v>
      </x:c>
      <x:c r="B1628" s="1" t="str">
        <x:v>上证50</x:v>
      </x:c>
      <x:c r="C1628" s="1" t="str">
        <x:v>2024-12</x:v>
      </x:c>
      <x:c r="D1628" s="1" t="str">
        <x:v>2024-11-29</x:v>
      </x:c>
      <x:c r="E1628" s="5" t="n">
        <x:v>2624.96</x:v>
      </x:c>
      <x:c r="F1628" s="6" t="str">
        <x:v>2024-12-31</x:v>
      </x:c>
      <x:c r="G1628" s="5" t="n">
        <x:v>2684.77</x:v>
      </x:c>
      <x:c r="H1628" s="7" t="n">
        <x:f>G1628/E1628-1</x:f>
        <x:v>0.022785109106424395</x:v>
      </x:c>
      <x:c r="I1628" s="1" t="n">
        <x:v>1</x:v>
      </x:c>
      <x:c r="J1628" s="1" t="n">
        <x:v>1</x:v>
      </x:c>
      <x:c r="K1628" s="1" t="str">
        <x:v>中证官方优先</x:v>
      </x:c>
    </x:row>
    <x:row r="1629" ht="25" customHeight="1">
      <x:c r="A1629" s="1" t="str">
        <x:v>sh000016</x:v>
      </x:c>
      <x:c r="B1629" s="1" t="str">
        <x:v>上证50</x:v>
      </x:c>
      <x:c r="C1629" s="1" t="str">
        <x:v>2025-01</x:v>
      </x:c>
      <x:c r="D1629" s="1" t="str">
        <x:v>2024-12-31</x:v>
      </x:c>
      <x:c r="E1629" s="5" t="n">
        <x:v>2684.77</x:v>
      </x:c>
      <x:c r="F1629" s="6" t="str">
        <x:v>2025-01-27</x:v>
      </x:c>
      <x:c r="G1629" s="5" t="n">
        <x:v>2583.65</x:v>
      </x:c>
      <x:c r="H1629" s="7" t="n">
        <x:f>G1629/E1629-1</x:f>
        <x:v>-0.03766430643965768</x:v>
      </x:c>
      <x:c r="I1629" s="1" t="n">
        <x:v>1</x:v>
      </x:c>
      <x:c r="J1629" s="1" t="n">
        <x:v>1</x:v>
      </x:c>
      <x:c r="K1629" s="1" t="str">
        <x:v>中证官方优先</x:v>
      </x:c>
    </x:row>
    <x:row r="1630" ht="25" customHeight="1">
      <x:c r="A1630" s="1" t="str">
        <x:v>sh000016</x:v>
      </x:c>
      <x:c r="B1630" s="1" t="str">
        <x:v>上证50</x:v>
      </x:c>
      <x:c r="C1630" s="1" t="str">
        <x:v>2025-02</x:v>
      </x:c>
      <x:c r="D1630" s="1" t="str">
        <x:v>2025-01-27</x:v>
      </x:c>
      <x:c r="E1630" s="5" t="n">
        <x:v>2583.65</x:v>
      </x:c>
      <x:c r="F1630" s="6" t="str">
        <x:v>2025-02-28</x:v>
      </x:c>
      <x:c r="G1630" s="5" t="n">
        <x:v>2638.96</x:v>
      </x:c>
      <x:c r="H1630" s="7" t="n">
        <x:f>G1630/E1630-1</x:f>
        <x:v>0.021407698411162412</x:v>
      </x:c>
      <x:c r="I1630" s="1" t="n">
        <x:v>1</x:v>
      </x:c>
      <x:c r="J1630" s="1" t="n">
        <x:v>1</x:v>
      </x:c>
      <x:c r="K1630" s="1" t="str">
        <x:v>中证官方优先</x:v>
      </x:c>
    </x:row>
    <x:row r="1631" ht="25" customHeight="1">
      <x:c r="A1631" s="1" t="str">
        <x:v>sh000016</x:v>
      </x:c>
      <x:c r="B1631" s="1" t="str">
        <x:v>上证50</x:v>
      </x:c>
      <x:c r="C1631" s="1" t="str">
        <x:v>2025-03</x:v>
      </x:c>
      <x:c r="D1631" s="1" t="str">
        <x:v>2025-02-28</x:v>
      </x:c>
      <x:c r="E1631" s="5" t="n">
        <x:v>2638.96</x:v>
      </x:c>
      <x:c r="F1631" s="6" t="str">
        <x:v>2025-03-31</x:v>
      </x:c>
      <x:c r="G1631" s="5" t="n">
        <x:v>2665.63</x:v>
      </x:c>
      <x:c r="H1631" s="7" t="n">
        <x:f>G1631/E1631-1</x:f>
        <x:v>0.01010625397884013</x:v>
      </x:c>
      <x:c r="I1631" s="1" t="n">
        <x:v>1</x:v>
      </x:c>
      <x:c r="J1631" s="1" t="n">
        <x:v>1</x:v>
      </x:c>
      <x:c r="K1631" s="1" t="str">
        <x:v>中证官方优先</x:v>
      </x:c>
    </x:row>
    <x:row r="1632" ht="25" customHeight="1">
      <x:c r="A1632" s="1" t="str">
        <x:v>sh000016</x:v>
      </x:c>
      <x:c r="B1632" s="1" t="str">
        <x:v>上证50</x:v>
      </x:c>
      <x:c r="C1632" s="1" t="str">
        <x:v>2025-04</x:v>
      </x:c>
      <x:c r="D1632" s="1" t="str">
        <x:v>2025-03-31</x:v>
      </x:c>
      <x:c r="E1632" s="5" t="n">
        <x:v>2665.63</x:v>
      </x:c>
      <x:c r="F1632" s="6" t="str">
        <x:v>2025-04-30</x:v>
      </x:c>
      <x:c r="G1632" s="5" t="n">
        <x:v>2633.16</x:v>
      </x:c>
      <x:c r="H1632" s="7" t="n">
        <x:f>G1632/E1632-1</x:f>
        <x:v>-0.012180985358058005</x:v>
      </x:c>
      <x:c r="I1632" s="1" t="n">
        <x:v>1</x:v>
      </x:c>
      <x:c r="J1632" s="1" t="n">
        <x:v>1</x:v>
      </x:c>
      <x:c r="K1632" s="1" t="str">
        <x:v>中证官方优先</x:v>
      </x:c>
    </x:row>
    <x:row r="1633" ht="25" customHeight="1">
      <x:c r="A1633" s="1" t="str">
        <x:v>sh000016</x:v>
      </x:c>
      <x:c r="B1633" s="1" t="str">
        <x:v>上证50</x:v>
      </x:c>
      <x:c r="C1633" s="1" t="str">
        <x:v>2025-05</x:v>
      </x:c>
      <x:c r="D1633" s="1" t="str">
        <x:v>2025-04-30</x:v>
      </x:c>
      <x:c r="E1633" s="5" t="n">
        <x:v>2633.16</x:v>
      </x:c>
      <x:c r="F1633" s="6" t="str">
        <x:v>2025-05-30</x:v>
      </x:c>
      <x:c r="G1633" s="5" t="n">
        <x:v>2678.7</x:v>
      </x:c>
      <x:c r="H1633" s="7" t="n">
        <x:f>G1633/E1633-1</x:f>
        <x:v>0.0172948092785854</x:v>
      </x:c>
      <x:c r="I1633" s="1" t="n">
        <x:v>1</x:v>
      </x:c>
      <x:c r="J1633" s="1" t="n">
        <x:v>1</x:v>
      </x:c>
      <x:c r="K1633" s="1" t="str">
        <x:v>中证官方优先</x:v>
      </x:c>
    </x:row>
    <x:row r="1634" ht="25" customHeight="1">
      <x:c r="A1634" s="1" t="str">
        <x:v>sh000016</x:v>
      </x:c>
      <x:c r="B1634" s="1" t="str">
        <x:v>上证50</x:v>
      </x:c>
      <x:c r="C1634" s="1" t="str">
        <x:v>2025-06</x:v>
      </x:c>
      <x:c r="D1634" s="1" t="str">
        <x:v>2025-05-30</x:v>
      </x:c>
      <x:c r="E1634" s="5" t="n">
        <x:v>2678.7</x:v>
      </x:c>
      <x:c r="F1634" s="6" t="str">
        <x:v>2025-06-30</x:v>
      </x:c>
      <x:c r="G1634" s="5" t="n">
        <x:v>2711.99</x:v>
      </x:c>
      <x:c r="H1634" s="7" t="n">
        <x:f>G1634/E1634-1</x:f>
        <x:v>0.012427670138499991</x:v>
      </x:c>
      <x:c r="I1634" s="1" t="n">
        <x:v>1</x:v>
      </x:c>
      <x:c r="J1634" s="1" t="n">
        <x:v>1</x:v>
      </x:c>
      <x:c r="K1634" s="1" t="str">
        <x:v>中证官方优先</x:v>
      </x:c>
    </x:row>
    <x:row r="1635" ht="25" customHeight="1">
      <x:c r="A1635" s="1" t="str">
        <x:v>sh000016</x:v>
      </x:c>
      <x:c r="B1635" s="1" t="str">
        <x:v>上证50</x:v>
      </x:c>
      <x:c r="C1635" s="1" t="str">
        <x:v>2025-07</x:v>
      </x:c>
      <x:c r="D1635" s="1" t="str">
        <x:v>2025-06-30</x:v>
      </x:c>
      <x:c r="E1635" s="5" t="n">
        <x:v>2711.99</x:v>
      </x:c>
      <x:c r="F1635" s="6" t="str">
        <x:v>2025-07-31</x:v>
      </x:c>
      <x:c r="G1635" s="5" t="n">
        <x:v>2775.99</x:v>
      </x:c>
      <x:c r="H1635" s="7" t="n">
        <x:f>G1635/E1635-1</x:f>
        <x:v>0.02359890707561596</x:v>
      </x:c>
      <x:c r="I1635" s="1" t="n">
        <x:v>1</x:v>
      </x:c>
      <x:c r="J1635" s="1" t="n">
        <x:v>1</x:v>
      </x:c>
      <x:c r="K1635" s="1" t="str">
        <x:v>中证官方优先</x:v>
      </x:c>
    </x:row>
    <x:row r="1636" ht="25" customHeight="1">
      <x:c r="A1636" s="1" t="str">
        <x:v>sh000016</x:v>
      </x:c>
      <x:c r="B1636" s="1" t="str">
        <x:v>上证50</x:v>
      </x:c>
      <x:c r="C1636" s="1" t="str">
        <x:v>2025-08</x:v>
      </x:c>
      <x:c r="D1636" s="1" t="str">
        <x:v>2025-07-31</x:v>
      </x:c>
      <x:c r="E1636" s="5" t="n">
        <x:v>2775.99</x:v>
      </x:c>
      <x:c r="F1636" s="6" t="str">
        <x:v>2025-08-29</x:v>
      </x:c>
      <x:c r="G1636" s="5" t="n">
        <x:v>2976.47</x:v>
      </x:c>
      <x:c r="H1636" s="7" t="n">
        <x:f>G1636/E1636-1</x:f>
        <x:v>0.07221928032881975</x:v>
      </x:c>
      <x:c r="I1636" s="1" t="n">
        <x:v>1</x:v>
      </x:c>
      <x:c r="J1636" s="1" t="n">
        <x:v>1</x:v>
      </x:c>
      <x:c r="K1636" s="1" t="str">
        <x:v>中证官方优先</x:v>
      </x:c>
    </x:row>
    <x:row r="1637" ht="25" customHeight="1">
      <x:c r="A1637" s="1" t="str">
        <x:v>sh000016</x:v>
      </x:c>
      <x:c r="B1637" s="1" t="str">
        <x:v>上证50</x:v>
      </x:c>
      <x:c r="C1637" s="1" t="str">
        <x:v>2025-09</x:v>
      </x:c>
      <x:c r="D1637" s="1" t="str">
        <x:v>2025-08-29</x:v>
      </x:c>
      <x:c r="E1637" s="5" t="n">
        <x:v>2976.47</x:v>
      </x:c>
      <x:c r="F1637" s="6" t="str">
        <x:v>2025-09-30</x:v>
      </x:c>
      <x:c r="G1637" s="5" t="n">
        <x:v>2988.94</x:v>
      </x:c>
      <x:c r="H1637" s="7" t="n">
        <x:f>G1637/E1637-1</x:f>
        <x:v>0.004189526519669418</x:v>
      </x:c>
      <x:c r="I1637" s="1" t="n">
        <x:v>1</x:v>
      </x:c>
      <x:c r="J1637" s="1" t="n">
        <x:v>1</x:v>
      </x:c>
      <x:c r="K1637" s="1" t="str">
        <x:v>中证官方优先</x:v>
      </x:c>
    </x:row>
    <x:row r="1638" ht="25" customHeight="1">
      <x:c r="A1638" s="1" t="str">
        <x:v>sh000016</x:v>
      </x:c>
      <x:c r="B1638" s="1" t="str">
        <x:v>上证50</x:v>
      </x:c>
      <x:c r="C1638" s="1" t="str">
        <x:v>2025-10</x:v>
      </x:c>
      <x:c r="D1638" s="1" t="str">
        <x:v>2025-09-30</x:v>
      </x:c>
      <x:c r="E1638" s="5" t="n">
        <x:v>2988.94</x:v>
      </x:c>
      <x:c r="F1638" s="6" t="str">
        <x:v>2025-10-31</x:v>
      </x:c>
      <x:c r="G1638" s="5" t="n">
        <x:v>3011.55</x:v>
      </x:c>
      <x:c r="H1638" s="7" t="n">
        <x:f>G1638/E1638-1</x:f>
        <x:v>0.007564554658173073</x:v>
      </x:c>
      <x:c r="I1638" s="1" t="n">
        <x:v>1</x:v>
      </x:c>
      <x:c r="J1638" s="1" t="n">
        <x:v>1</x:v>
      </x:c>
      <x:c r="K1638" s="1" t="str">
        <x:v>中证官方优先</x:v>
      </x:c>
    </x:row>
    <x:row r="1639" ht="25" customHeight="1">
      <x:c r="A1639" s="1" t="str">
        <x:v>sh000016</x:v>
      </x:c>
      <x:c r="B1639" s="1" t="str">
        <x:v>上证50</x:v>
      </x:c>
      <x:c r="C1639" s="1" t="str">
        <x:v>2025-11</x:v>
      </x:c>
      <x:c r="D1639" s="1" t="str">
        <x:v>2025-10-31</x:v>
      </x:c>
      <x:c r="E1639" s="5" t="n">
        <x:v>3011.55</x:v>
      </x:c>
      <x:c r="F1639" s="6" t="str">
        <x:v>2025-11-28</x:v>
      </x:c>
      <x:c r="G1639" s="5" t="n">
        <x:v>2969.62</x:v>
      </x:c>
      <x:c r="H1639" s="7" t="n">
        <x:f>G1639/E1639-1</x:f>
        <x:v>-0.013923062874599546</x:v>
      </x:c>
      <x:c r="I1639" s="1" t="n">
        <x:v>1</x:v>
      </x:c>
      <x:c r="J1639" s="1" t="n">
        <x:v>1</x:v>
      </x:c>
      <x:c r="K1639" s="1" t="str">
        <x:v>中证官方优先</x:v>
      </x:c>
    </x:row>
    <x:row r="1640" ht="25" customHeight="1">
      <x:c r="A1640" s="1" t="str">
        <x:v>sh000016</x:v>
      </x:c>
      <x:c r="B1640" s="1" t="str">
        <x:v>上证50</x:v>
      </x:c>
      <x:c r="C1640" s="1" t="str">
        <x:v>2025-12</x:v>
      </x:c>
      <x:c r="D1640" s="1" t="str">
        <x:v>2025-11-28</x:v>
      </x:c>
      <x:c r="E1640" s="5" t="n">
        <x:v>2969.62</x:v>
      </x:c>
      <x:c r="F1640" s="6" t="str">
        <x:v>2025-12-31</x:v>
      </x:c>
      <x:c r="G1640" s="5" t="n">
        <x:v>3031.13</x:v>
      </x:c>
      <x:c r="H1640" s="7" t="n">
        <x:f>G1640/E1640-1</x:f>
        <x:v>0.020713087869828506</x:v>
      </x:c>
      <x:c r="I1640" s="1" t="n">
        <x:v>1</x:v>
      </x:c>
      <x:c r="J1640" s="1" t="n">
        <x:v>1</x:v>
      </x:c>
      <x:c r="K1640" s="1" t="str">
        <x:v>中证官方优先</x:v>
      </x:c>
    </x:row>
    <x:row r="1641" ht="25" customHeight="1">
      <x:c r="A1641" s="1" t="str">
        <x:v>sh000016</x:v>
      </x:c>
      <x:c r="B1641" s="1" t="str">
        <x:v>上证50</x:v>
      </x:c>
      <x:c r="C1641" s="1" t="str">
        <x:v>2026-01</x:v>
      </x:c>
      <x:c r="D1641" s="1" t="str">
        <x:v>2025-12-31</x:v>
      </x:c>
      <x:c r="E1641" s="5" t="n">
        <x:v>3031.13</x:v>
      </x:c>
      <x:c r="F1641" s="6" t="str">
        <x:v>2026-01-30</x:v>
      </x:c>
      <x:c r="G1641" s="5" t="n">
        <x:v>3066.5</x:v>
      </x:c>
      <x:c r="H1641" s="7" t="n">
        <x:f>G1641/E1641-1</x:f>
        <x:v>0.011668915552945469</x:v>
      </x:c>
      <x:c r="I1641" s="1" t="n">
        <x:v>1</x:v>
      </x:c>
      <x:c r="J1641" s="1" t="n">
        <x:v>1</x:v>
      </x:c>
      <x:c r="K1641" s="1" t="str">
        <x:v>中证官方优先</x:v>
      </x:c>
    </x:row>
    <x:row r="1642" ht="25" customHeight="1">
      <x:c r="A1642" s="1" t="str">
        <x:v>sh000016</x:v>
      </x:c>
      <x:c r="B1642" s="1" t="str">
        <x:v>上证50</x:v>
      </x:c>
      <x:c r="C1642" s="1" t="str">
        <x:v>2026-02</x:v>
      </x:c>
      <x:c r="D1642" s="1" t="str">
        <x:v>2026-01-30</x:v>
      </x:c>
      <x:c r="E1642" s="5" t="n">
        <x:v>3066.5</x:v>
      </x:c>
      <x:c r="F1642" s="6" t="str">
        <x:v>2026-02-27</x:v>
      </x:c>
      <x:c r="G1642" s="5" t="n">
        <x:v>3039.43</x:v>
      </x:c>
      <x:c r="H1642" s="7" t="n">
        <x:f>G1642/E1642-1</x:f>
        <x:v>-0.00882765367683036</x:v>
      </x:c>
      <x:c r="I1642" s="1" t="n">
        <x:v>1</x:v>
      </x:c>
      <x:c r="J1642" s="1" t="n">
        <x:v>1</x:v>
      </x:c>
      <x:c r="K1642" s="1" t="str">
        <x:v>中证官方优先</x:v>
      </x:c>
    </x:row>
    <x:row r="1643" ht="25" customHeight="1">
      <x:c r="A1643" s="1" t="str">
        <x:v>sh000016</x:v>
      </x:c>
      <x:c r="B1643" s="1" t="str">
        <x:v>上证50</x:v>
      </x:c>
      <x:c r="C1643" s="1" t="str">
        <x:v>2026-03</x:v>
      </x:c>
      <x:c r="D1643" s="1" t="str">
        <x:v>2026-02-27</x:v>
      </x:c>
      <x:c r="E1643" s="5" t="n">
        <x:v>3039.43</x:v>
      </x:c>
      <x:c r="F1643" s="6" t="str">
        <x:v>2026-03-31</x:v>
      </x:c>
      <x:c r="G1643" s="5" t="n">
        <x:v>2826.12</x:v>
      </x:c>
      <x:c r="H1643" s="7" t="n">
        <x:f>G1643/E1643-1</x:f>
        <x:v>-0.07018092208078486</x:v>
      </x:c>
      <x:c r="I1643" s="1" t="n">
        <x:v>1</x:v>
      </x:c>
      <x:c r="J1643" s="1" t="n">
        <x:v>1</x:v>
      </x:c>
      <x:c r="K1643" s="1" t="str">
        <x:v>中证官方优先</x:v>
      </x:c>
    </x:row>
    <x:row r="1644" ht="25" customHeight="1">
      <x:c r="A1644" s="1" t="str">
        <x:v>sh000016</x:v>
      </x:c>
      <x:c r="B1644" s="1" t="str">
        <x:v>上证50</x:v>
      </x:c>
      <x:c r="C1644" s="1" t="str">
        <x:v>2026-04</x:v>
      </x:c>
      <x:c r="D1644" s="1" t="str">
        <x:v>2026-03-31</x:v>
      </x:c>
      <x:c r="E1644" s="5" t="n">
        <x:v>2826.12</x:v>
      </x:c>
      <x:c r="F1644" s="6" t="str">
        <x:v>2026-04-30</x:v>
      </x:c>
      <x:c r="G1644" s="5" t="n">
        <x:v>2985.5</x:v>
      </x:c>
      <x:c r="H1644" s="7" t="n">
        <x:f>G1644/E1644-1</x:f>
        <x:v>0.056395340608325295</x:v>
      </x:c>
      <x:c r="I1644" s="1" t="n">
        <x:v>1</x:v>
      </x:c>
      <x:c r="J1644" s="1" t="n">
        <x:v>1</x:v>
      </x:c>
      <x:c r="K1644" s="1" t="str">
        <x:v>中证官方优先</x:v>
      </x:c>
    </x:row>
    <x:row r="1645" ht="25" customHeight="1">
      <x:c r="A1645" s="1" t="str">
        <x:v>sh000016</x:v>
      </x:c>
      <x:c r="B1645" s="1" t="str">
        <x:v>上证50</x:v>
      </x:c>
      <x:c r="C1645" s="1" t="str">
        <x:v>2026-05</x:v>
      </x:c>
      <x:c r="D1645" s="1" t="str">
        <x:v>2026-04-30</x:v>
      </x:c>
      <x:c r="E1645" s="5" t="n">
        <x:v>2985.5</x:v>
      </x:c>
      <x:c r="F1645" s="6" t="str">
        <x:v>2026-05-29</x:v>
      </x:c>
      <x:c r="G1645" s="5" t="n">
        <x:v>2921.08</x:v>
      </x:c>
      <x:c r="H1645" s="7" t="n">
        <x:f>G1645/E1645-1</x:f>
        <x:v>-0.021577625188410665</x:v>
      </x:c>
      <x:c r="I1645" s="1" t="n">
        <x:v>1</x:v>
      </x:c>
      <x:c r="J1645" s="1" t="n">
        <x:v>1</x:v>
      </x:c>
      <x:c r="K1645" s="1" t="str">
        <x:v>中证官方优先</x:v>
      </x:c>
    </x:row>
    <x:row r="1646" ht="25" customHeight="1">
      <x:c r="A1646" s="1" t="str">
        <x:v>sh000016</x:v>
      </x:c>
      <x:c r="B1646" s="1" t="str">
        <x:v>上证50</x:v>
      </x:c>
      <x:c r="C1646" s="1" t="str">
        <x:v>2026-06</x:v>
      </x:c>
      <x:c r="D1646" s="1" t="str">
        <x:v>2026-05-29</x:v>
      </x:c>
      <x:c r="E1646" s="5" t="n">
        <x:v>2921.08</x:v>
      </x:c>
      <x:c r="F1646" s="6" t="str">
        <x:v>2026-06-30</x:v>
      </x:c>
      <x:c r="G1646" s="5" t="n">
        <x:v>2989.4</x:v>
      </x:c>
      <x:c r="H1646" s="7" t="n">
        <x:f>G1646/E1646-1</x:f>
        <x:v>0.023388609692305717</x:v>
      </x:c>
      <x:c r="I1646" s="1" t="n">
        <x:v>1</x:v>
      </x:c>
      <x:c r="J1646" s="1" t="n">
        <x:v>1</x:v>
      </x:c>
      <x:c r="K1646" s="1" t="str">
        <x:v>中证官方优先</x:v>
      </x:c>
    </x:row>
    <x:row r="1647" ht="25" customHeight="1">
      <x:c r="A1647" s="1" t="str">
        <x:v>sh000016</x:v>
      </x:c>
      <x:c r="B1647" s="1" t="str">
        <x:v>上证50</x:v>
      </x:c>
      <x:c r="C1647" s="1" t="str">
        <x:v>2026-07</x:v>
      </x:c>
      <x:c r="D1647" s="1" t="str">
        <x:v>2026-06-30</x:v>
      </x:c>
      <x:c r="E1647" s="5" t="n">
        <x:v>2989.4</x:v>
      </x:c>
      <x:c r="F1647" s="6" t="str">
        <x:v>2026-07-31</x:v>
      </x:c>
      <x:c r="G1647" s="5" t="n">
        <x:v>2922.97</x:v>
      </x:c>
      <x:c r="H1647" s="7" t="n">
        <x:f>G1647/E1647-1</x:f>
        <x:v>-0.022221850538569732</x:v>
      </x:c>
      <x:c r="I1647" s="1" t="n">
        <x:v>1</x:v>
      </x:c>
      <x:c r="J1647" s="1" t="n">
        <x:v>1</x:v>
      </x:c>
      <x:c r="K1647" s="1" t="str">
        <x:v>中证官方优先</x:v>
      </x:c>
    </x:row>
    <x:row r="1648" ht="25" customHeight="1">
      <x:c r="A1648" s="1" t="str">
        <x:v>sh000016</x:v>
      </x:c>
      <x:c r="B1648" s="1" t="str">
        <x:v>上证50</x:v>
      </x:c>
      <x:c r="C1648" s="1" t="str">
        <x:v>2026-08</x:v>
      </x:c>
      <x:c r="D1648" s="1" t="str">
        <x:v>2026-07-31</x:v>
      </x:c>
      <x:c r="E1648" s="5" t="n">
        <x:v>2922.97</x:v>
      </x:c>
      <x:c r="F1648" s="6" t="str">
        <x:v>2026-08-31</x:v>
      </x:c>
      <x:c r="G1648" s="5" t="n">
        <x:v>2936.88</x:v>
      </x:c>
      <x:c r="H1648" s="7" t="n">
        <x:f>G1648/E1648-1</x:f>
        <x:v>0.004758858284553247</x:v>
      </x:c>
      <x:c r="I1648" s="1" t="n">
        <x:v>1</x:v>
      </x:c>
      <x:c r="J1648" s="1" t="n">
        <x:v>1</x:v>
      </x:c>
      <x:c r="K1648" s="1" t="str">
        <x:v>中证官方优先</x:v>
      </x:c>
    </x:row>
    <x:row r="1649" ht="25" customHeight="1">
      <x:c r="A1649" s="1" t="str">
        <x:v>sh000016</x:v>
      </x:c>
      <x:c r="B1649" s="1" t="str">
        <x:v>上证50</x:v>
      </x:c>
      <x:c r="C1649" s="1" t="str">
        <x:v>2026-09</x:v>
      </x:c>
      <x:c r="D1649" s="1" t="str">
        <x:v>2026-08-31</x:v>
      </x:c>
      <x:c r="E1649" s="5" t="n">
        <x:v>2936.88</x:v>
      </x:c>
      <x:c r="F1649" s="6" t="str">
        <x:v>2026-09-30</x:v>
      </x:c>
      <x:c r="G1649" s="5" t="n">
        <x:v>2823.28</x:v>
      </x:c>
      <x:c r="H1649" s="7" t="n">
        <x:f>G1649/E1649-1</x:f>
        <x:v>-0.03868050448094573</x:v>
      </x:c>
      <x:c r="I1649" s="1" t="n">
        <x:v>1</x:v>
      </x:c>
      <x:c r="J1649" s="1" t="n">
        <x:v>1</x:v>
      </x:c>
      <x:c r="K1649" s="1" t="str">
        <x:v>中证官方优先</x:v>
      </x:c>
    </x:row>
    <x:row r="1650" ht="25" customHeight="1">
      <x:c r="A1650" s="1" t="str">
        <x:v>sh000016</x:v>
      </x:c>
      <x:c r="B1650" s="1" t="str">
        <x:v>上证50</x:v>
      </x:c>
      <x:c r="C1650" s="1" t="str">
        <x:v>2026-10</x:v>
      </x:c>
      <x:c r="D1650" s="1" t="str">
        <x:v>2026-09-30</x:v>
      </x:c>
      <x:c r="E1650" s="5" t="n">
        <x:v>2823.28</x:v>
      </x:c>
      <x:c r="F1650" s="6" t="str">
        <x:v>2026-10-09</x:v>
      </x:c>
      <x:c r="G1650" s="5" t="n">
        <x:v>2807.46</x:v>
      </x:c>
      <x:c r="H1650" s="7" t="n">
        <x:f>G1650/E1650-1</x:f>
        <x:v>-0.005603411634694466</x:v>
      </x:c>
      <x:c r="I1650" s="1" t="n">
        <x:v>0</x:v>
      </x:c>
      <x:c r="J1650" s="1" t="n">
        <x:v>1</x:v>
      </x:c>
      <x:c r="K1650" s="1" t="str">
        <x:v>中证官方优先</x:v>
      </x:c>
    </x:row>
    <x:row r="1651" ht="25" customHeight="1">
      <x:c r="A1651" s="1" t="str">
        <x:v>sz399001</x:v>
      </x:c>
      <x:c r="B1651" s="1" t="str">
        <x:v>深证成指</x:v>
      </x:c>
      <x:c r="C1651" s="1" t="str">
        <x:v>1991-04</x:v>
      </x:c>
      <x:c r="D1651" s="1"/>
      <x:c r="E1651" s="5"/>
      <x:c r="F1651" s="6" t="str">
        <x:v>1991-04-30</x:v>
      </x:c>
      <x:c r="G1651" s="5" t="n">
        <x:v>880.98</x:v>
      </x:c>
      <x:c r="H1651" s="7" t="str">
        <x:f>"n.a."</x:f>
        <x:v>n.a.</x:v>
      </x:c>
      <x:c r="I1651" s="1" t="n">
        <x:v>1</x:v>
      </x:c>
      <x:c r="J1651" s="1" t="n">
        <x:v>0</x:v>
      </x:c>
      <x:c r="K1651" s="1" t="str">
        <x:v>搜狐/腾讯</x:v>
      </x:c>
    </x:row>
    <x:row r="1652" ht="25" customHeight="1">
      <x:c r="A1652" s="1" t="str">
        <x:v>sz399001</x:v>
      </x:c>
      <x:c r="B1652" s="1" t="str">
        <x:v>深证成指</x:v>
      </x:c>
      <x:c r="C1652" s="1" t="str">
        <x:v>1991-05</x:v>
      </x:c>
      <x:c r="D1652" s="1" t="str">
        <x:v>1991-04-30</x:v>
      </x:c>
      <x:c r="E1652" s="5" t="n">
        <x:v>880.98</x:v>
      </x:c>
      <x:c r="F1652" s="6" t="str">
        <x:v>1991-05-31</x:v>
      </x:c>
      <x:c r="G1652" s="5" t="n">
        <x:v>787.85</x:v>
      </x:c>
      <x:c r="H1652" s="7" t="n">
        <x:f>G1652/E1652-1</x:f>
        <x:v>-0.10571182092669529</x:v>
      </x:c>
      <x:c r="I1652" s="1" t="n">
        <x:v>1</x:v>
      </x:c>
      <x:c r="J1652" s="1" t="n">
        <x:v>0</x:v>
      </x:c>
      <x:c r="K1652" s="1" t="str">
        <x:v>搜狐/腾讯</x:v>
      </x:c>
    </x:row>
    <x:row r="1653" ht="25" customHeight="1">
      <x:c r="A1653" s="1" t="str">
        <x:v>sz399001</x:v>
      </x:c>
      <x:c r="B1653" s="1" t="str">
        <x:v>深证成指</x:v>
      </x:c>
      <x:c r="C1653" s="1" t="str">
        <x:v>1991-06</x:v>
      </x:c>
      <x:c r="D1653" s="1" t="str">
        <x:v>1991-05-31</x:v>
      </x:c>
      <x:c r="E1653" s="5" t="n">
        <x:v>787.85</x:v>
      </x:c>
      <x:c r="F1653" s="6" t="str">
        <x:v>1991-06-29</x:v>
      </x:c>
      <x:c r="G1653" s="5" t="n">
        <x:v>690.48</x:v>
      </x:c>
      <x:c r="H1653" s="7" t="n">
        <x:f>G1653/E1653-1</x:f>
        <x:v>-0.1235895157707686</x:v>
      </x:c>
      <x:c r="I1653" s="1" t="n">
        <x:v>1</x:v>
      </x:c>
      <x:c r="J1653" s="1" t="n">
        <x:v>0</x:v>
      </x:c>
      <x:c r="K1653" s="1" t="str">
        <x:v>搜狐/腾讯</x:v>
      </x:c>
    </x:row>
    <x:row r="1654" ht="25" customHeight="1">
      <x:c r="A1654" s="1" t="str">
        <x:v>sz399001</x:v>
      </x:c>
      <x:c r="B1654" s="1" t="str">
        <x:v>深证成指</x:v>
      </x:c>
      <x:c r="C1654" s="1" t="str">
        <x:v>1991-07</x:v>
      </x:c>
      <x:c r="D1654" s="1" t="str">
        <x:v>1991-06-29</x:v>
      </x:c>
      <x:c r="E1654" s="5" t="n">
        <x:v>690.48</x:v>
      </x:c>
      <x:c r="F1654" s="6" t="str">
        <x:v>1991-07-31</x:v>
      </x:c>
      <x:c r="G1654" s="5" t="n">
        <x:v>578.42</x:v>
      </x:c>
      <x:c r="H1654" s="7" t="n">
        <x:f>G1654/E1654-1</x:f>
        <x:v>-0.16229289769435762</x:v>
      </x:c>
      <x:c r="I1654" s="1" t="n">
        <x:v>1</x:v>
      </x:c>
      <x:c r="J1654" s="1" t="n">
        <x:v>0</x:v>
      </x:c>
      <x:c r="K1654" s="1" t="str">
        <x:v>搜狐/腾讯</x:v>
      </x:c>
    </x:row>
    <x:row r="1655" ht="25" customHeight="1">
      <x:c r="A1655" s="1" t="str">
        <x:v>sz399001</x:v>
      </x:c>
      <x:c r="B1655" s="1" t="str">
        <x:v>深证成指</x:v>
      </x:c>
      <x:c r="C1655" s="1" t="str">
        <x:v>1991-08</x:v>
      </x:c>
      <x:c r="D1655" s="1" t="str">
        <x:v>1991-07-31</x:v>
      </x:c>
      <x:c r="E1655" s="5" t="n">
        <x:v>578.42</x:v>
      </x:c>
      <x:c r="F1655" s="6" t="str">
        <x:v>1991-08-31</x:v>
      </x:c>
      <x:c r="G1655" s="5" t="n">
        <x:v>432.93</x:v>
      </x:c>
      <x:c r="H1655" s="7" t="n">
        <x:f>G1655/E1655-1</x:f>
        <x:v>-0.2515300300819473</x:v>
      </x:c>
      <x:c r="I1655" s="1" t="n">
        <x:v>1</x:v>
      </x:c>
      <x:c r="J1655" s="1" t="n">
        <x:v>0</x:v>
      </x:c>
      <x:c r="K1655" s="1" t="str">
        <x:v>搜狐/腾讯</x:v>
      </x:c>
    </x:row>
    <x:row r="1656" ht="25" customHeight="1">
      <x:c r="A1656" s="1" t="str">
        <x:v>sz399001</x:v>
      </x:c>
      <x:c r="B1656" s="1" t="str">
        <x:v>深证成指</x:v>
      </x:c>
      <x:c r="C1656" s="1" t="str">
        <x:v>1991-09</x:v>
      </x:c>
      <x:c r="D1656" s="1" t="str">
        <x:v>1991-08-31</x:v>
      </x:c>
      <x:c r="E1656" s="5" t="n">
        <x:v>432.93</x:v>
      </x:c>
      <x:c r="F1656" s="6" t="str">
        <x:v>1991-09-29</x:v>
      </x:c>
      <x:c r="G1656" s="5" t="n">
        <x:v>417.38</x:v>
      </x:c>
      <x:c r="H1656" s="7" t="n">
        <x:f>G1656/E1656-1</x:f>
        <x:v>-0.035918046797403735</x:v>
      </x:c>
      <x:c r="I1656" s="1" t="n">
        <x:v>1</x:v>
      </x:c>
      <x:c r="J1656" s="1" t="n">
        <x:v>0</x:v>
      </x:c>
      <x:c r="K1656" s="1" t="str">
        <x:v>搜狐/腾讯</x:v>
      </x:c>
    </x:row>
    <x:row r="1657" ht="25" customHeight="1">
      <x:c r="A1657" s="1" t="str">
        <x:v>sz399001</x:v>
      </x:c>
      <x:c r="B1657" s="1" t="str">
        <x:v>深证成指</x:v>
      </x:c>
      <x:c r="C1657" s="1" t="str">
        <x:v>1991-10</x:v>
      </x:c>
      <x:c r="D1657" s="1" t="str">
        <x:v>1991-09-29</x:v>
      </x:c>
      <x:c r="E1657" s="5" t="n">
        <x:v>417.38</x:v>
      </x:c>
      <x:c r="F1657" s="6" t="str">
        <x:v>1991-10-31</x:v>
      </x:c>
      <x:c r="G1657" s="5" t="n">
        <x:v>779.81</x:v>
      </x:c>
      <x:c r="H1657" s="7" t="n">
        <x:f>G1657/E1657-1</x:f>
        <x:v>0.8683453926877185</x:v>
      </x:c>
      <x:c r="I1657" s="1" t="n">
        <x:v>1</x:v>
      </x:c>
      <x:c r="J1657" s="1" t="n">
        <x:v>0</x:v>
      </x:c>
      <x:c r="K1657" s="1" t="str">
        <x:v>搜狐/腾讯</x:v>
      </x:c>
    </x:row>
    <x:row r="1658" ht="25" customHeight="1">
      <x:c r="A1658" s="1" t="str">
        <x:v>sz399001</x:v>
      </x:c>
      <x:c r="B1658" s="1" t="str">
        <x:v>深证成指</x:v>
      </x:c>
      <x:c r="C1658" s="1" t="str">
        <x:v>1991-11</x:v>
      </x:c>
      <x:c r="D1658" s="1" t="str">
        <x:v>1991-10-31</x:v>
      </x:c>
      <x:c r="E1658" s="5" t="n">
        <x:v>779.81</x:v>
      </x:c>
      <x:c r="F1658" s="6" t="str">
        <x:v>1991-11-30</x:v>
      </x:c>
      <x:c r="G1658" s="5" t="n">
        <x:v>881.49</x:v>
      </x:c>
      <x:c r="H1658" s="7" t="n">
        <x:f>G1658/E1658-1</x:f>
        <x:v>0.130390736204973</x:v>
      </x:c>
      <x:c r="I1658" s="1" t="n">
        <x:v>1</x:v>
      </x:c>
      <x:c r="J1658" s="1" t="n">
        <x:v>0</x:v>
      </x:c>
      <x:c r="K1658" s="1" t="str">
        <x:v>搜狐/腾讯</x:v>
      </x:c>
    </x:row>
    <x:row r="1659" ht="25" customHeight="1">
      <x:c r="A1659" s="1" t="str">
        <x:v>sz399001</x:v>
      </x:c>
      <x:c r="B1659" s="1" t="str">
        <x:v>深证成指</x:v>
      </x:c>
      <x:c r="C1659" s="1" t="str">
        <x:v>1991-12</x:v>
      </x:c>
      <x:c r="D1659" s="1" t="str">
        <x:v>1991-11-30</x:v>
      </x:c>
      <x:c r="E1659" s="5" t="n">
        <x:v>881.49</x:v>
      </x:c>
      <x:c r="F1659" s="6" t="str">
        <x:v>1991-12-31</x:v>
      </x:c>
      <x:c r="G1659" s="5" t="n">
        <x:v>963.57</x:v>
      </x:c>
      <x:c r="H1659" s="7" t="n">
        <x:f>G1659/E1659-1</x:f>
        <x:v>0.09311506653507129</x:v>
      </x:c>
      <x:c r="I1659" s="1" t="n">
        <x:v>1</x:v>
      </x:c>
      <x:c r="J1659" s="1" t="n">
        <x:v>0</x:v>
      </x:c>
      <x:c r="K1659" s="1" t="str">
        <x:v>搜狐/腾讯</x:v>
      </x:c>
    </x:row>
    <x:row r="1660" ht="25" customHeight="1">
      <x:c r="A1660" s="1" t="str">
        <x:v>sz399001</x:v>
      </x:c>
      <x:c r="B1660" s="1" t="str">
        <x:v>深证成指</x:v>
      </x:c>
      <x:c r="C1660" s="1" t="str">
        <x:v>1992-01</x:v>
      </x:c>
      <x:c r="D1660" s="1" t="str">
        <x:v>1991-12-31</x:v>
      </x:c>
      <x:c r="E1660" s="5" t="n">
        <x:v>963.57</x:v>
      </x:c>
      <x:c r="F1660" s="6" t="str">
        <x:v>1992-01-31</x:v>
      </x:c>
      <x:c r="G1660" s="5" t="n">
        <x:v>1004.75</x:v>
      </x:c>
      <x:c r="H1660" s="7" t="n">
        <x:f>G1660/E1660-1</x:f>
        <x:v>0.04273690546613107</x:v>
      </x:c>
      <x:c r="I1660" s="1" t="n">
        <x:v>1</x:v>
      </x:c>
      <x:c r="J1660" s="1" t="n">
        <x:v>0</x:v>
      </x:c>
      <x:c r="K1660" s="1" t="str">
        <x:v>搜狐/腾讯</x:v>
      </x:c>
    </x:row>
    <x:row r="1661" ht="25" customHeight="1">
      <x:c r="A1661" s="1" t="str">
        <x:v>sz399001</x:v>
      </x:c>
      <x:c r="B1661" s="1" t="str">
        <x:v>深证成指</x:v>
      </x:c>
      <x:c r="C1661" s="1" t="str">
        <x:v>1992-02</x:v>
      </x:c>
      <x:c r="D1661" s="1" t="str">
        <x:v>1992-01-31</x:v>
      </x:c>
      <x:c r="E1661" s="5" t="n">
        <x:v>1004.75</x:v>
      </x:c>
      <x:c r="F1661" s="6" t="str">
        <x:v>1992-02-28</x:v>
      </x:c>
      <x:c r="G1661" s="5" t="n">
        <x:v>994.14</x:v>
      </x:c>
      <x:c r="H1661" s="7" t="n">
        <x:f>G1661/E1661-1</x:f>
        <x:v>-0.010559840756407035</x:v>
      </x:c>
      <x:c r="I1661" s="1" t="n">
        <x:v>1</x:v>
      </x:c>
      <x:c r="J1661" s="1" t="n">
        <x:v>0</x:v>
      </x:c>
      <x:c r="K1661" s="1" t="str">
        <x:v>搜狐/腾讯</x:v>
      </x:c>
    </x:row>
    <x:row r="1662" ht="25" customHeight="1">
      <x:c r="A1662" s="1" t="str">
        <x:v>sz399001</x:v>
      </x:c>
      <x:c r="B1662" s="1" t="str">
        <x:v>深证成指</x:v>
      </x:c>
      <x:c r="C1662" s="1" t="str">
        <x:v>1992-03</x:v>
      </x:c>
      <x:c r="D1662" s="1" t="str">
        <x:v>1992-02-28</x:v>
      </x:c>
      <x:c r="E1662" s="5" t="n">
        <x:v>994.14</x:v>
      </x:c>
      <x:c r="F1662" s="6" t="str">
        <x:v>1992-03-31</x:v>
      </x:c>
      <x:c r="G1662" s="5" t="n">
        <x:v>1263.9</x:v>
      </x:c>
      <x:c r="H1662" s="7" t="n">
        <x:f>G1662/E1662-1</x:f>
        <x:v>0.27135011165429423</x:v>
      </x:c>
      <x:c r="I1662" s="1" t="n">
        <x:v>1</x:v>
      </x:c>
      <x:c r="J1662" s="1" t="n">
        <x:v>0</x:v>
      </x:c>
      <x:c r="K1662" s="1" t="str">
        <x:v>搜狐/腾讯</x:v>
      </x:c>
    </x:row>
    <x:row r="1663" ht="25" customHeight="1">
      <x:c r="A1663" s="1" t="str">
        <x:v>sz399001</x:v>
      </x:c>
      <x:c r="B1663" s="1" t="str">
        <x:v>深证成指</x:v>
      </x:c>
      <x:c r="C1663" s="1" t="str">
        <x:v>1992-04</x:v>
      </x:c>
      <x:c r="D1663" s="1" t="str">
        <x:v>1992-03-31</x:v>
      </x:c>
      <x:c r="E1663" s="5" t="n">
        <x:v>1263.9</x:v>
      </x:c>
      <x:c r="F1663" s="6" t="str">
        <x:v>1992-04-30</x:v>
      </x:c>
      <x:c r="G1663" s="5" t="n">
        <x:v>1997.04</x:v>
      </x:c>
      <x:c r="H1663" s="7" t="n">
        <x:f>G1663/E1663-1</x:f>
        <x:v>0.5800617137431758</x:v>
      </x:c>
      <x:c r="I1663" s="1" t="n">
        <x:v>1</x:v>
      </x:c>
      <x:c r="J1663" s="1" t="n">
        <x:v>0</x:v>
      </x:c>
      <x:c r="K1663" s="1" t="str">
        <x:v>搜狐/腾讯</x:v>
      </x:c>
    </x:row>
    <x:row r="1664" ht="25" customHeight="1">
      <x:c r="A1664" s="1" t="str">
        <x:v>sz399001</x:v>
      </x:c>
      <x:c r="B1664" s="1" t="str">
        <x:v>深证成指</x:v>
      </x:c>
      <x:c r="C1664" s="1" t="str">
        <x:v>1992-05</x:v>
      </x:c>
      <x:c r="D1664" s="1" t="str">
        <x:v>1992-04-30</x:v>
      </x:c>
      <x:c r="E1664" s="5" t="n">
        <x:v>1997.04</x:v>
      </x:c>
      <x:c r="F1664" s="6" t="str">
        <x:v>1992-05-29</x:v>
      </x:c>
      <x:c r="G1664" s="5" t="n">
        <x:v>2766.85</x:v>
      </x:c>
      <x:c r="H1664" s="7" t="n">
        <x:f>G1664/E1664-1</x:f>
        <x:v>0.3854755037455433</x:v>
      </x:c>
      <x:c r="I1664" s="1" t="n">
        <x:v>1</x:v>
      </x:c>
      <x:c r="J1664" s="1" t="n">
        <x:v>0</x:v>
      </x:c>
      <x:c r="K1664" s="1" t="str">
        <x:v>搜狐/腾讯</x:v>
      </x:c>
    </x:row>
    <x:row r="1665" ht="25" customHeight="1">
      <x:c r="A1665" s="1" t="str">
        <x:v>sz399001</x:v>
      </x:c>
      <x:c r="B1665" s="1" t="str">
        <x:v>深证成指</x:v>
      </x:c>
      <x:c r="C1665" s="1" t="str">
        <x:v>1992-06</x:v>
      </x:c>
      <x:c r="D1665" s="1" t="str">
        <x:v>1992-05-29</x:v>
      </x:c>
      <x:c r="E1665" s="5" t="n">
        <x:v>2766.85</x:v>
      </x:c>
      <x:c r="F1665" s="6" t="str">
        <x:v>1992-06-30</x:v>
      </x:c>
      <x:c r="G1665" s="5" t="n">
        <x:v>2631.82</x:v>
      </x:c>
      <x:c r="H1665" s="7" t="n">
        <x:f>G1665/E1665-1</x:f>
        <x:v>-0.04880279017655442</x:v>
      </x:c>
      <x:c r="I1665" s="1" t="n">
        <x:v>1</x:v>
      </x:c>
      <x:c r="J1665" s="1" t="n">
        <x:v>0</x:v>
      </x:c>
      <x:c r="K1665" s="1" t="str">
        <x:v>搜狐/腾讯</x:v>
      </x:c>
    </x:row>
    <x:row r="1666" ht="25" customHeight="1">
      <x:c r="A1666" s="1" t="str">
        <x:v>sz399001</x:v>
      </x:c>
      <x:c r="B1666" s="1" t="str">
        <x:v>深证成指</x:v>
      </x:c>
      <x:c r="C1666" s="1" t="str">
        <x:v>1992-07</x:v>
      </x:c>
      <x:c r="D1666" s="1" t="str">
        <x:v>1992-06-30</x:v>
      </x:c>
      <x:c r="E1666" s="5" t="n">
        <x:v>2631.82</x:v>
      </x:c>
      <x:c r="F1666" s="6" t="str">
        <x:v>1992-07-31</x:v>
      </x:c>
      <x:c r="G1666" s="5" t="n">
        <x:v>2821.77</x:v>
      </x:c>
      <x:c r="H1666" s="7" t="n">
        <x:f>G1666/E1666-1</x:f>
        <x:v>0.07217438882598337</x:v>
      </x:c>
      <x:c r="I1666" s="1" t="n">
        <x:v>1</x:v>
      </x:c>
      <x:c r="J1666" s="1" t="n">
        <x:v>0</x:v>
      </x:c>
      <x:c r="K1666" s="1" t="str">
        <x:v>搜狐/腾讯</x:v>
      </x:c>
    </x:row>
    <x:row r="1667" ht="25" customHeight="1">
      <x:c r="A1667" s="1" t="str">
        <x:v>sz399001</x:v>
      </x:c>
      <x:c r="B1667" s="1" t="str">
        <x:v>深证成指</x:v>
      </x:c>
      <x:c r="C1667" s="1" t="str">
        <x:v>1992-08</x:v>
      </x:c>
      <x:c r="D1667" s="1" t="str">
        <x:v>1992-07-31</x:v>
      </x:c>
      <x:c r="E1667" s="5" t="n">
        <x:v>2821.77</x:v>
      </x:c>
      <x:c r="F1667" s="6" t="str">
        <x:v>1992-08-31</x:v>
      </x:c>
      <x:c r="G1667" s="5" t="n">
        <x:v>2565.51</x:v>
      </x:c>
      <x:c r="H1667" s="7" t="n">
        <x:f>G1667/E1667-1</x:f>
        <x:v>-0.09081533930830643</x:v>
      </x:c>
      <x:c r="I1667" s="1" t="n">
        <x:v>1</x:v>
      </x:c>
      <x:c r="J1667" s="1" t="n">
        <x:v>0</x:v>
      </x:c>
      <x:c r="K1667" s="1" t="str">
        <x:v>搜狐/腾讯</x:v>
      </x:c>
    </x:row>
    <x:row r="1668" ht="25" customHeight="1">
      <x:c r="A1668" s="1" t="str">
        <x:v>sz399001</x:v>
      </x:c>
      <x:c r="B1668" s="1" t="str">
        <x:v>深证成指</x:v>
      </x:c>
      <x:c r="C1668" s="1" t="str">
        <x:v>1992-09</x:v>
      </x:c>
      <x:c r="D1668" s="1" t="str">
        <x:v>1992-08-31</x:v>
      </x:c>
      <x:c r="E1668" s="5" t="n">
        <x:v>2565.51</x:v>
      </x:c>
      <x:c r="F1668" s="6" t="str">
        <x:v>1992-09-30</x:v>
      </x:c>
      <x:c r="G1668" s="5" t="n">
        <x:v>2548.46</x:v>
      </x:c>
      <x:c r="H1668" s="7" t="n">
        <x:f>G1668/E1668-1</x:f>
        <x:v>-0.006645852091786919</x:v>
      </x:c>
      <x:c r="I1668" s="1" t="n">
        <x:v>1</x:v>
      </x:c>
      <x:c r="J1668" s="1" t="n">
        <x:v>0</x:v>
      </x:c>
      <x:c r="K1668" s="1" t="str">
        <x:v>搜狐/腾讯</x:v>
      </x:c>
    </x:row>
    <x:row r="1669" ht="25" customHeight="1">
      <x:c r="A1669" s="1" t="str">
        <x:v>sz399001</x:v>
      </x:c>
      <x:c r="B1669" s="1" t="str">
        <x:v>深证成指</x:v>
      </x:c>
      <x:c r="C1669" s="1" t="str">
        <x:v>1992-10</x:v>
      </x:c>
      <x:c r="D1669" s="1" t="str">
        <x:v>1992-09-30</x:v>
      </x:c>
      <x:c r="E1669" s="5" t="n">
        <x:v>2548.46</x:v>
      </x:c>
      <x:c r="F1669" s="6" t="str">
        <x:v>1992-10-30</x:v>
      </x:c>
      <x:c r="G1669" s="5" t="n">
        <x:v>2196.02</x:v>
      </x:c>
      <x:c r="H1669" s="7" t="n">
        <x:f>G1669/E1669-1</x:f>
        <x:v>-0.1382952842108568</x:v>
      </x:c>
      <x:c r="I1669" s="1" t="n">
        <x:v>1</x:v>
      </x:c>
      <x:c r="J1669" s="1" t="n">
        <x:v>0</x:v>
      </x:c>
      <x:c r="K1669" s="1" t="str">
        <x:v>搜狐/腾讯</x:v>
      </x:c>
    </x:row>
    <x:row r="1670" ht="25" customHeight="1">
      <x:c r="A1670" s="1" t="str">
        <x:v>sz399001</x:v>
      </x:c>
      <x:c r="B1670" s="1" t="str">
        <x:v>深证成指</x:v>
      </x:c>
      <x:c r="C1670" s="1" t="str">
        <x:v>1992-11</x:v>
      </x:c>
      <x:c r="D1670" s="1" t="str">
        <x:v>1992-10-30</x:v>
      </x:c>
      <x:c r="E1670" s="5" t="n">
        <x:v>2196.02</x:v>
      </x:c>
      <x:c r="F1670" s="6" t="str">
        <x:v>1992-11-30</x:v>
      </x:c>
      <x:c r="G1670" s="5" t="n">
        <x:v>2072.18</x:v>
      </x:c>
      <x:c r="H1670" s="7" t="n">
        <x:f>G1670/E1670-1</x:f>
        <x:v>-0.05639292902614734</x:v>
      </x:c>
      <x:c r="I1670" s="1" t="n">
        <x:v>1</x:v>
      </x:c>
      <x:c r="J1670" s="1" t="n">
        <x:v>0</x:v>
      </x:c>
      <x:c r="K1670" s="1" t="str">
        <x:v>搜狐/腾讯</x:v>
      </x:c>
    </x:row>
    <x:row r="1671" ht="25" customHeight="1">
      <x:c r="A1671" s="1" t="str">
        <x:v>sz399001</x:v>
      </x:c>
      <x:c r="B1671" s="1" t="str">
        <x:v>深证成指</x:v>
      </x:c>
      <x:c r="C1671" s="1" t="str">
        <x:v>1992-12</x:v>
      </x:c>
      <x:c r="D1671" s="1" t="str">
        <x:v>1992-11-30</x:v>
      </x:c>
      <x:c r="E1671" s="5" t="n">
        <x:v>2072.18</x:v>
      </x:c>
      <x:c r="F1671" s="6" t="str">
        <x:v>1992-12-31</x:v>
      </x:c>
      <x:c r="G1671" s="5" t="n">
        <x:v>2309.77</x:v>
      </x:c>
      <x:c r="H1671" s="7" t="n">
        <x:f>G1671/E1671-1</x:f>
        <x:v>0.11465702786437482</x:v>
      </x:c>
      <x:c r="I1671" s="1" t="n">
        <x:v>1</x:v>
      </x:c>
      <x:c r="J1671" s="1" t="n">
        <x:v>0</x:v>
      </x:c>
      <x:c r="K1671" s="1" t="str">
        <x:v>搜狐/腾讯</x:v>
      </x:c>
    </x:row>
    <x:row r="1672" ht="25" customHeight="1">
      <x:c r="A1672" s="1" t="str">
        <x:v>sz399001</x:v>
      </x:c>
      <x:c r="B1672" s="1" t="str">
        <x:v>深证成指</x:v>
      </x:c>
      <x:c r="C1672" s="1" t="str">
        <x:v>1993-01</x:v>
      </x:c>
      <x:c r="D1672" s="1" t="str">
        <x:v>1992-12-31</x:v>
      </x:c>
      <x:c r="E1672" s="5" t="n">
        <x:v>2309.77</x:v>
      </x:c>
      <x:c r="F1672" s="6" t="str">
        <x:v>1993-01-19</x:v>
      </x:c>
      <x:c r="G1672" s="5" t="n">
        <x:v>2611.21</x:v>
      </x:c>
      <x:c r="H1672" s="7" t="n">
        <x:f>G1672/E1672-1</x:f>
        <x:v>0.13050650064725056</x:v>
      </x:c>
      <x:c r="I1672" s="1" t="n">
        <x:v>1</x:v>
      </x:c>
      <x:c r="J1672" s="1" t="n">
        <x:v>0</x:v>
      </x:c>
      <x:c r="K1672" s="1" t="str">
        <x:v>搜狐/腾讯</x:v>
      </x:c>
    </x:row>
    <x:row r="1673" ht="25" customHeight="1">
      <x:c r="A1673" s="1" t="str">
        <x:v>sz399001</x:v>
      </x:c>
      <x:c r="B1673" s="1" t="str">
        <x:v>深证成指</x:v>
      </x:c>
      <x:c r="C1673" s="1" t="str">
        <x:v>1993-02</x:v>
      </x:c>
      <x:c r="D1673" s="1" t="str">
        <x:v>1993-01-19</x:v>
      </x:c>
      <x:c r="E1673" s="5" t="n">
        <x:v>2611.21</x:v>
      </x:c>
      <x:c r="F1673" s="6" t="str">
        <x:v>1993-02-26</x:v>
      </x:c>
      <x:c r="G1673" s="5" t="n">
        <x:v>3185.6</x:v>
      </x:c>
      <x:c r="H1673" s="7" t="n">
        <x:f>G1673/E1673-1</x:f>
        <x:v>0.21997081812646235</x:v>
      </x:c>
      <x:c r="I1673" s="1" t="n">
        <x:v>1</x:v>
      </x:c>
      <x:c r="J1673" s="1" t="n">
        <x:v>0</x:v>
      </x:c>
      <x:c r="K1673" s="1" t="str">
        <x:v>搜狐/腾讯</x:v>
      </x:c>
    </x:row>
    <x:row r="1674" ht="25" customHeight="1">
      <x:c r="A1674" s="1" t="str">
        <x:v>sz399001</x:v>
      </x:c>
      <x:c r="B1674" s="1" t="str">
        <x:v>深证成指</x:v>
      </x:c>
      <x:c r="C1674" s="1" t="str">
        <x:v>1993-03</x:v>
      </x:c>
      <x:c r="D1674" s="1" t="str">
        <x:v>1993-02-26</x:v>
      </x:c>
      <x:c r="E1674" s="5" t="n">
        <x:v>3185.6</x:v>
      </x:c>
      <x:c r="F1674" s="6" t="str">
        <x:v>1993-03-31</x:v>
      </x:c>
      <x:c r="G1674" s="5" t="n">
        <x:v>2908.97</x:v>
      </x:c>
      <x:c r="H1674" s="7" t="n">
        <x:f>G1674/E1674-1</x:f>
        <x:v>-0.08683764439979913</x:v>
      </x:c>
      <x:c r="I1674" s="1" t="n">
        <x:v>1</x:v>
      </x:c>
      <x:c r="J1674" s="1" t="n">
        <x:v>0</x:v>
      </x:c>
      <x:c r="K1674" s="1" t="str">
        <x:v>搜狐/腾讯</x:v>
      </x:c>
    </x:row>
    <x:row r="1675" ht="25" customHeight="1">
      <x:c r="A1675" s="1" t="str">
        <x:v>sz399001</x:v>
      </x:c>
      <x:c r="B1675" s="1" t="str">
        <x:v>深证成指</x:v>
      </x:c>
      <x:c r="C1675" s="1" t="str">
        <x:v>1993-04</x:v>
      </x:c>
      <x:c r="D1675" s="1" t="str">
        <x:v>1993-03-31</x:v>
      </x:c>
      <x:c r="E1675" s="5" t="n">
        <x:v>2908.97</x:v>
      </x:c>
      <x:c r="F1675" s="6" t="str">
        <x:v>1993-04-30</x:v>
      </x:c>
      <x:c r="G1675" s="5" t="n">
        <x:v>2894.67</x:v>
      </x:c>
      <x:c r="H1675" s="7" t="n">
        <x:f>G1675/E1675-1</x:f>
        <x:v>-0.004915829314155795</x:v>
      </x:c>
      <x:c r="I1675" s="1" t="n">
        <x:v>1</x:v>
      </x:c>
      <x:c r="J1675" s="1" t="n">
        <x:v>0</x:v>
      </x:c>
      <x:c r="K1675" s="1" t="str">
        <x:v>搜狐/腾讯</x:v>
      </x:c>
    </x:row>
    <x:row r="1676" ht="25" customHeight="1">
      <x:c r="A1676" s="1" t="str">
        <x:v>sz399001</x:v>
      </x:c>
      <x:c r="B1676" s="1" t="str">
        <x:v>深证成指</x:v>
      </x:c>
      <x:c r="C1676" s="1" t="str">
        <x:v>1993-05</x:v>
      </x:c>
      <x:c r="D1676" s="1" t="str">
        <x:v>1993-04-30</x:v>
      </x:c>
      <x:c r="E1676" s="5" t="n">
        <x:v>2894.67</x:v>
      </x:c>
      <x:c r="F1676" s="6" t="str">
        <x:v>1993-05-31</x:v>
      </x:c>
      <x:c r="G1676" s="5" t="n">
        <x:v>2510.31</x:v>
      </x:c>
      <x:c r="H1676" s="7" t="n">
        <x:f>G1676/E1676-1</x:f>
        <x:v>-0.13278197514742618</x:v>
      </x:c>
      <x:c r="I1676" s="1" t="n">
        <x:v>1</x:v>
      </x:c>
      <x:c r="J1676" s="1" t="n">
        <x:v>0</x:v>
      </x:c>
      <x:c r="K1676" s="1" t="str">
        <x:v>搜狐/腾讯</x:v>
      </x:c>
    </x:row>
    <x:row r="1677" ht="25" customHeight="1">
      <x:c r="A1677" s="1" t="str">
        <x:v>sz399001</x:v>
      </x:c>
      <x:c r="B1677" s="1" t="str">
        <x:v>深证成指</x:v>
      </x:c>
      <x:c r="C1677" s="1" t="str">
        <x:v>1993-06</x:v>
      </x:c>
      <x:c r="D1677" s="1" t="str">
        <x:v>1993-05-31</x:v>
      </x:c>
      <x:c r="E1677" s="5" t="n">
        <x:v>2510.31</x:v>
      </x:c>
      <x:c r="F1677" s="6" t="str">
        <x:v>1993-06-30</x:v>
      </x:c>
      <x:c r="G1677" s="5" t="n">
        <x:v>2338.18</x:v>
      </x:c>
      <x:c r="H1677" s="7" t="n">
        <x:f>G1677/E1677-1</x:f>
        <x:v>-0.06856922053451575</x:v>
      </x:c>
      <x:c r="I1677" s="1" t="n">
        <x:v>1</x:v>
      </x:c>
      <x:c r="J1677" s="1" t="n">
        <x:v>0</x:v>
      </x:c>
      <x:c r="K1677" s="1" t="str">
        <x:v>搜狐/腾讯</x:v>
      </x:c>
    </x:row>
    <x:row r="1678" ht="25" customHeight="1">
      <x:c r="A1678" s="1" t="str">
        <x:v>sz399001</x:v>
      </x:c>
      <x:c r="B1678" s="1" t="str">
        <x:v>深证成指</x:v>
      </x:c>
      <x:c r="C1678" s="1" t="str">
        <x:v>1993-07</x:v>
      </x:c>
      <x:c r="D1678" s="1" t="str">
        <x:v>1993-06-30</x:v>
      </x:c>
      <x:c r="E1678" s="5" t="n">
        <x:v>2338.18</x:v>
      </x:c>
      <x:c r="F1678" s="6" t="str">
        <x:v>1993-07-30</x:v>
      </x:c>
      <x:c r="G1678" s="5" t="n">
        <x:v>2089.02</x:v>
      </x:c>
      <x:c r="H1678" s="7" t="n">
        <x:f>G1678/E1678-1</x:f>
        <x:v>-0.10656151365592037</x:v>
      </x:c>
      <x:c r="I1678" s="1" t="n">
        <x:v>1</x:v>
      </x:c>
      <x:c r="J1678" s="1" t="n">
        <x:v>0</x:v>
      </x:c>
      <x:c r="K1678" s="1" t="str">
        <x:v>搜狐/腾讯</x:v>
      </x:c>
    </x:row>
    <x:row r="1679" ht="25" customHeight="1">
      <x:c r="A1679" s="1" t="str">
        <x:v>sz399001</x:v>
      </x:c>
      <x:c r="B1679" s="1" t="str">
        <x:v>深证成指</x:v>
      </x:c>
      <x:c r="C1679" s="1" t="str">
        <x:v>1993-08</x:v>
      </x:c>
      <x:c r="D1679" s="1" t="str">
        <x:v>1993-07-30</x:v>
      </x:c>
      <x:c r="E1679" s="5" t="n">
        <x:v>2089.02</x:v>
      </x:c>
      <x:c r="F1679" s="6" t="str">
        <x:v>1993-08-31</x:v>
      </x:c>
      <x:c r="G1679" s="5" t="n">
        <x:v>2330.29</x:v>
      </x:c>
      <x:c r="H1679" s="7" t="n">
        <x:f>G1679/E1679-1</x:f>
        <x:v>0.11549434663143487</x:v>
      </x:c>
      <x:c r="I1679" s="1" t="n">
        <x:v>1</x:v>
      </x:c>
      <x:c r="J1679" s="1" t="n">
        <x:v>0</x:v>
      </x:c>
      <x:c r="K1679" s="1" t="str">
        <x:v>搜狐/腾讯</x:v>
      </x:c>
    </x:row>
    <x:row r="1680" ht="25" customHeight="1">
      <x:c r="A1680" s="1" t="str">
        <x:v>sz399001</x:v>
      </x:c>
      <x:c r="B1680" s="1" t="str">
        <x:v>深证成指</x:v>
      </x:c>
      <x:c r="C1680" s="1" t="str">
        <x:v>1993-09</x:v>
      </x:c>
      <x:c r="D1680" s="1" t="str">
        <x:v>1993-08-31</x:v>
      </x:c>
      <x:c r="E1680" s="5" t="n">
        <x:v>2330.29</x:v>
      </x:c>
      <x:c r="F1680" s="6" t="str">
        <x:v>1993-09-30</x:v>
      </x:c>
      <x:c r="G1680" s="5" t="n">
        <x:v>2226.59</x:v>
      </x:c>
      <x:c r="H1680" s="7" t="n">
        <x:f>G1680/E1680-1</x:f>
        <x:v>-0.04450089902973442</x:v>
      </x:c>
      <x:c r="I1680" s="1" t="n">
        <x:v>1</x:v>
      </x:c>
      <x:c r="J1680" s="1" t="n">
        <x:v>0</x:v>
      </x:c>
      <x:c r="K1680" s="1" t="str">
        <x:v>搜狐/腾讯</x:v>
      </x:c>
    </x:row>
    <x:row r="1681" ht="25" customHeight="1">
      <x:c r="A1681" s="1" t="str">
        <x:v>sz399001</x:v>
      </x:c>
      <x:c r="B1681" s="1" t="str">
        <x:v>深证成指</x:v>
      </x:c>
      <x:c r="C1681" s="1" t="str">
        <x:v>1993-10</x:v>
      </x:c>
      <x:c r="D1681" s="1" t="str">
        <x:v>1993-09-30</x:v>
      </x:c>
      <x:c r="E1681" s="5" t="n">
        <x:v>2226.59</x:v>
      </x:c>
      <x:c r="F1681" s="6" t="str">
        <x:v>1993-10-29</x:v>
      </x:c>
      <x:c r="G1681" s="5" t="n">
        <x:v>2121.61</x:v>
      </x:c>
      <x:c r="H1681" s="7" t="n">
        <x:f>G1681/E1681-1</x:f>
        <x:v>-0.04714832995746865</x:v>
      </x:c>
      <x:c r="I1681" s="1" t="n">
        <x:v>1</x:v>
      </x:c>
      <x:c r="J1681" s="1" t="n">
        <x:v>0</x:v>
      </x:c>
      <x:c r="K1681" s="1" t="str">
        <x:v>搜狐/腾讯</x:v>
      </x:c>
    </x:row>
    <x:row r="1682" ht="25" customHeight="1">
      <x:c r="A1682" s="1" t="str">
        <x:v>sz399001</x:v>
      </x:c>
      <x:c r="B1682" s="1" t="str">
        <x:v>深证成指</x:v>
      </x:c>
      <x:c r="C1682" s="1" t="str">
        <x:v>1993-11</x:v>
      </x:c>
      <x:c r="D1682" s="1" t="str">
        <x:v>1993-10-29</x:v>
      </x:c>
      <x:c r="E1682" s="5" t="n">
        <x:v>2121.61</x:v>
      </x:c>
      <x:c r="F1682" s="6" t="str">
        <x:v>1993-11-30</x:v>
      </x:c>
      <x:c r="G1682" s="5" t="n">
        <x:v>2288.87</x:v>
      </x:c>
      <x:c r="H1682" s="7" t="n">
        <x:f>G1682/E1682-1</x:f>
        <x:v>0.0788363554093352</x:v>
      </x:c>
      <x:c r="I1682" s="1" t="n">
        <x:v>1</x:v>
      </x:c>
      <x:c r="J1682" s="1" t="n">
        <x:v>0</x:v>
      </x:c>
      <x:c r="K1682" s="1" t="str">
        <x:v>搜狐/腾讯</x:v>
      </x:c>
    </x:row>
    <x:row r="1683" ht="25" customHeight="1">
      <x:c r="A1683" s="1" t="str">
        <x:v>sz399001</x:v>
      </x:c>
      <x:c r="B1683" s="1" t="str">
        <x:v>深证成指</x:v>
      </x:c>
      <x:c r="C1683" s="1" t="str">
        <x:v>1993-12</x:v>
      </x:c>
      <x:c r="D1683" s="1" t="str">
        <x:v>1993-11-30</x:v>
      </x:c>
      <x:c r="E1683" s="5" t="n">
        <x:v>2288.87</x:v>
      </x:c>
      <x:c r="F1683" s="6" t="str">
        <x:v>1993-12-31</x:v>
      </x:c>
      <x:c r="G1683" s="5" t="n">
        <x:v>2225.38</x:v>
      </x:c>
      <x:c r="H1683" s="7" t="n">
        <x:f>G1683/E1683-1</x:f>
        <x:v>-0.027738578425161697</x:v>
      </x:c>
      <x:c r="I1683" s="1" t="n">
        <x:v>1</x:v>
      </x:c>
      <x:c r="J1683" s="1" t="n">
        <x:v>0</x:v>
      </x:c>
      <x:c r="K1683" s="1" t="str">
        <x:v>搜狐/腾讯</x:v>
      </x:c>
    </x:row>
    <x:row r="1684" ht="25" customHeight="1">
      <x:c r="A1684" s="1" t="str">
        <x:v>sz399001</x:v>
      </x:c>
      <x:c r="B1684" s="1" t="str">
        <x:v>深证成指</x:v>
      </x:c>
      <x:c r="C1684" s="1" t="str">
        <x:v>1994-01</x:v>
      </x:c>
      <x:c r="D1684" s="1" t="str">
        <x:v>1993-12-31</x:v>
      </x:c>
      <x:c r="E1684" s="5" t="n">
        <x:v>2225.38</x:v>
      </x:c>
      <x:c r="F1684" s="6" t="str">
        <x:v>1994-01-31</x:v>
      </x:c>
      <x:c r="G1684" s="5" t="n">
        <x:v>1843.89</x:v>
      </x:c>
      <x:c r="H1684" s="7" t="n">
        <x:f>G1684/E1684-1</x:f>
        <x:v>-0.17142690237172975</x:v>
      </x:c>
      <x:c r="I1684" s="1" t="n">
        <x:v>1</x:v>
      </x:c>
      <x:c r="J1684" s="1" t="n">
        <x:v>0</x:v>
      </x:c>
      <x:c r="K1684" s="1" t="str">
        <x:v>搜狐/腾讯</x:v>
      </x:c>
    </x:row>
    <x:row r="1685" ht="25" customHeight="1">
      <x:c r="A1685" s="1" t="str">
        <x:v>sz399001</x:v>
      </x:c>
      <x:c r="B1685" s="1" t="str">
        <x:v>深证成指</x:v>
      </x:c>
      <x:c r="C1685" s="1" t="str">
        <x:v>1994-02</x:v>
      </x:c>
      <x:c r="D1685" s="1" t="str">
        <x:v>1994-01-31</x:v>
      </x:c>
      <x:c r="E1685" s="5" t="n">
        <x:v>1843.89</x:v>
      </x:c>
      <x:c r="F1685" s="6" t="str">
        <x:v>1994-02-28</x:v>
      </x:c>
      <x:c r="G1685" s="5" t="n">
        <x:v>1875.57</x:v>
      </x:c>
      <x:c r="H1685" s="7" t="n">
        <x:f>G1685/E1685-1</x:f>
        <x:v>0.017181068284984446</x:v>
      </x:c>
      <x:c r="I1685" s="1" t="n">
        <x:v>1</x:v>
      </x:c>
      <x:c r="J1685" s="1" t="n">
        <x:v>0</x:v>
      </x:c>
      <x:c r="K1685" s="1" t="str">
        <x:v>搜狐/腾讯</x:v>
      </x:c>
    </x:row>
    <x:row r="1686" ht="25" customHeight="1">
      <x:c r="A1686" s="1" t="str">
        <x:v>sz399001</x:v>
      </x:c>
      <x:c r="B1686" s="1" t="str">
        <x:v>深证成指</x:v>
      </x:c>
      <x:c r="C1686" s="1" t="str">
        <x:v>1994-03</x:v>
      </x:c>
      <x:c r="D1686" s="1" t="str">
        <x:v>1994-02-28</x:v>
      </x:c>
      <x:c r="E1686" s="5" t="n">
        <x:v>1875.57</x:v>
      </x:c>
      <x:c r="F1686" s="6" t="str">
        <x:v>1994-03-31</x:v>
      </x:c>
      <x:c r="G1686" s="5" t="n">
        <x:v>1560.59</x:v>
      </x:c>
      <x:c r="H1686" s="7" t="n">
        <x:f>G1686/E1686-1</x:f>
        <x:v>-0.16793828009618406</x:v>
      </x:c>
      <x:c r="I1686" s="1" t="n">
        <x:v>1</x:v>
      </x:c>
      <x:c r="J1686" s="1" t="n">
        <x:v>0</x:v>
      </x:c>
      <x:c r="K1686" s="1" t="str">
        <x:v>搜狐/腾讯</x:v>
      </x:c>
    </x:row>
    <x:row r="1687" ht="25" customHeight="1">
      <x:c r="A1687" s="1" t="str">
        <x:v>sz399001</x:v>
      </x:c>
      <x:c r="B1687" s="1" t="str">
        <x:v>深证成指</x:v>
      </x:c>
      <x:c r="C1687" s="1" t="str">
        <x:v>1994-04</x:v>
      </x:c>
      <x:c r="D1687" s="1" t="str">
        <x:v>1994-03-31</x:v>
      </x:c>
      <x:c r="E1687" s="5" t="n">
        <x:v>1560.59</x:v>
      </x:c>
      <x:c r="F1687" s="6" t="str">
        <x:v>1994-04-29</x:v>
      </x:c>
      <x:c r="G1687" s="5" t="n">
        <x:v>1356.61</x:v>
      </x:c>
      <x:c r="H1687" s="7" t="n">
        <x:f>G1687/E1687-1</x:f>
        <x:v>-0.13070697620771632</x:v>
      </x:c>
      <x:c r="I1687" s="1" t="n">
        <x:v>1</x:v>
      </x:c>
      <x:c r="J1687" s="1" t="n">
        <x:v>0</x:v>
      </x:c>
      <x:c r="K1687" s="1" t="str">
        <x:v>搜狐/腾讯</x:v>
      </x:c>
    </x:row>
    <x:row r="1688" ht="25" customHeight="1">
      <x:c r="A1688" s="1" t="str">
        <x:v>sz399001</x:v>
      </x:c>
      <x:c r="B1688" s="1" t="str">
        <x:v>深证成指</x:v>
      </x:c>
      <x:c r="C1688" s="1" t="str">
        <x:v>1994-05</x:v>
      </x:c>
      <x:c r="D1688" s="1" t="str">
        <x:v>1994-04-29</x:v>
      </x:c>
      <x:c r="E1688" s="5" t="n">
        <x:v>1356.61</x:v>
      </x:c>
      <x:c r="F1688" s="6" t="str">
        <x:v>1994-05-31</x:v>
      </x:c>
      <x:c r="G1688" s="5" t="n">
        <x:v>1330.86</x:v>
      </x:c>
      <x:c r="H1688" s="7" t="n">
        <x:f>G1688/E1688-1</x:f>
        <x:v>-0.018981136804239962</x:v>
      </x:c>
      <x:c r="I1688" s="1" t="n">
        <x:v>1</x:v>
      </x:c>
      <x:c r="J1688" s="1" t="n">
        <x:v>0</x:v>
      </x:c>
      <x:c r="K1688" s="1" t="str">
        <x:v>搜狐/腾讯</x:v>
      </x:c>
    </x:row>
    <x:row r="1689" ht="25" customHeight="1">
      <x:c r="A1689" s="1" t="str">
        <x:v>sz399001</x:v>
      </x:c>
      <x:c r="B1689" s="1" t="str">
        <x:v>深证成指</x:v>
      </x:c>
      <x:c r="C1689" s="1" t="str">
        <x:v>1994-06</x:v>
      </x:c>
      <x:c r="D1689" s="1" t="str">
        <x:v>1994-05-31</x:v>
      </x:c>
      <x:c r="E1689" s="5" t="n">
        <x:v>1330.86</x:v>
      </x:c>
      <x:c r="F1689" s="6" t="str">
        <x:v>1994-06-30</x:v>
      </x:c>
      <x:c r="G1689" s="5" t="n">
        <x:v>1143.34</x:v>
      </x:c>
      <x:c r="H1689" s="7" t="n">
        <x:f>G1689/E1689-1</x:f>
        <x:v>-0.14090137204514375</x:v>
      </x:c>
      <x:c r="I1689" s="1" t="n">
        <x:v>1</x:v>
      </x:c>
      <x:c r="J1689" s="1" t="n">
        <x:v>0</x:v>
      </x:c>
      <x:c r="K1689" s="1" t="str">
        <x:v>搜狐/腾讯</x:v>
      </x:c>
    </x:row>
    <x:row r="1690" ht="25" customHeight="1">
      <x:c r="A1690" s="1" t="str">
        <x:v>sz399001</x:v>
      </x:c>
      <x:c r="B1690" s="1" t="str">
        <x:v>深证成指</x:v>
      </x:c>
      <x:c r="C1690" s="1" t="str">
        <x:v>1994-07</x:v>
      </x:c>
      <x:c r="D1690" s="1" t="str">
        <x:v>1994-06-30</x:v>
      </x:c>
      <x:c r="E1690" s="5" t="n">
        <x:v>1143.34</x:v>
      </x:c>
      <x:c r="F1690" s="6" t="str">
        <x:v>1994-07-29</x:v>
      </x:c>
      <x:c r="G1690" s="5" t="n">
        <x:v>970.48</x:v>
      </x:c>
      <x:c r="H1690" s="7" t="n">
        <x:f>G1690/E1690-1</x:f>
        <x:v>-0.15118862280686407</x:v>
      </x:c>
      <x:c r="I1690" s="1" t="n">
        <x:v>1</x:v>
      </x:c>
      <x:c r="J1690" s="1" t="n">
        <x:v>0</x:v>
      </x:c>
      <x:c r="K1690" s="1" t="str">
        <x:v>搜狐/腾讯</x:v>
      </x:c>
    </x:row>
    <x:row r="1691" ht="25" customHeight="1">
      <x:c r="A1691" s="1" t="str">
        <x:v>sz399001</x:v>
      </x:c>
      <x:c r="B1691" s="1" t="str">
        <x:v>深证成指</x:v>
      </x:c>
      <x:c r="C1691" s="1" t="str">
        <x:v>1994-08</x:v>
      </x:c>
      <x:c r="D1691" s="1" t="str">
        <x:v>1994-07-29</x:v>
      </x:c>
      <x:c r="E1691" s="5" t="n">
        <x:v>970.48</x:v>
      </x:c>
      <x:c r="F1691" s="6" t="str">
        <x:v>1994-08-31</x:v>
      </x:c>
      <x:c r="G1691" s="5" t="n">
        <x:v>1517.01</x:v>
      </x:c>
      <x:c r="H1691" s="7" t="n">
        <x:f>G1691/E1691-1</x:f>
        <x:v>0.5631543153903222</x:v>
      </x:c>
      <x:c r="I1691" s="1" t="n">
        <x:v>1</x:v>
      </x:c>
      <x:c r="J1691" s="1" t="n">
        <x:v>0</x:v>
      </x:c>
      <x:c r="K1691" s="1" t="str">
        <x:v>搜狐/腾讯</x:v>
      </x:c>
    </x:row>
    <x:row r="1692" ht="25" customHeight="1">
      <x:c r="A1692" s="1" t="str">
        <x:v>sz399001</x:v>
      </x:c>
      <x:c r="B1692" s="1" t="str">
        <x:v>深证成指</x:v>
      </x:c>
      <x:c r="C1692" s="1" t="str">
        <x:v>1994-09</x:v>
      </x:c>
      <x:c r="D1692" s="1" t="str">
        <x:v>1994-08-31</x:v>
      </x:c>
      <x:c r="E1692" s="5" t="n">
        <x:v>1517.01</x:v>
      </x:c>
      <x:c r="F1692" s="6" t="str">
        <x:v>1994-09-30</x:v>
      </x:c>
      <x:c r="G1692" s="5" t="n">
        <x:v>1720.6</x:v>
      </x:c>
      <x:c r="H1692" s="7" t="n">
        <x:f>G1692/E1692-1</x:f>
        <x:v>0.1342047844114409</x:v>
      </x:c>
      <x:c r="I1692" s="1" t="n">
        <x:v>1</x:v>
      </x:c>
      <x:c r="J1692" s="1" t="n">
        <x:v>0</x:v>
      </x:c>
      <x:c r="K1692" s="1" t="str">
        <x:v>搜狐/腾讯</x:v>
      </x:c>
    </x:row>
    <x:row r="1693" ht="25" customHeight="1">
      <x:c r="A1693" s="1" t="str">
        <x:v>sz399001</x:v>
      </x:c>
      <x:c r="B1693" s="1" t="str">
        <x:v>深证成指</x:v>
      </x:c>
      <x:c r="C1693" s="1" t="str">
        <x:v>1994-10</x:v>
      </x:c>
      <x:c r="D1693" s="1" t="str">
        <x:v>1994-09-30</x:v>
      </x:c>
      <x:c r="E1693" s="5" t="n">
        <x:v>1720.6</x:v>
      </x:c>
      <x:c r="F1693" s="6" t="str">
        <x:v>1994-10-31</x:v>
      </x:c>
      <x:c r="G1693" s="5" t="n">
        <x:v>1387.08</x:v>
      </x:c>
      <x:c r="H1693" s="7" t="n">
        <x:f>G1693/E1693-1</x:f>
        <x:v>-0.19383935836336164</x:v>
      </x:c>
      <x:c r="I1693" s="1" t="n">
        <x:v>1</x:v>
      </x:c>
      <x:c r="J1693" s="1" t="n">
        <x:v>0</x:v>
      </x:c>
      <x:c r="K1693" s="1" t="str">
        <x:v>搜狐/腾讯</x:v>
      </x:c>
    </x:row>
    <x:row r="1694" ht="25" customHeight="1">
      <x:c r="A1694" s="1" t="str">
        <x:v>sz399001</x:v>
      </x:c>
      <x:c r="B1694" s="1" t="str">
        <x:v>深证成指</x:v>
      </x:c>
      <x:c r="C1694" s="1" t="str">
        <x:v>1994-11</x:v>
      </x:c>
      <x:c r="D1694" s="1" t="str">
        <x:v>1994-10-31</x:v>
      </x:c>
      <x:c r="E1694" s="5" t="n">
        <x:v>1387.08</x:v>
      </x:c>
      <x:c r="F1694" s="6" t="str">
        <x:v>1994-11-30</x:v>
      </x:c>
      <x:c r="G1694" s="5" t="n">
        <x:v>1365.63</x:v>
      </x:c>
      <x:c r="H1694" s="7" t="n">
        <x:f>G1694/E1694-1</x:f>
        <x:v>-0.015464140496582623</x:v>
      </x:c>
      <x:c r="I1694" s="1" t="n">
        <x:v>1</x:v>
      </x:c>
      <x:c r="J1694" s="1" t="n">
        <x:v>0</x:v>
      </x:c>
      <x:c r="K1694" s="1" t="str">
        <x:v>搜狐/腾讯</x:v>
      </x:c>
    </x:row>
    <x:row r="1695" ht="25" customHeight="1">
      <x:c r="A1695" s="1" t="str">
        <x:v>sz399001</x:v>
      </x:c>
      <x:c r="B1695" s="1" t="str">
        <x:v>深证成指</x:v>
      </x:c>
      <x:c r="C1695" s="1" t="str">
        <x:v>1994-12</x:v>
      </x:c>
      <x:c r="D1695" s="1" t="str">
        <x:v>1994-11-30</x:v>
      </x:c>
      <x:c r="E1695" s="5" t="n">
        <x:v>1365.63</x:v>
      </x:c>
      <x:c r="F1695" s="6" t="str">
        <x:v>1994-12-30</x:v>
      </x:c>
      <x:c r="G1695" s="5" t="n">
        <x:v>1271.05</x:v>
      </x:c>
      <x:c r="H1695" s="7" t="n">
        <x:f>G1695/E1695-1</x:f>
        <x:v>-0.0692574123298405</x:v>
      </x:c>
      <x:c r="I1695" s="1" t="n">
        <x:v>1</x:v>
      </x:c>
      <x:c r="J1695" s="1" t="n">
        <x:v>0</x:v>
      </x:c>
      <x:c r="K1695" s="1" t="str">
        <x:v>搜狐/腾讯</x:v>
      </x:c>
    </x:row>
    <x:row r="1696" ht="25" customHeight="1">
      <x:c r="A1696" s="1" t="str">
        <x:v>sz399001</x:v>
      </x:c>
      <x:c r="B1696" s="1" t="str">
        <x:v>深证成指</x:v>
      </x:c>
      <x:c r="C1696" s="1" t="str">
        <x:v>1995-01</x:v>
      </x:c>
      <x:c r="D1696" s="1" t="str">
        <x:v>1994-12-30</x:v>
      </x:c>
      <x:c r="E1696" s="5" t="n">
        <x:v>1271.05</x:v>
      </x:c>
      <x:c r="F1696" s="6" t="str">
        <x:v>1995-01-27</x:v>
      </x:c>
      <x:c r="G1696" s="5" t="n">
        <x:v>1156.66</x:v>
      </x:c>
      <x:c r="H1696" s="7" t="n">
        <x:f>G1696/E1696-1</x:f>
        <x:v>-0.08999645961999914</x:v>
      </x:c>
      <x:c r="I1696" s="1" t="n">
        <x:v>1</x:v>
      </x:c>
      <x:c r="J1696" s="1" t="n">
        <x:v>0</x:v>
      </x:c>
      <x:c r="K1696" s="1" t="str">
        <x:v>搜狐/腾讯</x:v>
      </x:c>
    </x:row>
    <x:row r="1697" ht="25" customHeight="1">
      <x:c r="A1697" s="1" t="str">
        <x:v>sz399001</x:v>
      </x:c>
      <x:c r="B1697" s="1" t="str">
        <x:v>深证成指</x:v>
      </x:c>
      <x:c r="C1697" s="1" t="str">
        <x:v>1995-02</x:v>
      </x:c>
      <x:c r="D1697" s="1" t="str">
        <x:v>1995-01-27</x:v>
      </x:c>
      <x:c r="E1697" s="5" t="n">
        <x:v>1156.66</x:v>
      </x:c>
      <x:c r="F1697" s="6" t="str">
        <x:v>1995-02-28</x:v>
      </x:c>
      <x:c r="G1697" s="5" t="n">
        <x:v>1159.78</x:v>
      </x:c>
      <x:c r="H1697" s="7" t="n">
        <x:f>G1697/E1697-1</x:f>
        <x:v>0.002697421887157825</x:v>
      </x:c>
      <x:c r="I1697" s="1" t="n">
        <x:v>1</x:v>
      </x:c>
      <x:c r="J1697" s="1" t="n">
        <x:v>1</x:v>
      </x:c>
      <x:c r="K1697" s="1" t="str">
        <x:v>搜狐/腾讯</x:v>
      </x:c>
    </x:row>
    <x:row r="1698" ht="25" customHeight="1">
      <x:c r="A1698" s="1" t="str">
        <x:v>sz399001</x:v>
      </x:c>
      <x:c r="B1698" s="1" t="str">
        <x:v>深证成指</x:v>
      </x:c>
      <x:c r="C1698" s="1" t="str">
        <x:v>1995-03</x:v>
      </x:c>
      <x:c r="D1698" s="1" t="str">
        <x:v>1995-02-28</x:v>
      </x:c>
      <x:c r="E1698" s="5" t="n">
        <x:v>1159.78</x:v>
      </x:c>
      <x:c r="F1698" s="6" t="str">
        <x:v>1995-03-31</x:v>
      </x:c>
      <x:c r="G1698" s="5" t="n">
        <x:v>1225.38</x:v>
      </x:c>
      <x:c r="H1698" s="7" t="n">
        <x:f>G1698/E1698-1</x:f>
        <x:v>0.05656245149942252</x:v>
      </x:c>
      <x:c r="I1698" s="1" t="n">
        <x:v>1</x:v>
      </x:c>
      <x:c r="J1698" s="1" t="n">
        <x:v>1</x:v>
      </x:c>
      <x:c r="K1698" s="1" t="str">
        <x:v>搜狐/腾讯</x:v>
      </x:c>
    </x:row>
    <x:row r="1699" ht="25" customHeight="1">
      <x:c r="A1699" s="1" t="str">
        <x:v>sz399001</x:v>
      </x:c>
      <x:c r="B1699" s="1" t="str">
        <x:v>深证成指</x:v>
      </x:c>
      <x:c r="C1699" s="1" t="str">
        <x:v>1995-04</x:v>
      </x:c>
      <x:c r="D1699" s="1" t="str">
        <x:v>1995-03-31</x:v>
      </x:c>
      <x:c r="E1699" s="5" t="n">
        <x:v>1225.38</x:v>
      </x:c>
      <x:c r="F1699" s="6" t="str">
        <x:v>1995-04-28</x:v>
      </x:c>
      <x:c r="G1699" s="5" t="n">
        <x:v>1088.23</x:v>
      </x:c>
      <x:c r="H1699" s="7" t="n">
        <x:f>G1699/E1699-1</x:f>
        <x:v>-0.1119244642478252</x:v>
      </x:c>
      <x:c r="I1699" s="1" t="n">
        <x:v>1</x:v>
      </x:c>
      <x:c r="J1699" s="1" t="n">
        <x:v>1</x:v>
      </x:c>
      <x:c r="K1699" s="1" t="str">
        <x:v>搜狐/腾讯</x:v>
      </x:c>
    </x:row>
    <x:row r="1700" ht="25" customHeight="1">
      <x:c r="A1700" s="1" t="str">
        <x:v>sz399001</x:v>
      </x:c>
      <x:c r="B1700" s="1" t="str">
        <x:v>深证成指</x:v>
      </x:c>
      <x:c r="C1700" s="1" t="str">
        <x:v>1995-05</x:v>
      </x:c>
      <x:c r="D1700" s="1" t="str">
        <x:v>1995-04-28</x:v>
      </x:c>
      <x:c r="E1700" s="5" t="n">
        <x:v>1088.23</x:v>
      </x:c>
      <x:c r="F1700" s="6" t="str">
        <x:v>1995-05-31</x:v>
      </x:c>
      <x:c r="G1700" s="5" t="n">
        <x:v>1128.86</x:v>
      </x:c>
      <x:c r="H1700" s="7" t="n">
        <x:f>G1700/E1700-1</x:f>
        <x:v>0.03733585730957589</x:v>
      </x:c>
      <x:c r="I1700" s="1" t="n">
        <x:v>1</x:v>
      </x:c>
      <x:c r="J1700" s="1" t="n">
        <x:v>1</x:v>
      </x:c>
      <x:c r="K1700" s="1" t="str">
        <x:v>搜狐/腾讯</x:v>
      </x:c>
    </x:row>
    <x:row r="1701" ht="25" customHeight="1">
      <x:c r="A1701" s="1" t="str">
        <x:v>sz399001</x:v>
      </x:c>
      <x:c r="B1701" s="1" t="str">
        <x:v>深证成指</x:v>
      </x:c>
      <x:c r="C1701" s="1" t="str">
        <x:v>1995-06</x:v>
      </x:c>
      <x:c r="D1701" s="1" t="str">
        <x:v>1995-05-31</x:v>
      </x:c>
      <x:c r="E1701" s="5" t="n">
        <x:v>1128.86</x:v>
      </x:c>
      <x:c r="F1701" s="6" t="str">
        <x:v>1995-06-30</x:v>
      </x:c>
      <x:c r="G1701" s="5" t="n">
        <x:v>1051.86</x:v>
      </x:c>
      <x:c r="H1701" s="7" t="n">
        <x:f>G1701/E1701-1</x:f>
        <x:v>-0.0682104069592332</x:v>
      </x:c>
      <x:c r="I1701" s="1" t="n">
        <x:v>1</x:v>
      </x:c>
      <x:c r="J1701" s="1" t="n">
        <x:v>1</x:v>
      </x:c>
      <x:c r="K1701" s="1" t="str">
        <x:v>搜狐/腾讯</x:v>
      </x:c>
    </x:row>
    <x:row r="1702" ht="25" customHeight="1">
      <x:c r="A1702" s="1" t="str">
        <x:v>sz399001</x:v>
      </x:c>
      <x:c r="B1702" s="1" t="str">
        <x:v>深证成指</x:v>
      </x:c>
      <x:c r="C1702" s="1" t="str">
        <x:v>1995-07</x:v>
      </x:c>
      <x:c r="D1702" s="1" t="str">
        <x:v>1995-06-30</x:v>
      </x:c>
      <x:c r="E1702" s="5" t="n">
        <x:v>1051.86</x:v>
      </x:c>
      <x:c r="F1702" s="6" t="str">
        <x:v>1995-07-31</x:v>
      </x:c>
      <x:c r="G1702" s="5" t="n">
        <x:v>1083.06</x:v>
      </x:c>
      <x:c r="H1702" s="7" t="n">
        <x:f>G1702/E1702-1</x:f>
        <x:v>0.029661742056927842</x:v>
      </x:c>
      <x:c r="I1702" s="1" t="n">
        <x:v>1</x:v>
      </x:c>
      <x:c r="J1702" s="1" t="n">
        <x:v>1</x:v>
      </x:c>
      <x:c r="K1702" s="1" t="str">
        <x:v>搜狐/腾讯</x:v>
      </x:c>
    </x:row>
    <x:row r="1703" ht="25" customHeight="1">
      <x:c r="A1703" s="1" t="str">
        <x:v>sz399001</x:v>
      </x:c>
      <x:c r="B1703" s="1" t="str">
        <x:v>深证成指</x:v>
      </x:c>
      <x:c r="C1703" s="1" t="str">
        <x:v>1995-08</x:v>
      </x:c>
      <x:c r="D1703" s="1" t="str">
        <x:v>1995-07-31</x:v>
      </x:c>
      <x:c r="E1703" s="5" t="n">
        <x:v>1083.06</x:v>
      </x:c>
      <x:c r="F1703" s="6" t="str">
        <x:v>1995-08-31</x:v>
      </x:c>
      <x:c r="G1703" s="5" t="n">
        <x:v>1171.82</x:v>
      </x:c>
      <x:c r="H1703" s="7" t="n">
        <x:f>G1703/E1703-1</x:f>
        <x:v>0.08195298506084603</x:v>
      </x:c>
      <x:c r="I1703" s="1" t="n">
        <x:v>1</x:v>
      </x:c>
      <x:c r="J1703" s="1" t="n">
        <x:v>1</x:v>
      </x:c>
      <x:c r="K1703" s="1" t="str">
        <x:v>搜狐/腾讯</x:v>
      </x:c>
    </x:row>
    <x:row r="1704" ht="25" customHeight="1">
      <x:c r="A1704" s="1" t="str">
        <x:v>sz399001</x:v>
      </x:c>
      <x:c r="B1704" s="1" t="str">
        <x:v>深证成指</x:v>
      </x:c>
      <x:c r="C1704" s="1" t="str">
        <x:v>1995-09</x:v>
      </x:c>
      <x:c r="D1704" s="1" t="str">
        <x:v>1995-08-31</x:v>
      </x:c>
      <x:c r="E1704" s="5" t="n">
        <x:v>1171.82</x:v>
      </x:c>
      <x:c r="F1704" s="6" t="str">
        <x:v>1995-09-29</x:v>
      </x:c>
      <x:c r="G1704" s="5" t="n">
        <x:v>1164.97</x:v>
      </x:c>
      <x:c r="H1704" s="7" t="n">
        <x:f>G1704/E1704-1</x:f>
        <x:v>-0.0058456076871873375</x:v>
      </x:c>
      <x:c r="I1704" s="1" t="n">
        <x:v>1</x:v>
      </x:c>
      <x:c r="J1704" s="1" t="n">
        <x:v>1</x:v>
      </x:c>
      <x:c r="K1704" s="1" t="str">
        <x:v>搜狐/腾讯</x:v>
      </x:c>
    </x:row>
    <x:row r="1705" ht="25" customHeight="1">
      <x:c r="A1705" s="1" t="str">
        <x:v>sz399001</x:v>
      </x:c>
      <x:c r="B1705" s="1" t="str">
        <x:v>深证成指</x:v>
      </x:c>
      <x:c r="C1705" s="1" t="str">
        <x:v>1995-10</x:v>
      </x:c>
      <x:c r="D1705" s="1" t="str">
        <x:v>1995-09-29</x:v>
      </x:c>
      <x:c r="E1705" s="5" t="n">
        <x:v>1164.97</x:v>
      </x:c>
      <x:c r="F1705" s="6" t="str">
        <x:v>1995-10-31</x:v>
      </x:c>
      <x:c r="G1705" s="5" t="n">
        <x:v>1153.73</x:v>
      </x:c>
      <x:c r="H1705" s="7" t="n">
        <x:f>G1705/E1705-1</x:f>
        <x:v>-0.009648317124046124</x:v>
      </x:c>
      <x:c r="I1705" s="1" t="n">
        <x:v>1</x:v>
      </x:c>
      <x:c r="J1705" s="1" t="n">
        <x:v>1</x:v>
      </x:c>
      <x:c r="K1705" s="1" t="str">
        <x:v>搜狐/腾讯</x:v>
      </x:c>
    </x:row>
    <x:row r="1706" ht="25" customHeight="1">
      <x:c r="A1706" s="1" t="str">
        <x:v>sz399001</x:v>
      </x:c>
      <x:c r="B1706" s="1" t="str">
        <x:v>深证成指</x:v>
      </x:c>
      <x:c r="C1706" s="1" t="str">
        <x:v>1995-11</x:v>
      </x:c>
      <x:c r="D1706" s="1" t="str">
        <x:v>1995-10-31</x:v>
      </x:c>
      <x:c r="E1706" s="5" t="n">
        <x:v>1153.73</x:v>
      </x:c>
      <x:c r="F1706" s="6" t="str">
        <x:v>1995-11-30</x:v>
      </x:c>
      <x:c r="G1706" s="5" t="n">
        <x:v>1086.19</x:v>
      </x:c>
      <x:c r="H1706" s="7" t="n">
        <x:f>G1706/E1706-1</x:f>
        <x:v>-0.05854055974968142</x:v>
      </x:c>
      <x:c r="I1706" s="1" t="n">
        <x:v>1</x:v>
      </x:c>
      <x:c r="J1706" s="1" t="n">
        <x:v>1</x:v>
      </x:c>
      <x:c r="K1706" s="1" t="str">
        <x:v>搜狐/腾讯</x:v>
      </x:c>
    </x:row>
    <x:row r="1707" ht="25" customHeight="1">
      <x:c r="A1707" s="1" t="str">
        <x:v>sz399001</x:v>
      </x:c>
      <x:c r="B1707" s="1" t="str">
        <x:v>深证成指</x:v>
      </x:c>
      <x:c r="C1707" s="1" t="str">
        <x:v>1995-12</x:v>
      </x:c>
      <x:c r="D1707" s="1" t="str">
        <x:v>1995-11-30</x:v>
      </x:c>
      <x:c r="E1707" s="5" t="n">
        <x:v>1086.19</x:v>
      </x:c>
      <x:c r="F1707" s="6" t="str">
        <x:v>1995-12-29</x:v>
      </x:c>
      <x:c r="G1707" s="5" t="n">
        <x:v>987.75</x:v>
      </x:c>
      <x:c r="H1707" s="7" t="n">
        <x:f>G1707/E1707-1</x:f>
        <x:v>-0.09062871136725625</x:v>
      </x:c>
      <x:c r="I1707" s="1" t="n">
        <x:v>1</x:v>
      </x:c>
      <x:c r="J1707" s="1" t="n">
        <x:v>1</x:v>
      </x:c>
      <x:c r="K1707" s="1" t="str">
        <x:v>搜狐/腾讯</x:v>
      </x:c>
    </x:row>
    <x:row r="1708" ht="25" customHeight="1">
      <x:c r="A1708" s="1" t="str">
        <x:v>sz399001</x:v>
      </x:c>
      <x:c r="B1708" s="1" t="str">
        <x:v>深证成指</x:v>
      </x:c>
      <x:c r="C1708" s="1" t="str">
        <x:v>1996-01</x:v>
      </x:c>
      <x:c r="D1708" s="1" t="str">
        <x:v>1995-12-29</x:v>
      </x:c>
      <x:c r="E1708" s="5" t="n">
        <x:v>987.75</x:v>
      </x:c>
      <x:c r="F1708" s="6" t="str">
        <x:v>1996-01-31</x:v>
      </x:c>
      <x:c r="G1708" s="5" t="n">
        <x:v>958.71</x:v>
      </x:c>
      <x:c r="H1708" s="7" t="n">
        <x:f>G1708/E1708-1</x:f>
        <x:v>-0.029400151860288548</x:v>
      </x:c>
      <x:c r="I1708" s="1" t="n">
        <x:v>1</x:v>
      </x:c>
      <x:c r="J1708" s="1" t="n">
        <x:v>1</x:v>
      </x:c>
      <x:c r="K1708" s="1" t="str">
        <x:v>搜狐/腾讯</x:v>
      </x:c>
    </x:row>
    <x:row r="1709" ht="25" customHeight="1">
      <x:c r="A1709" s="1" t="str">
        <x:v>sz399001</x:v>
      </x:c>
      <x:c r="B1709" s="1" t="str">
        <x:v>深证成指</x:v>
      </x:c>
      <x:c r="C1709" s="1" t="str">
        <x:v>1996-02</x:v>
      </x:c>
      <x:c r="D1709" s="1" t="str">
        <x:v>1996-01-31</x:v>
      </x:c>
      <x:c r="E1709" s="5" t="n">
        <x:v>958.71</x:v>
      </x:c>
      <x:c r="F1709" s="6" t="str">
        <x:v>1996-02-16</x:v>
      </x:c>
      <x:c r="G1709" s="5" t="n">
        <x:v>1011.24</x:v>
      </x:c>
      <x:c r="H1709" s="7" t="n">
        <x:f>G1709/E1709-1</x:f>
        <x:v>0.05479237725693897</x:v>
      </x:c>
      <x:c r="I1709" s="1" t="n">
        <x:v>1</x:v>
      </x:c>
      <x:c r="J1709" s="1" t="n">
        <x:v>1</x:v>
      </x:c>
      <x:c r="K1709" s="1" t="str">
        <x:v>搜狐/腾讯</x:v>
      </x:c>
    </x:row>
    <x:row r="1710" ht="25" customHeight="1">
      <x:c r="A1710" s="1" t="str">
        <x:v>sz399001</x:v>
      </x:c>
      <x:c r="B1710" s="1" t="str">
        <x:v>深证成指</x:v>
      </x:c>
      <x:c r="C1710" s="1" t="str">
        <x:v>1996-03</x:v>
      </x:c>
      <x:c r="D1710" s="1" t="str">
        <x:v>1996-02-16</x:v>
      </x:c>
      <x:c r="E1710" s="5" t="n">
        <x:v>1011.24</x:v>
      </x:c>
      <x:c r="F1710" s="6" t="str">
        <x:v>1996-03-29</x:v>
      </x:c>
      <x:c r="G1710" s="5" t="n">
        <x:v>1015.02</x:v>
      </x:c>
      <x:c r="H1710" s="7" t="n">
        <x:f>G1710/E1710-1</x:f>
        <x:v>0.0037379850480598886</x:v>
      </x:c>
      <x:c r="I1710" s="1" t="n">
        <x:v>1</x:v>
      </x:c>
      <x:c r="J1710" s="1" t="n">
        <x:v>1</x:v>
      </x:c>
      <x:c r="K1710" s="1" t="str">
        <x:v>搜狐/腾讯</x:v>
      </x:c>
    </x:row>
    <x:row r="1711" ht="25" customHeight="1">
      <x:c r="A1711" s="1" t="str">
        <x:v>sz399001</x:v>
      </x:c>
      <x:c r="B1711" s="1" t="str">
        <x:v>深证成指</x:v>
      </x:c>
      <x:c r="C1711" s="1" t="str">
        <x:v>1996-04</x:v>
      </x:c>
      <x:c r="D1711" s="1" t="str">
        <x:v>1996-03-29</x:v>
      </x:c>
      <x:c r="E1711" s="5" t="n">
        <x:v>1015.02</x:v>
      </x:c>
      <x:c r="F1711" s="6" t="str">
        <x:v>1996-04-30</x:v>
      </x:c>
      <x:c r="G1711" s="5" t="n">
        <x:v>1525.55</x:v>
      </x:c>
      <x:c r="H1711" s="7" t="n">
        <x:f>G1711/E1711-1</x:f>
        <x:v>0.5029753108313137</x:v>
      </x:c>
      <x:c r="I1711" s="1" t="n">
        <x:v>1</x:v>
      </x:c>
      <x:c r="J1711" s="1" t="n">
        <x:v>1</x:v>
      </x:c>
      <x:c r="K1711" s="1" t="str">
        <x:v>搜狐/腾讯</x:v>
      </x:c>
    </x:row>
    <x:row r="1712" ht="25" customHeight="1">
      <x:c r="A1712" s="1" t="str">
        <x:v>sz399001</x:v>
      </x:c>
      <x:c r="B1712" s="1" t="str">
        <x:v>深证成指</x:v>
      </x:c>
      <x:c r="C1712" s="1" t="str">
        <x:v>1996-05</x:v>
      </x:c>
      <x:c r="D1712" s="1" t="str">
        <x:v>1996-04-30</x:v>
      </x:c>
      <x:c r="E1712" s="5" t="n">
        <x:v>1525.55</x:v>
      </x:c>
      <x:c r="F1712" s="6" t="str">
        <x:v>1996-05-31</x:v>
      </x:c>
      <x:c r="G1712" s="5" t="n">
        <x:v>1736.74</x:v>
      </x:c>
      <x:c r="H1712" s="7" t="n">
        <x:f>G1712/E1712-1</x:f>
        <x:v>0.13843531840975398</x:v>
      </x:c>
      <x:c r="I1712" s="1" t="n">
        <x:v>1</x:v>
      </x:c>
      <x:c r="J1712" s="1" t="n">
        <x:v>1</x:v>
      </x:c>
      <x:c r="K1712" s="1" t="str">
        <x:v>搜狐/腾讯</x:v>
      </x:c>
    </x:row>
    <x:row r="1713" ht="25" customHeight="1">
      <x:c r="A1713" s="1" t="str">
        <x:v>sz399001</x:v>
      </x:c>
      <x:c r="B1713" s="1" t="str">
        <x:v>深证成指</x:v>
      </x:c>
      <x:c r="C1713" s="1" t="str">
        <x:v>1996-06</x:v>
      </x:c>
      <x:c r="D1713" s="1" t="str">
        <x:v>1996-05-31</x:v>
      </x:c>
      <x:c r="E1713" s="5" t="n">
        <x:v>1736.74</x:v>
      </x:c>
      <x:c r="F1713" s="6" t="str">
        <x:v>1996-06-28</x:v>
      </x:c>
      <x:c r="G1713" s="5" t="n">
        <x:v>2059.13</x:v>
      </x:c>
      <x:c r="H1713" s="7" t="n">
        <x:f>G1713/E1713-1</x:f>
        <x:v>0.18562939760701092</x:v>
      </x:c>
      <x:c r="I1713" s="1" t="n">
        <x:v>1</x:v>
      </x:c>
      <x:c r="J1713" s="1" t="n">
        <x:v>1</x:v>
      </x:c>
      <x:c r="K1713" s="1" t="str">
        <x:v>搜狐/腾讯</x:v>
      </x:c>
    </x:row>
    <x:row r="1714" ht="25" customHeight="1">
      <x:c r="A1714" s="1" t="str">
        <x:v>sz399001</x:v>
      </x:c>
      <x:c r="B1714" s="1" t="str">
        <x:v>深证成指</x:v>
      </x:c>
      <x:c r="C1714" s="1" t="str">
        <x:v>1996-07</x:v>
      </x:c>
      <x:c r="D1714" s="1" t="str">
        <x:v>1996-06-28</x:v>
      </x:c>
      <x:c r="E1714" s="5" t="n">
        <x:v>2059.13</x:v>
      </x:c>
      <x:c r="F1714" s="6" t="str">
        <x:v>1996-07-31</x:v>
      </x:c>
      <x:c r="G1714" s="5" t="n">
        <x:v>2587.81</x:v>
      </x:c>
      <x:c r="H1714" s="7" t="n">
        <x:f>G1714/E1714-1</x:f>
        <x:v>0.256749209617654</x:v>
      </x:c>
      <x:c r="I1714" s="1" t="n">
        <x:v>1</x:v>
      </x:c>
      <x:c r="J1714" s="1" t="n">
        <x:v>1</x:v>
      </x:c>
      <x:c r="K1714" s="1" t="str">
        <x:v>搜狐/腾讯</x:v>
      </x:c>
    </x:row>
    <x:row r="1715" ht="25" customHeight="1">
      <x:c r="A1715" s="1" t="str">
        <x:v>sz399001</x:v>
      </x:c>
      <x:c r="B1715" s="1" t="str">
        <x:v>深证成指</x:v>
      </x:c>
      <x:c r="C1715" s="1" t="str">
        <x:v>1996-08</x:v>
      </x:c>
      <x:c r="D1715" s="1" t="str">
        <x:v>1996-07-31</x:v>
      </x:c>
      <x:c r="E1715" s="5" t="n">
        <x:v>2587.81</x:v>
      </x:c>
      <x:c r="F1715" s="6" t="str">
        <x:v>1996-08-30</x:v>
      </x:c>
      <x:c r="G1715" s="5" t="n">
        <x:v>2711.94</x:v>
      </x:c>
      <x:c r="H1715" s="7" t="n">
        <x:f>G1715/E1715-1</x:f>
        <x:v>0.047967200064919835</x:v>
      </x:c>
      <x:c r="I1715" s="1" t="n">
        <x:v>1</x:v>
      </x:c>
      <x:c r="J1715" s="1" t="n">
        <x:v>1</x:v>
      </x:c>
      <x:c r="K1715" s="1" t="str">
        <x:v>搜狐/腾讯</x:v>
      </x:c>
    </x:row>
    <x:row r="1716" ht="25" customHeight="1">
      <x:c r="A1716" s="1" t="str">
        <x:v>sz399001</x:v>
      </x:c>
      <x:c r="B1716" s="1" t="str">
        <x:v>深证成指</x:v>
      </x:c>
      <x:c r="C1716" s="1" t="str">
        <x:v>1996-09</x:v>
      </x:c>
      <x:c r="D1716" s="1" t="str">
        <x:v>1996-08-30</x:v>
      </x:c>
      <x:c r="E1716" s="5" t="n">
        <x:v>2711.94</x:v>
      </x:c>
      <x:c r="F1716" s="6" t="str">
        <x:v>1996-09-27</x:v>
      </x:c>
      <x:c r="G1716" s="5" t="n">
        <x:v>2764.04</x:v>
      </x:c>
      <x:c r="H1716" s="7" t="n">
        <x:f>G1716/E1716-1</x:f>
        <x:v>0.01921133948391196</x:v>
      </x:c>
      <x:c r="I1716" s="1" t="n">
        <x:v>1</x:v>
      </x:c>
      <x:c r="J1716" s="1" t="n">
        <x:v>1</x:v>
      </x:c>
      <x:c r="K1716" s="1" t="str">
        <x:v>搜狐/腾讯</x:v>
      </x:c>
    </x:row>
    <x:row r="1717" ht="25" customHeight="1">
      <x:c r="A1717" s="1" t="str">
        <x:v>sz399001</x:v>
      </x:c>
      <x:c r="B1717" s="1" t="str">
        <x:v>深证成指</x:v>
      </x:c>
      <x:c r="C1717" s="1" t="str">
        <x:v>1996-10</x:v>
      </x:c>
      <x:c r="D1717" s="1" t="str">
        <x:v>1996-09-27</x:v>
      </x:c>
      <x:c r="E1717" s="5" t="n">
        <x:v>2764.04</x:v>
      </x:c>
      <x:c r="F1717" s="6" t="str">
        <x:v>1996-10-31</x:v>
      </x:c>
      <x:c r="G1717" s="5" t="n">
        <x:v>3591.39</x:v>
      </x:c>
      <x:c r="H1717" s="7" t="n">
        <x:f>G1717/E1717-1</x:f>
        <x:v>0.2993263483885906</x:v>
      </x:c>
      <x:c r="I1717" s="1" t="n">
        <x:v>1</x:v>
      </x:c>
      <x:c r="J1717" s="1" t="n">
        <x:v>1</x:v>
      </x:c>
      <x:c r="K1717" s="1" t="str">
        <x:v>搜狐/腾讯</x:v>
      </x:c>
    </x:row>
    <x:row r="1718" ht="25" customHeight="1">
      <x:c r="A1718" s="1" t="str">
        <x:v>sz399001</x:v>
      </x:c>
      <x:c r="B1718" s="1" t="str">
        <x:v>深证成指</x:v>
      </x:c>
      <x:c r="C1718" s="1" t="str">
        <x:v>1996-11</x:v>
      </x:c>
      <x:c r="D1718" s="1" t="str">
        <x:v>1996-10-31</x:v>
      </x:c>
      <x:c r="E1718" s="5" t="n">
        <x:v>3591.39</x:v>
      </x:c>
      <x:c r="F1718" s="6" t="str">
        <x:v>1996-11-29</x:v>
      </x:c>
      <x:c r="G1718" s="5" t="n">
        <x:v>4078.43</x:v>
      </x:c>
      <x:c r="H1718" s="7" t="n">
        <x:f>G1718/E1718-1</x:f>
        <x:v>0.1356132305319111</x:v>
      </x:c>
      <x:c r="I1718" s="1" t="n">
        <x:v>1</x:v>
      </x:c>
      <x:c r="J1718" s="1" t="n">
        <x:v>1</x:v>
      </x:c>
      <x:c r="K1718" s="1" t="str">
        <x:v>搜狐/腾讯</x:v>
      </x:c>
    </x:row>
    <x:row r="1719" ht="25" customHeight="1">
      <x:c r="A1719" s="1" t="str">
        <x:v>sz399001</x:v>
      </x:c>
      <x:c r="B1719" s="1" t="str">
        <x:v>深证成指</x:v>
      </x:c>
      <x:c r="C1719" s="1" t="str">
        <x:v>1996-12</x:v>
      </x:c>
      <x:c r="D1719" s="1" t="str">
        <x:v>1996-11-29</x:v>
      </x:c>
      <x:c r="E1719" s="5" t="n">
        <x:v>4078.43</x:v>
      </x:c>
      <x:c r="F1719" s="6" t="str">
        <x:v>1996-12-31</x:v>
      </x:c>
      <x:c r="G1719" s="5" t="n">
        <x:v>3215.83</x:v>
      </x:c>
      <x:c r="H1719" s="7" t="n">
        <x:f>G1719/E1719-1</x:f>
        <x:v>-0.21150295579426392</x:v>
      </x:c>
      <x:c r="I1719" s="1" t="n">
        <x:v>1</x:v>
      </x:c>
      <x:c r="J1719" s="1" t="n">
        <x:v>1</x:v>
      </x:c>
      <x:c r="K1719" s="1" t="str">
        <x:v>搜狐/腾讯</x:v>
      </x:c>
    </x:row>
    <x:row r="1720" ht="25" customHeight="1">
      <x:c r="A1720" s="1" t="str">
        <x:v>sz399001</x:v>
      </x:c>
      <x:c r="B1720" s="1" t="str">
        <x:v>深证成指</x:v>
      </x:c>
      <x:c r="C1720" s="1" t="str">
        <x:v>1997-01</x:v>
      </x:c>
      <x:c r="D1720" s="1" t="str">
        <x:v>1996-12-31</x:v>
      </x:c>
      <x:c r="E1720" s="5" t="n">
        <x:v>3215.83</x:v>
      </x:c>
      <x:c r="F1720" s="6" t="str">
        <x:v>1997-01-31</x:v>
      </x:c>
      <x:c r="G1720" s="5" t="n">
        <x:v>3693.69</x:v>
      </x:c>
      <x:c r="H1720" s="7" t="n">
        <x:f>G1720/E1720-1</x:f>
        <x:v>0.14859616335440617</x:v>
      </x:c>
      <x:c r="I1720" s="1" t="n">
        <x:v>1</x:v>
      </x:c>
      <x:c r="J1720" s="1" t="n">
        <x:v>1</x:v>
      </x:c>
      <x:c r="K1720" s="1" t="str">
        <x:v>搜狐/腾讯</x:v>
      </x:c>
    </x:row>
    <x:row r="1721" ht="25" customHeight="1">
      <x:c r="A1721" s="1" t="str">
        <x:v>sz399001</x:v>
      </x:c>
      <x:c r="B1721" s="1" t="str">
        <x:v>深证成指</x:v>
      </x:c>
      <x:c r="C1721" s="1" t="str">
        <x:v>1997-02</x:v>
      </x:c>
      <x:c r="D1721" s="1" t="str">
        <x:v>1997-01-31</x:v>
      </x:c>
      <x:c r="E1721" s="5" t="n">
        <x:v>3693.69</x:v>
      </x:c>
      <x:c r="F1721" s="6" t="str">
        <x:v>1997-02-28</x:v>
      </x:c>
      <x:c r="G1721" s="5" t="n">
        <x:v>3769.47</x:v>
      </x:c>
      <x:c r="H1721" s="7" t="n">
        <x:f>G1721/E1721-1</x:f>
        <x:v>0.020516069296557138</x:v>
      </x:c>
      <x:c r="I1721" s="1" t="n">
        <x:v>1</x:v>
      </x:c>
      <x:c r="J1721" s="1" t="n">
        <x:v>1</x:v>
      </x:c>
      <x:c r="K1721" s="1" t="str">
        <x:v>搜狐/腾讯</x:v>
      </x:c>
    </x:row>
    <x:row r="1722" ht="25" customHeight="1">
      <x:c r="A1722" s="1" t="str">
        <x:v>sz399001</x:v>
      </x:c>
      <x:c r="B1722" s="1" t="str">
        <x:v>深证成指</x:v>
      </x:c>
      <x:c r="C1722" s="1" t="str">
        <x:v>1997-03</x:v>
      </x:c>
      <x:c r="D1722" s="1" t="str">
        <x:v>1997-02-28</x:v>
      </x:c>
      <x:c r="E1722" s="5" t="n">
        <x:v>3769.47</x:v>
      </x:c>
      <x:c r="F1722" s="6" t="str">
        <x:v>1997-03-31</x:v>
      </x:c>
      <x:c r="G1722" s="5" t="n">
        <x:v>4543</x:v>
      </x:c>
      <x:c r="H1722" s="7" t="n">
        <x:f>G1722/E1722-1</x:f>
        <x:v>0.20520922039437917</x:v>
      </x:c>
      <x:c r="I1722" s="1" t="n">
        <x:v>1</x:v>
      </x:c>
      <x:c r="J1722" s="1" t="n">
        <x:v>1</x:v>
      </x:c>
      <x:c r="K1722" s="1" t="str">
        <x:v>搜狐/腾讯</x:v>
      </x:c>
    </x:row>
    <x:row r="1723" ht="25" customHeight="1">
      <x:c r="A1723" s="1" t="str">
        <x:v>sz399001</x:v>
      </x:c>
      <x:c r="B1723" s="1" t="str">
        <x:v>深证成指</x:v>
      </x:c>
      <x:c r="C1723" s="1" t="str">
        <x:v>1997-04</x:v>
      </x:c>
      <x:c r="D1723" s="1" t="str">
        <x:v>1997-03-31</x:v>
      </x:c>
      <x:c r="E1723" s="5" t="n">
        <x:v>4543</x:v>
      </x:c>
      <x:c r="F1723" s="6" t="str">
        <x:v>1997-04-30</x:v>
      </x:c>
      <x:c r="G1723" s="5" t="n">
        <x:v>5210.74</x:v>
      </x:c>
      <x:c r="H1723" s="7" t="n">
        <x:f>G1723/E1723-1</x:f>
        <x:v>0.1469821703720009</x:v>
      </x:c>
      <x:c r="I1723" s="1" t="n">
        <x:v>1</x:v>
      </x:c>
      <x:c r="J1723" s="1" t="n">
        <x:v>1</x:v>
      </x:c>
      <x:c r="K1723" s="1" t="str">
        <x:v>搜狐/腾讯</x:v>
      </x:c>
    </x:row>
    <x:row r="1724" ht="25" customHeight="1">
      <x:c r="A1724" s="1" t="str">
        <x:v>sz399001</x:v>
      </x:c>
      <x:c r="B1724" s="1" t="str">
        <x:v>深证成指</x:v>
      </x:c>
      <x:c r="C1724" s="1" t="str">
        <x:v>1997-05</x:v>
      </x:c>
      <x:c r="D1724" s="1" t="str">
        <x:v>1997-04-30</x:v>
      </x:c>
      <x:c r="E1724" s="5" t="n">
        <x:v>5210.74</x:v>
      </x:c>
      <x:c r="F1724" s="6" t="str">
        <x:v>1997-05-30</x:v>
      </x:c>
      <x:c r="G1724" s="5" t="n">
        <x:v>4844.2</x:v>
      </x:c>
      <x:c r="H1724" s="7" t="n">
        <x:f>G1724/E1724-1</x:f>
        <x:v>-0.07034317582531469</x:v>
      </x:c>
      <x:c r="I1724" s="1" t="n">
        <x:v>1</x:v>
      </x:c>
      <x:c r="J1724" s="1" t="n">
        <x:v>1</x:v>
      </x:c>
      <x:c r="K1724" s="1" t="str">
        <x:v>搜狐/腾讯</x:v>
      </x:c>
    </x:row>
    <x:row r="1725" ht="25" customHeight="1">
      <x:c r="A1725" s="1" t="str">
        <x:v>sz399001</x:v>
      </x:c>
      <x:c r="B1725" s="1" t="str">
        <x:v>深证成指</x:v>
      </x:c>
      <x:c r="C1725" s="1" t="str">
        <x:v>1997-06</x:v>
      </x:c>
      <x:c r="D1725" s="1" t="str">
        <x:v>1997-05-30</x:v>
      </x:c>
      <x:c r="E1725" s="5" t="n">
        <x:v>4844.2</x:v>
      </x:c>
      <x:c r="F1725" s="6" t="str">
        <x:v>1997-06-27</x:v>
      </x:c>
      <x:c r="G1725" s="5" t="n">
        <x:v>5081.45</x:v>
      </x:c>
      <x:c r="H1725" s="7" t="n">
        <x:f>G1725/E1725-1</x:f>
        <x:v>0.048976095124065866</x:v>
      </x:c>
      <x:c r="I1725" s="1" t="n">
        <x:v>1</x:v>
      </x:c>
      <x:c r="J1725" s="1" t="n">
        <x:v>1</x:v>
      </x:c>
      <x:c r="K1725" s="1" t="str">
        <x:v>搜狐/腾讯</x:v>
      </x:c>
    </x:row>
    <x:row r="1726" ht="25" customHeight="1">
      <x:c r="A1726" s="1" t="str">
        <x:v>sz399001</x:v>
      </x:c>
      <x:c r="B1726" s="1" t="str">
        <x:v>深证成指</x:v>
      </x:c>
      <x:c r="C1726" s="1" t="str">
        <x:v>1997-07</x:v>
      </x:c>
      <x:c r="D1726" s="1" t="str">
        <x:v>1997-06-27</x:v>
      </x:c>
      <x:c r="E1726" s="5" t="n">
        <x:v>5081.45</x:v>
      </x:c>
      <x:c r="F1726" s="6" t="str">
        <x:v>1997-07-31</x:v>
      </x:c>
      <x:c r="G1726" s="5" t="n">
        <x:v>4533.62</x:v>
      </x:c>
      <x:c r="H1726" s="7" t="n">
        <x:f>G1726/E1726-1</x:f>
        <x:v>-0.10780977870489716</x:v>
      </x:c>
      <x:c r="I1726" s="1" t="n">
        <x:v>1</x:v>
      </x:c>
      <x:c r="J1726" s="1" t="n">
        <x:v>1</x:v>
      </x:c>
      <x:c r="K1726" s="1" t="str">
        <x:v>搜狐/腾讯</x:v>
      </x:c>
    </x:row>
    <x:row r="1727" ht="25" customHeight="1">
      <x:c r="A1727" s="1" t="str">
        <x:v>sz399001</x:v>
      </x:c>
      <x:c r="B1727" s="1" t="str">
        <x:v>深证成指</x:v>
      </x:c>
      <x:c r="C1727" s="1" t="str">
        <x:v>1997-08</x:v>
      </x:c>
      <x:c r="D1727" s="1" t="str">
        <x:v>1997-07-31</x:v>
      </x:c>
      <x:c r="E1727" s="5" t="n">
        <x:v>4533.62</x:v>
      </x:c>
      <x:c r="F1727" s="6" t="str">
        <x:v>1997-08-29</x:v>
      </x:c>
      <x:c r="G1727" s="5" t="n">
        <x:v>4398.73</x:v>
      </x:c>
      <x:c r="H1727" s="7" t="n">
        <x:f>G1727/E1727-1</x:f>
        <x:v>-0.029753265602322276</x:v>
      </x:c>
      <x:c r="I1727" s="1" t="n">
        <x:v>1</x:v>
      </x:c>
      <x:c r="J1727" s="1" t="n">
        <x:v>1</x:v>
      </x:c>
      <x:c r="K1727" s="1" t="str">
        <x:v>搜狐/腾讯</x:v>
      </x:c>
    </x:row>
    <x:row r="1728" ht="25" customHeight="1">
      <x:c r="A1728" s="1" t="str">
        <x:v>sz399001</x:v>
      </x:c>
      <x:c r="B1728" s="1" t="str">
        <x:v>深证成指</x:v>
      </x:c>
      <x:c r="C1728" s="1" t="str">
        <x:v>1997-09</x:v>
      </x:c>
      <x:c r="D1728" s="1" t="str">
        <x:v>1997-08-29</x:v>
      </x:c>
      <x:c r="E1728" s="5" t="n">
        <x:v>4398.73</x:v>
      </x:c>
      <x:c r="F1728" s="6" t="str">
        <x:v>1997-09-30</x:v>
      </x:c>
      <x:c r="G1728" s="5" t="n">
        <x:v>3916.96</x:v>
      </x:c>
      <x:c r="H1728" s="7" t="n">
        <x:f>G1728/E1728-1</x:f>
        <x:v>-0.10952479465663945</x:v>
      </x:c>
      <x:c r="I1728" s="1" t="n">
        <x:v>1</x:v>
      </x:c>
      <x:c r="J1728" s="1" t="n">
        <x:v>1</x:v>
      </x:c>
      <x:c r="K1728" s="1" t="str">
        <x:v>搜狐/腾讯</x:v>
      </x:c>
    </x:row>
    <x:row r="1729" ht="25" customHeight="1">
      <x:c r="A1729" s="1" t="str">
        <x:v>sz399001</x:v>
      </x:c>
      <x:c r="B1729" s="1" t="str">
        <x:v>深证成指</x:v>
      </x:c>
      <x:c r="C1729" s="1" t="str">
        <x:v>1997-10</x:v>
      </x:c>
      <x:c r="D1729" s="1" t="str">
        <x:v>1997-09-30</x:v>
      </x:c>
      <x:c r="E1729" s="5" t="n">
        <x:v>3916.96</x:v>
      </x:c>
      <x:c r="F1729" s="6" t="str">
        <x:v>1997-10-31</x:v>
      </x:c>
      <x:c r="G1729" s="5" t="n">
        <x:v>4523.31</x:v>
      </x:c>
      <x:c r="H1729" s="7" t="n">
        <x:f>G1729/E1729-1</x:f>
        <x:v>0.15480117233773139</x:v>
      </x:c>
      <x:c r="I1729" s="1" t="n">
        <x:v>1</x:v>
      </x:c>
      <x:c r="J1729" s="1" t="n">
        <x:v>1</x:v>
      </x:c>
      <x:c r="K1729" s="1" t="str">
        <x:v>搜狐/腾讯</x:v>
      </x:c>
    </x:row>
    <x:row r="1730" ht="25" customHeight="1">
      <x:c r="A1730" s="1" t="str">
        <x:v>sz399001</x:v>
      </x:c>
      <x:c r="B1730" s="1" t="str">
        <x:v>深证成指</x:v>
      </x:c>
      <x:c r="C1730" s="1" t="str">
        <x:v>1997-11</x:v>
      </x:c>
      <x:c r="D1730" s="1" t="str">
        <x:v>1997-10-31</x:v>
      </x:c>
      <x:c r="E1730" s="5" t="n">
        <x:v>4523.31</x:v>
      </x:c>
      <x:c r="F1730" s="6" t="str">
        <x:v>1997-11-28</x:v>
      </x:c>
      <x:c r="G1730" s="5" t="n">
        <x:v>4268.49</x:v>
      </x:c>
      <x:c r="H1730" s="7" t="n">
        <x:f>G1730/E1730-1</x:f>
        <x:v>-0.056334852132619795</x:v>
      </x:c>
      <x:c r="I1730" s="1" t="n">
        <x:v>1</x:v>
      </x:c>
      <x:c r="J1730" s="1" t="n">
        <x:v>1</x:v>
      </x:c>
      <x:c r="K1730" s="1" t="str">
        <x:v>搜狐/腾讯</x:v>
      </x:c>
    </x:row>
    <x:row r="1731" ht="25" customHeight="1">
      <x:c r="A1731" s="1" t="str">
        <x:v>sz399001</x:v>
      </x:c>
      <x:c r="B1731" s="1" t="str">
        <x:v>深证成指</x:v>
      </x:c>
      <x:c r="C1731" s="1" t="str">
        <x:v>1997-12</x:v>
      </x:c>
      <x:c r="D1731" s="1" t="str">
        <x:v>1997-11-28</x:v>
      </x:c>
      <x:c r="E1731" s="5" t="n">
        <x:v>4268.49</x:v>
      </x:c>
      <x:c r="F1731" s="6" t="str">
        <x:v>1997-12-31</x:v>
      </x:c>
      <x:c r="G1731" s="5" t="n">
        <x:v>4184.84</x:v>
      </x:c>
      <x:c r="H1731" s="7" t="n">
        <x:f>G1731/E1731-1</x:f>
        <x:v>-0.019597094054337627</x:v>
      </x:c>
      <x:c r="I1731" s="1" t="n">
        <x:v>1</x:v>
      </x:c>
      <x:c r="J1731" s="1" t="n">
        <x:v>1</x:v>
      </x:c>
      <x:c r="K1731" s="1" t="str">
        <x:v>搜狐/腾讯</x:v>
      </x:c>
    </x:row>
    <x:row r="1732" ht="25" customHeight="1">
      <x:c r="A1732" s="1" t="str">
        <x:v>sz399001</x:v>
      </x:c>
      <x:c r="B1732" s="1" t="str">
        <x:v>深证成指</x:v>
      </x:c>
      <x:c r="C1732" s="1" t="str">
        <x:v>1998-01</x:v>
      </x:c>
      <x:c r="D1732" s="1" t="str">
        <x:v>1997-12-31</x:v>
      </x:c>
      <x:c r="E1732" s="5" t="n">
        <x:v>4184.84</x:v>
      </x:c>
      <x:c r="F1732" s="6" t="str">
        <x:v>1998-01-23</x:v>
      </x:c>
      <x:c r="G1732" s="5" t="n">
        <x:v>4165.28</x:v>
      </x:c>
      <x:c r="H1732" s="7" t="n">
        <x:f>G1732/E1732-1</x:f>
        <x:v>-0.004674013821317047</x:v>
      </x:c>
      <x:c r="I1732" s="1" t="n">
        <x:v>1</x:v>
      </x:c>
      <x:c r="J1732" s="1" t="n">
        <x:v>1</x:v>
      </x:c>
      <x:c r="K1732" s="1" t="str">
        <x:v>搜狐/腾讯</x:v>
      </x:c>
    </x:row>
    <x:row r="1733" ht="25" customHeight="1">
      <x:c r="A1733" s="1" t="str">
        <x:v>sz399001</x:v>
      </x:c>
      <x:c r="B1733" s="1" t="str">
        <x:v>深证成指</x:v>
      </x:c>
      <x:c r="C1733" s="1" t="str">
        <x:v>1998-02</x:v>
      </x:c>
      <x:c r="D1733" s="1" t="str">
        <x:v>1998-01-23</x:v>
      </x:c>
      <x:c r="E1733" s="5" t="n">
        <x:v>4165.28</x:v>
      </x:c>
      <x:c r="F1733" s="6" t="str">
        <x:v>1998-02-27</x:v>
      </x:c>
      <x:c r="G1733" s="5" t="n">
        <x:v>4081.69</x:v>
      </x:c>
      <x:c r="H1733" s="7" t="n">
        <x:f>G1733/E1733-1</x:f>
        <x:v>-0.020068278723158972</x:v>
      </x:c>
      <x:c r="I1733" s="1" t="n">
        <x:v>1</x:v>
      </x:c>
      <x:c r="J1733" s="1" t="n">
        <x:v>1</x:v>
      </x:c>
      <x:c r="K1733" s="1" t="str">
        <x:v>搜狐/腾讯</x:v>
      </x:c>
    </x:row>
    <x:row r="1734" ht="25" customHeight="1">
      <x:c r="A1734" s="1" t="str">
        <x:v>sz399001</x:v>
      </x:c>
      <x:c r="B1734" s="1" t="str">
        <x:v>深证成指</x:v>
      </x:c>
      <x:c r="C1734" s="1" t="str">
        <x:v>1998-03</x:v>
      </x:c>
      <x:c r="D1734" s="1" t="str">
        <x:v>1998-02-27</x:v>
      </x:c>
      <x:c r="E1734" s="5" t="n">
        <x:v>4081.69</x:v>
      </x:c>
      <x:c r="F1734" s="6" t="str">
        <x:v>1998-03-31</x:v>
      </x:c>
      <x:c r="G1734" s="5" t="n">
        <x:v>4063.29</x:v>
      </x:c>
      <x:c r="H1734" s="7" t="n">
        <x:f>G1734/E1734-1</x:f>
        <x:v>-0.00450793666348992</x:v>
      </x:c>
      <x:c r="I1734" s="1" t="n">
        <x:v>1</x:v>
      </x:c>
      <x:c r="J1734" s="1" t="n">
        <x:v>1</x:v>
      </x:c>
      <x:c r="K1734" s="1" t="str">
        <x:v>搜狐/腾讯</x:v>
      </x:c>
    </x:row>
    <x:row r="1735" ht="25" customHeight="1">
      <x:c r="A1735" s="1" t="str">
        <x:v>sz399001</x:v>
      </x:c>
      <x:c r="B1735" s="1" t="str">
        <x:v>深证成指</x:v>
      </x:c>
      <x:c r="C1735" s="1" t="str">
        <x:v>1998-04</x:v>
      </x:c>
      <x:c r="D1735" s="1" t="str">
        <x:v>1998-03-31</x:v>
      </x:c>
      <x:c r="E1735" s="5" t="n">
        <x:v>4063.29</x:v>
      </x:c>
      <x:c r="F1735" s="6" t="str">
        <x:v>1998-04-30</x:v>
      </x:c>
      <x:c r="G1735" s="5" t="n">
        <x:v>4180.95</x:v>
      </x:c>
      <x:c r="H1735" s="7" t="n">
        <x:f>G1735/E1735-1</x:f>
        <x:v>0.028956830548644064</x:v>
      </x:c>
      <x:c r="I1735" s="1" t="n">
        <x:v>1</x:v>
      </x:c>
      <x:c r="J1735" s="1" t="n">
        <x:v>1</x:v>
      </x:c>
      <x:c r="K1735" s="1" t="str">
        <x:v>搜狐/腾讯</x:v>
      </x:c>
    </x:row>
    <x:row r="1736" ht="25" customHeight="1">
      <x:c r="A1736" s="1" t="str">
        <x:v>sz399001</x:v>
      </x:c>
      <x:c r="B1736" s="1" t="str">
        <x:v>深证成指</x:v>
      </x:c>
      <x:c r="C1736" s="1" t="str">
        <x:v>1998-05</x:v>
      </x:c>
      <x:c r="D1736" s="1" t="str">
        <x:v>1998-04-30</x:v>
      </x:c>
      <x:c r="E1736" s="5" t="n">
        <x:v>4180.95</x:v>
      </x:c>
      <x:c r="F1736" s="6" t="str">
        <x:v>1998-05-29</x:v>
      </x:c>
      <x:c r="G1736" s="5" t="n">
        <x:v>4185.07</x:v>
      </x:c>
      <x:c r="H1736" s="7" t="n">
        <x:f>G1736/E1736-1</x:f>
        <x:v>0.0009854219734748426</x:v>
      </x:c>
      <x:c r="I1736" s="1" t="n">
        <x:v>1</x:v>
      </x:c>
      <x:c r="J1736" s="1" t="n">
        <x:v>1</x:v>
      </x:c>
      <x:c r="K1736" s="1" t="str">
        <x:v>搜狐/腾讯</x:v>
      </x:c>
    </x:row>
    <x:row r="1737" ht="25" customHeight="1">
      <x:c r="A1737" s="1" t="str">
        <x:v>sz399001</x:v>
      </x:c>
      <x:c r="B1737" s="1" t="str">
        <x:v>深证成指</x:v>
      </x:c>
      <x:c r="C1737" s="1" t="str">
        <x:v>1998-06</x:v>
      </x:c>
      <x:c r="D1737" s="1" t="str">
        <x:v>1998-05-29</x:v>
      </x:c>
      <x:c r="E1737" s="5" t="n">
        <x:v>4185.07</x:v>
      </x:c>
      <x:c r="F1737" s="6" t="str">
        <x:v>1998-06-30</x:v>
      </x:c>
      <x:c r="G1737" s="5" t="n">
        <x:v>3737.14</x:v>
      </x:c>
      <x:c r="H1737" s="7" t="n">
        <x:f>G1737/E1737-1</x:f>
        <x:v>-0.10703046782968983</x:v>
      </x:c>
      <x:c r="I1737" s="1" t="n">
        <x:v>1</x:v>
      </x:c>
      <x:c r="J1737" s="1" t="n">
        <x:v>1</x:v>
      </x:c>
      <x:c r="K1737" s="1" t="str">
        <x:v>搜狐/腾讯</x:v>
      </x:c>
    </x:row>
    <x:row r="1738" ht="25" customHeight="1">
      <x:c r="A1738" s="1" t="str">
        <x:v>sz399001</x:v>
      </x:c>
      <x:c r="B1738" s="1" t="str">
        <x:v>深证成指</x:v>
      </x:c>
      <x:c r="C1738" s="1" t="str">
        <x:v>1998-07</x:v>
      </x:c>
      <x:c r="D1738" s="1" t="str">
        <x:v>1998-06-30</x:v>
      </x:c>
      <x:c r="E1738" s="5" t="n">
        <x:v>3737.14</x:v>
      </x:c>
      <x:c r="F1738" s="6" t="str">
        <x:v>1998-07-31</x:v>
      </x:c>
      <x:c r="G1738" s="5" t="n">
        <x:v>3744.01</x:v>
      </x:c>
      <x:c r="H1738" s="7" t="n">
        <x:f>G1738/E1738-1</x:f>
        <x:v>0.0018383041577250125</x:v>
      </x:c>
      <x:c r="I1738" s="1" t="n">
        <x:v>1</x:v>
      </x:c>
      <x:c r="J1738" s="1" t="n">
        <x:v>1</x:v>
      </x:c>
      <x:c r="K1738" s="1" t="str">
        <x:v>搜狐/腾讯</x:v>
      </x:c>
    </x:row>
    <x:row r="1739" ht="25" customHeight="1">
      <x:c r="A1739" s="1" t="str">
        <x:v>sz399001</x:v>
      </x:c>
      <x:c r="B1739" s="1" t="str">
        <x:v>深证成指</x:v>
      </x:c>
      <x:c r="C1739" s="1" t="str">
        <x:v>1998-08</x:v>
      </x:c>
      <x:c r="D1739" s="1" t="str">
        <x:v>1998-07-31</x:v>
      </x:c>
      <x:c r="E1739" s="5" t="n">
        <x:v>3744.01</x:v>
      </x:c>
      <x:c r="F1739" s="6" t="str">
        <x:v>1998-08-31</x:v>
      </x:c>
      <x:c r="G1739" s="5" t="n">
        <x:v>3255.5</x:v>
      </x:c>
      <x:c r="H1739" s="7" t="n">
        <x:f>G1739/E1739-1</x:f>
        <x:v>-0.13047774979233495</x:v>
      </x:c>
      <x:c r="I1739" s="1" t="n">
        <x:v>1</x:v>
      </x:c>
      <x:c r="J1739" s="1" t="n">
        <x:v>1</x:v>
      </x:c>
      <x:c r="K1739" s="1" t="str">
        <x:v>搜狐/腾讯</x:v>
      </x:c>
    </x:row>
    <x:row r="1740" ht="25" customHeight="1">
      <x:c r="A1740" s="1" t="str">
        <x:v>sz399001</x:v>
      </x:c>
      <x:c r="B1740" s="1" t="str">
        <x:v>深证成指</x:v>
      </x:c>
      <x:c r="C1740" s="1" t="str">
        <x:v>1998-09</x:v>
      </x:c>
      <x:c r="D1740" s="1" t="str">
        <x:v>1998-08-31</x:v>
      </x:c>
      <x:c r="E1740" s="5" t="n">
        <x:v>3255.5</x:v>
      </x:c>
      <x:c r="F1740" s="6" t="str">
        <x:v>1998-09-30</x:v>
      </x:c>
      <x:c r="G1740" s="5" t="n">
        <x:v>3283.37</x:v>
      </x:c>
      <x:c r="H1740" s="7" t="n">
        <x:f>G1740/E1740-1</x:f>
        <x:v>0.008560896943633711</x:v>
      </x:c>
      <x:c r="I1740" s="1" t="n">
        <x:v>1</x:v>
      </x:c>
      <x:c r="J1740" s="1" t="n">
        <x:v>1</x:v>
      </x:c>
      <x:c r="K1740" s="1" t="str">
        <x:v>搜狐/腾讯</x:v>
      </x:c>
    </x:row>
    <x:row r="1741" ht="25" customHeight="1">
      <x:c r="A1741" s="1" t="str">
        <x:v>sz399001</x:v>
      </x:c>
      <x:c r="B1741" s="1" t="str">
        <x:v>深证成指</x:v>
      </x:c>
      <x:c r="C1741" s="1" t="str">
        <x:v>1998-10</x:v>
      </x:c>
      <x:c r="D1741" s="1" t="str">
        <x:v>1998-09-30</x:v>
      </x:c>
      <x:c r="E1741" s="5" t="n">
        <x:v>3283.37</x:v>
      </x:c>
      <x:c r="F1741" s="6" t="str">
        <x:v>1998-10-30</x:v>
      </x:c>
      <x:c r="G1741" s="5" t="n">
        <x:v>3112.54</x:v>
      </x:c>
      <x:c r="H1741" s="7" t="n">
        <x:f>G1741/E1741-1</x:f>
        <x:v>-0.05202886059140455</x:v>
      </x:c>
      <x:c r="I1741" s="1" t="n">
        <x:v>1</x:v>
      </x:c>
      <x:c r="J1741" s="1" t="n">
        <x:v>1</x:v>
      </x:c>
      <x:c r="K1741" s="1" t="str">
        <x:v>搜狐/腾讯</x:v>
      </x:c>
    </x:row>
    <x:row r="1742" ht="25" customHeight="1">
      <x:c r="A1742" s="1" t="str">
        <x:v>sz399001</x:v>
      </x:c>
      <x:c r="B1742" s="1" t="str">
        <x:v>深证成指</x:v>
      </x:c>
      <x:c r="C1742" s="1" t="str">
        <x:v>1998-11</x:v>
      </x:c>
      <x:c r="D1742" s="1" t="str">
        <x:v>1998-10-30</x:v>
      </x:c>
      <x:c r="E1742" s="5" t="n">
        <x:v>3112.54</x:v>
      </x:c>
      <x:c r="F1742" s="6" t="str">
        <x:v>1998-11-30</x:v>
      </x:c>
      <x:c r="G1742" s="5" t="n">
        <x:v>3201.3</x:v>
      </x:c>
      <x:c r="H1742" s="7" t="n">
        <x:f>G1742/E1742-1</x:f>
        <x:v>0.028516902594023064</x:v>
      </x:c>
      <x:c r="I1742" s="1" t="n">
        <x:v>1</x:v>
      </x:c>
      <x:c r="J1742" s="1" t="n">
        <x:v>1</x:v>
      </x:c>
      <x:c r="K1742" s="1" t="str">
        <x:v>搜狐/腾讯</x:v>
      </x:c>
    </x:row>
    <x:row r="1743" ht="25" customHeight="1">
      <x:c r="A1743" s="1" t="str">
        <x:v>sz399001</x:v>
      </x:c>
      <x:c r="B1743" s="1" t="str">
        <x:v>深证成指</x:v>
      </x:c>
      <x:c r="C1743" s="1" t="str">
        <x:v>1998-12</x:v>
      </x:c>
      <x:c r="D1743" s="1" t="str">
        <x:v>1998-11-30</x:v>
      </x:c>
      <x:c r="E1743" s="5" t="n">
        <x:v>3201.3</x:v>
      </x:c>
      <x:c r="F1743" s="6" t="str">
        <x:v>1998-12-31</x:v>
      </x:c>
      <x:c r="G1743" s="5" t="n">
        <x:v>2949.32</x:v>
      </x:c>
      <x:c r="H1743" s="7" t="n">
        <x:f>G1743/E1743-1</x:f>
        <x:v>-0.0787117733420798</x:v>
      </x:c>
      <x:c r="I1743" s="1" t="n">
        <x:v>1</x:v>
      </x:c>
      <x:c r="J1743" s="1" t="n">
        <x:v>1</x:v>
      </x:c>
      <x:c r="K1743" s="1" t="str">
        <x:v>搜狐/腾讯</x:v>
      </x:c>
    </x:row>
    <x:row r="1744" ht="25" customHeight="1">
      <x:c r="A1744" s="1" t="str">
        <x:v>sz399001</x:v>
      </x:c>
      <x:c r="B1744" s="1" t="str">
        <x:v>深证成指</x:v>
      </x:c>
      <x:c r="C1744" s="1" t="str">
        <x:v>1999-01</x:v>
      </x:c>
      <x:c r="D1744" s="1" t="str">
        <x:v>1998-12-31</x:v>
      </x:c>
      <x:c r="E1744" s="5" t="n">
        <x:v>2949.32</x:v>
      </x:c>
      <x:c r="F1744" s="6" t="str">
        <x:v>1999-01-29</x:v>
      </x:c>
      <x:c r="G1744" s="5" t="n">
        <x:v>2920.39</x:v>
      </x:c>
      <x:c r="H1744" s="7" t="n">
        <x:f>G1744/E1744-1</x:f>
        <x:v>-0.009809040728032348</x:v>
      </x:c>
      <x:c r="I1744" s="1" t="n">
        <x:v>1</x:v>
      </x:c>
      <x:c r="J1744" s="1" t="n">
        <x:v>1</x:v>
      </x:c>
      <x:c r="K1744" s="1" t="str">
        <x:v>搜狐/腾讯</x:v>
      </x:c>
    </x:row>
    <x:row r="1745" ht="25" customHeight="1">
      <x:c r="A1745" s="1" t="str">
        <x:v>sz399001</x:v>
      </x:c>
      <x:c r="B1745" s="1" t="str">
        <x:v>深证成指</x:v>
      </x:c>
      <x:c r="C1745" s="1" t="str">
        <x:v>1999-02</x:v>
      </x:c>
      <x:c r="D1745" s="1" t="str">
        <x:v>1999-01-29</x:v>
      </x:c>
      <x:c r="E1745" s="5" t="n">
        <x:v>2920.39</x:v>
      </x:c>
      <x:c r="F1745" s="6" t="str">
        <x:v>1999-02-09</x:v>
      </x:c>
      <x:c r="G1745" s="5" t="n">
        <x:v>2755.3</x:v>
      </x:c>
      <x:c r="H1745" s="7" t="n">
        <x:f>G1745/E1745-1</x:f>
        <x:v>-0.056530120976992726</x:v>
      </x:c>
      <x:c r="I1745" s="1" t="n">
        <x:v>1</x:v>
      </x:c>
      <x:c r="J1745" s="1" t="n">
        <x:v>1</x:v>
      </x:c>
      <x:c r="K1745" s="1" t="str">
        <x:v>搜狐/腾讯</x:v>
      </x:c>
    </x:row>
    <x:row r="1746" ht="25" customHeight="1">
      <x:c r="A1746" s="1" t="str">
        <x:v>sz399001</x:v>
      </x:c>
      <x:c r="B1746" s="1" t="str">
        <x:v>深证成指</x:v>
      </x:c>
      <x:c r="C1746" s="1" t="str">
        <x:v>1999-03</x:v>
      </x:c>
      <x:c r="D1746" s="1" t="str">
        <x:v>1999-02-09</x:v>
      </x:c>
      <x:c r="E1746" s="5" t="n">
        <x:v>2755.3</x:v>
      </x:c>
      <x:c r="F1746" s="6" t="str">
        <x:v>1999-03-31</x:v>
      </x:c>
      <x:c r="G1746" s="5" t="n">
        <x:v>2872.15</x:v>
      </x:c>
      <x:c r="H1746" s="7" t="n">
        <x:f>G1746/E1746-1</x:f>
        <x:v>0.042409175044459735</x:v>
      </x:c>
      <x:c r="I1746" s="1" t="n">
        <x:v>1</x:v>
      </x:c>
      <x:c r="J1746" s="1" t="n">
        <x:v>1</x:v>
      </x:c>
      <x:c r="K1746" s="1" t="str">
        <x:v>搜狐/腾讯</x:v>
      </x:c>
    </x:row>
    <x:row r="1747" ht="25" customHeight="1">
      <x:c r="A1747" s="1" t="str">
        <x:v>sz399001</x:v>
      </x:c>
      <x:c r="B1747" s="1" t="str">
        <x:v>深证成指</x:v>
      </x:c>
      <x:c r="C1747" s="1" t="str">
        <x:v>1999-04</x:v>
      </x:c>
      <x:c r="D1747" s="1" t="str">
        <x:v>1999-03-31</x:v>
      </x:c>
      <x:c r="E1747" s="5" t="n">
        <x:v>2872.15</x:v>
      </x:c>
      <x:c r="F1747" s="6" t="str">
        <x:v>1999-04-30</x:v>
      </x:c>
      <x:c r="G1747" s="5" t="n">
        <x:v>2793.46</x:v>
      </x:c>
      <x:c r="H1747" s="7" t="n">
        <x:f>G1747/E1747-1</x:f>
        <x:v>-0.027397594136796544</x:v>
      </x:c>
      <x:c r="I1747" s="1" t="n">
        <x:v>1</x:v>
      </x:c>
      <x:c r="J1747" s="1" t="n">
        <x:v>1</x:v>
      </x:c>
      <x:c r="K1747" s="1" t="str">
        <x:v>搜狐/腾讯</x:v>
      </x:c>
    </x:row>
    <x:row r="1748" ht="25" customHeight="1">
      <x:c r="A1748" s="1" t="str">
        <x:v>sz399001</x:v>
      </x:c>
      <x:c r="B1748" s="1" t="str">
        <x:v>深证成指</x:v>
      </x:c>
      <x:c r="C1748" s="1" t="str">
        <x:v>1999-05</x:v>
      </x:c>
      <x:c r="D1748" s="1" t="str">
        <x:v>1999-04-30</x:v>
      </x:c>
      <x:c r="E1748" s="5" t="n">
        <x:v>2793.46</x:v>
      </x:c>
      <x:c r="F1748" s="6" t="str">
        <x:v>1999-05-31</x:v>
      </x:c>
      <x:c r="G1748" s="5" t="n">
        <x:v>3270.35</x:v>
      </x:c>
      <x:c r="H1748" s="7" t="n">
        <x:f>G1748/E1748-1</x:f>
        <x:v>0.17071660234977415</x:v>
      </x:c>
      <x:c r="I1748" s="1" t="n">
        <x:v>1</x:v>
      </x:c>
      <x:c r="J1748" s="1" t="n">
        <x:v>1</x:v>
      </x:c>
      <x:c r="K1748" s="1" t="str">
        <x:v>搜狐/腾讯</x:v>
      </x:c>
    </x:row>
    <x:row r="1749" ht="25" customHeight="1">
      <x:c r="A1749" s="1" t="str">
        <x:v>sz399001</x:v>
      </x:c>
      <x:c r="B1749" s="1" t="str">
        <x:v>深证成指</x:v>
      </x:c>
      <x:c r="C1749" s="1" t="str">
        <x:v>1999-06</x:v>
      </x:c>
      <x:c r="D1749" s="1" t="str">
        <x:v>1999-05-31</x:v>
      </x:c>
      <x:c r="E1749" s="5" t="n">
        <x:v>3270.35</x:v>
      </x:c>
      <x:c r="F1749" s="6" t="str">
        <x:v>1999-06-30</x:v>
      </x:c>
      <x:c r="G1749" s="5" t="n">
        <x:v>4702.77</x:v>
      </x:c>
      <x:c r="H1749" s="7" t="n">
        <x:f>G1749/E1749-1</x:f>
        <x:v>0.43800204871038284</x:v>
      </x:c>
      <x:c r="I1749" s="1" t="n">
        <x:v>1</x:v>
      </x:c>
      <x:c r="J1749" s="1" t="n">
        <x:v>1</x:v>
      </x:c>
      <x:c r="K1749" s="1" t="str">
        <x:v>搜狐/腾讯</x:v>
      </x:c>
    </x:row>
    <x:row r="1750" ht="25" customHeight="1">
      <x:c r="A1750" s="1" t="str">
        <x:v>sz399001</x:v>
      </x:c>
      <x:c r="B1750" s="1" t="str">
        <x:v>深证成指</x:v>
      </x:c>
      <x:c r="C1750" s="1" t="str">
        <x:v>1999-07</x:v>
      </x:c>
      <x:c r="D1750" s="1" t="str">
        <x:v>1999-06-30</x:v>
      </x:c>
      <x:c r="E1750" s="5" t="n">
        <x:v>4702.77</x:v>
      </x:c>
      <x:c r="F1750" s="6" t="str">
        <x:v>1999-07-30</x:v>
      </x:c>
      <x:c r="G1750" s="5" t="n">
        <x:v>4045.35</x:v>
      </x:c>
      <x:c r="H1750" s="7" t="n">
        <x:f>G1750/E1750-1</x:f>
        <x:v>-0.13979420639325346</x:v>
      </x:c>
      <x:c r="I1750" s="1" t="n">
        <x:v>1</x:v>
      </x:c>
      <x:c r="J1750" s="1" t="n">
        <x:v>1</x:v>
      </x:c>
      <x:c r="K1750" s="1" t="str">
        <x:v>搜狐/腾讯</x:v>
      </x:c>
    </x:row>
    <x:row r="1751" ht="25" customHeight="1">
      <x:c r="A1751" s="1" t="str">
        <x:v>sz399001</x:v>
      </x:c>
      <x:c r="B1751" s="1" t="str">
        <x:v>深证成指</x:v>
      </x:c>
      <x:c r="C1751" s="1" t="str">
        <x:v>1999-08</x:v>
      </x:c>
      <x:c r="D1751" s="1" t="str">
        <x:v>1999-07-30</x:v>
      </x:c>
      <x:c r="E1751" s="5" t="n">
        <x:v>4045.35</x:v>
      </x:c>
      <x:c r="F1751" s="6" t="str">
        <x:v>1999-08-31</x:v>
      </x:c>
      <x:c r="G1751" s="5" t="n">
        <x:v>4154.2</x:v>
      </x:c>
      <x:c r="H1751" s="7" t="n">
        <x:f>G1751/E1751-1</x:f>
        <x:v>0.026907436933763407</x:v>
      </x:c>
      <x:c r="I1751" s="1" t="n">
        <x:v>1</x:v>
      </x:c>
      <x:c r="J1751" s="1" t="n">
        <x:v>1</x:v>
      </x:c>
      <x:c r="K1751" s="1" t="str">
        <x:v>搜狐/腾讯</x:v>
      </x:c>
    </x:row>
    <x:row r="1752" ht="25" customHeight="1">
      <x:c r="A1752" s="1" t="str">
        <x:v>sz399001</x:v>
      </x:c>
      <x:c r="B1752" s="1" t="str">
        <x:v>深证成指</x:v>
      </x:c>
      <x:c r="C1752" s="1" t="str">
        <x:v>1999-09</x:v>
      </x:c>
      <x:c r="D1752" s="1" t="str">
        <x:v>1999-08-31</x:v>
      </x:c>
      <x:c r="E1752" s="5" t="n">
        <x:v>4154.2</x:v>
      </x:c>
      <x:c r="F1752" s="6" t="str">
        <x:v>1999-09-30</x:v>
      </x:c>
      <x:c r="G1752" s="5" t="n">
        <x:v>3967.84</x:v>
      </x:c>
      <x:c r="H1752" s="7" t="n">
        <x:f>G1752/E1752-1</x:f>
        <x:v>-0.04486062298396798</x:v>
      </x:c>
      <x:c r="I1752" s="1" t="n">
        <x:v>1</x:v>
      </x:c>
      <x:c r="J1752" s="1" t="n">
        <x:v>1</x:v>
      </x:c>
      <x:c r="K1752" s="1" t="str">
        <x:v>搜狐/腾讯</x:v>
      </x:c>
    </x:row>
    <x:row r="1753" ht="25" customHeight="1">
      <x:c r="A1753" s="1" t="str">
        <x:v>sz399001</x:v>
      </x:c>
      <x:c r="B1753" s="1" t="str">
        <x:v>深证成指</x:v>
      </x:c>
      <x:c r="C1753" s="1" t="str">
        <x:v>1999-10</x:v>
      </x:c>
      <x:c r="D1753" s="1" t="str">
        <x:v>1999-09-30</x:v>
      </x:c>
      <x:c r="E1753" s="5" t="n">
        <x:v>3967.84</x:v>
      </x:c>
      <x:c r="F1753" s="6" t="str">
        <x:v>1999-10-29</x:v>
      </x:c>
      <x:c r="G1753" s="5" t="n">
        <x:v>3742.01</x:v>
      </x:c>
      <x:c r="H1753" s="7" t="n">
        <x:f>G1753/E1753-1</x:f>
        <x:v>-0.05691509738295897</x:v>
      </x:c>
      <x:c r="I1753" s="1" t="n">
        <x:v>1</x:v>
      </x:c>
      <x:c r="J1753" s="1" t="n">
        <x:v>1</x:v>
      </x:c>
      <x:c r="K1753" s="1" t="str">
        <x:v>搜狐/腾讯</x:v>
      </x:c>
    </x:row>
    <x:row r="1754" ht="25" customHeight="1">
      <x:c r="A1754" s="1" t="str">
        <x:v>sz399001</x:v>
      </x:c>
      <x:c r="B1754" s="1" t="str">
        <x:v>深证成指</x:v>
      </x:c>
      <x:c r="C1754" s="1" t="str">
        <x:v>1999-11</x:v>
      </x:c>
      <x:c r="D1754" s="1" t="str">
        <x:v>1999-10-29</x:v>
      </x:c>
      <x:c r="E1754" s="5" t="n">
        <x:v>3742.01</x:v>
      </x:c>
      <x:c r="F1754" s="6" t="str">
        <x:v>1999-11-30</x:v>
      </x:c>
      <x:c r="G1754" s="5" t="n">
        <x:v>3533.98</x:v>
      </x:c>
      <x:c r="H1754" s="7" t="n">
        <x:f>G1754/E1754-1</x:f>
        <x:v>-0.05559311706809977</x:v>
      </x:c>
      <x:c r="I1754" s="1" t="n">
        <x:v>1</x:v>
      </x:c>
      <x:c r="J1754" s="1" t="n">
        <x:v>1</x:v>
      </x:c>
      <x:c r="K1754" s="1" t="str">
        <x:v>搜狐/腾讯</x:v>
      </x:c>
    </x:row>
    <x:row r="1755" ht="25" customHeight="1">
      <x:c r="A1755" s="1" t="str">
        <x:v>sz399001</x:v>
      </x:c>
      <x:c r="B1755" s="1" t="str">
        <x:v>深证成指</x:v>
      </x:c>
      <x:c r="C1755" s="1" t="str">
        <x:v>1999-12</x:v>
      </x:c>
      <x:c r="D1755" s="1" t="str">
        <x:v>1999-11-30</x:v>
      </x:c>
      <x:c r="E1755" s="5" t="n">
        <x:v>3533.98</x:v>
      </x:c>
      <x:c r="F1755" s="6" t="str">
        <x:v>1999-12-30</x:v>
      </x:c>
      <x:c r="G1755" s="5" t="n">
        <x:v>3369.61</x:v>
      </x:c>
      <x:c r="H1755" s="7" t="n">
        <x:f>G1755/E1755-1</x:f>
        <x:v>-0.04651129887548877</x:v>
      </x:c>
      <x:c r="I1755" s="1" t="n">
        <x:v>1</x:v>
      </x:c>
      <x:c r="J1755" s="1" t="n">
        <x:v>1</x:v>
      </x:c>
      <x:c r="K1755" s="1" t="str">
        <x:v>搜狐/腾讯</x:v>
      </x:c>
    </x:row>
    <x:row r="1756" ht="25" customHeight="1">
      <x:c r="A1756" s="1" t="str">
        <x:v>sz399001</x:v>
      </x:c>
      <x:c r="B1756" s="1" t="str">
        <x:v>深证成指</x:v>
      </x:c>
      <x:c r="C1756" s="1" t="str">
        <x:v>2000-01</x:v>
      </x:c>
      <x:c r="D1756" s="1" t="str">
        <x:v>1999-12-30</x:v>
      </x:c>
      <x:c r="E1756" s="5" t="n">
        <x:v>3369.61</x:v>
      </x:c>
      <x:c r="F1756" s="6" t="str">
        <x:v>2000-01-28</x:v>
      </x:c>
      <x:c r="G1756" s="5" t="n">
        <x:v>3952.41</x:v>
      </x:c>
      <x:c r="H1756" s="7" t="n">
        <x:f>G1756/E1756-1</x:f>
        <x:v>0.17295770133635635</x:v>
      </x:c>
      <x:c r="I1756" s="1" t="n">
        <x:v>1</x:v>
      </x:c>
      <x:c r="J1756" s="1" t="n">
        <x:v>1</x:v>
      </x:c>
      <x:c r="K1756" s="1" t="str">
        <x:v>搜狐/腾讯</x:v>
      </x:c>
    </x:row>
    <x:row r="1757" ht="25" customHeight="1">
      <x:c r="A1757" s="1" t="str">
        <x:v>sz399001</x:v>
      </x:c>
      <x:c r="B1757" s="1" t="str">
        <x:v>深证成指</x:v>
      </x:c>
      <x:c r="C1757" s="1" t="str">
        <x:v>2000-02</x:v>
      </x:c>
      <x:c r="D1757" s="1" t="str">
        <x:v>2000-01-28</x:v>
      </x:c>
      <x:c r="E1757" s="5" t="n">
        <x:v>3952.41</x:v>
      </x:c>
      <x:c r="F1757" s="6" t="str">
        <x:v>2000-02-29</x:v>
      </x:c>
      <x:c r="G1757" s="5" t="n">
        <x:v>4484.16</x:v>
      </x:c>
      <x:c r="H1757" s="7" t="n">
        <x:f>G1757/E1757-1</x:f>
        <x:v>0.13453816785201944</x:v>
      </x:c>
      <x:c r="I1757" s="1" t="n">
        <x:v>1</x:v>
      </x:c>
      <x:c r="J1757" s="1" t="n">
        <x:v>1</x:v>
      </x:c>
      <x:c r="K1757" s="1" t="str">
        <x:v>搜狐/腾讯</x:v>
      </x:c>
    </x:row>
    <x:row r="1758" ht="25" customHeight="1">
      <x:c r="A1758" s="1" t="str">
        <x:v>sz399001</x:v>
      </x:c>
      <x:c r="B1758" s="1" t="str">
        <x:v>深证成指</x:v>
      </x:c>
      <x:c r="C1758" s="1" t="str">
        <x:v>2000-03</x:v>
      </x:c>
      <x:c r="D1758" s="1" t="str">
        <x:v>2000-02-29</x:v>
      </x:c>
      <x:c r="E1758" s="5" t="n">
        <x:v>4484.16</x:v>
      </x:c>
      <x:c r="F1758" s="6" t="str">
        <x:v>2000-03-31</x:v>
      </x:c>
      <x:c r="G1758" s="5" t="n">
        <x:v>4532.31</x:v>
      </x:c>
      <x:c r="H1758" s="7" t="n">
        <x:f>G1758/E1758-1</x:f>
        <x:v>0.010737797045600628</x:v>
      </x:c>
      <x:c r="I1758" s="1" t="n">
        <x:v>1</x:v>
      </x:c>
      <x:c r="J1758" s="1" t="n">
        <x:v>1</x:v>
      </x:c>
      <x:c r="K1758" s="1" t="str">
        <x:v>搜狐/腾讯</x:v>
      </x:c>
    </x:row>
    <x:row r="1759" ht="25" customHeight="1">
      <x:c r="A1759" s="1" t="str">
        <x:v>sz399001</x:v>
      </x:c>
      <x:c r="B1759" s="1" t="str">
        <x:v>深证成指</x:v>
      </x:c>
      <x:c r="C1759" s="1" t="str">
        <x:v>2000-04</x:v>
      </x:c>
      <x:c r="D1759" s="1" t="str">
        <x:v>2000-03-31</x:v>
      </x:c>
      <x:c r="E1759" s="5" t="n">
        <x:v>4532.31</x:v>
      </x:c>
      <x:c r="F1759" s="6" t="str">
        <x:v>2000-04-28</x:v>
      </x:c>
      <x:c r="G1759" s="5" t="n">
        <x:v>4683.17</x:v>
      </x:c>
      <x:c r="H1759" s="7" t="n">
        <x:f>G1759/E1759-1</x:f>
        <x:v>0.033285454878417386</x:v>
      </x:c>
      <x:c r="I1759" s="1" t="n">
        <x:v>1</x:v>
      </x:c>
      <x:c r="J1759" s="1" t="n">
        <x:v>1</x:v>
      </x:c>
      <x:c r="K1759" s="1" t="str">
        <x:v>搜狐/腾讯</x:v>
      </x:c>
    </x:row>
    <x:row r="1760" ht="25" customHeight="1">
      <x:c r="A1760" s="1" t="str">
        <x:v>sz399001</x:v>
      </x:c>
      <x:c r="B1760" s="1" t="str">
        <x:v>深证成指</x:v>
      </x:c>
      <x:c r="C1760" s="1" t="str">
        <x:v>2000-05</x:v>
      </x:c>
      <x:c r="D1760" s="1" t="str">
        <x:v>2000-04-28</x:v>
      </x:c>
      <x:c r="E1760" s="5" t="n">
        <x:v>4683.17</x:v>
      </x:c>
      <x:c r="F1760" s="6" t="str">
        <x:v>2000-05-31</x:v>
      </x:c>
      <x:c r="G1760" s="5" t="n">
        <x:v>4643.16</x:v>
      </x:c>
      <x:c r="H1760" s="7" t="n">
        <x:f>G1760/E1760-1</x:f>
        <x:v>-0.00854335845164711</x:v>
      </x:c>
      <x:c r="I1760" s="1" t="n">
        <x:v>1</x:v>
      </x:c>
      <x:c r="J1760" s="1" t="n">
        <x:v>1</x:v>
      </x:c>
      <x:c r="K1760" s="1" t="str">
        <x:v>搜狐/腾讯</x:v>
      </x:c>
    </x:row>
    <x:row r="1761" ht="25" customHeight="1">
      <x:c r="A1761" s="1" t="str">
        <x:v>sz399001</x:v>
      </x:c>
      <x:c r="B1761" s="1" t="str">
        <x:v>深证成指</x:v>
      </x:c>
      <x:c r="C1761" s="1" t="str">
        <x:v>2000-06</x:v>
      </x:c>
      <x:c r="D1761" s="1" t="str">
        <x:v>2000-05-31</x:v>
      </x:c>
      <x:c r="E1761" s="5" t="n">
        <x:v>4643.16</x:v>
      </x:c>
      <x:c r="F1761" s="6" t="str">
        <x:v>2000-06-30</x:v>
      </x:c>
      <x:c r="G1761" s="5" t="n">
        <x:v>4830.67</x:v>
      </x:c>
      <x:c r="H1761" s="7" t="n">
        <x:f>G1761/E1761-1</x:f>
        <x:v>0.040384134942582195</x:v>
      </x:c>
      <x:c r="I1761" s="1" t="n">
        <x:v>1</x:v>
      </x:c>
      <x:c r="J1761" s="1" t="n">
        <x:v>1</x:v>
      </x:c>
      <x:c r="K1761" s="1" t="str">
        <x:v>搜狐/腾讯</x:v>
      </x:c>
    </x:row>
    <x:row r="1762" ht="25" customHeight="1">
      <x:c r="A1762" s="1" t="str">
        <x:v>sz399001</x:v>
      </x:c>
      <x:c r="B1762" s="1" t="str">
        <x:v>深证成指</x:v>
      </x:c>
      <x:c r="C1762" s="1" t="str">
        <x:v>2000-07</x:v>
      </x:c>
      <x:c r="D1762" s="1" t="str">
        <x:v>2000-06-30</x:v>
      </x:c>
      <x:c r="E1762" s="5" t="n">
        <x:v>4830.67</x:v>
      </x:c>
      <x:c r="F1762" s="6" t="str">
        <x:v>2000-07-31</x:v>
      </x:c>
      <x:c r="G1762" s="5" t="n">
        <x:v>4894.13</x:v>
      </x:c>
      <x:c r="H1762" s="7" t="n">
        <x:f>G1762/E1762-1</x:f>
        <x:v>0.013136894054033954</x:v>
      </x:c>
      <x:c r="I1762" s="1" t="n">
        <x:v>1</x:v>
      </x:c>
      <x:c r="J1762" s="1" t="n">
        <x:v>1</x:v>
      </x:c>
      <x:c r="K1762" s="1" t="str">
        <x:v>搜狐/腾讯</x:v>
      </x:c>
    </x:row>
    <x:row r="1763" ht="25" customHeight="1">
      <x:c r="A1763" s="1" t="str">
        <x:v>sz399001</x:v>
      </x:c>
      <x:c r="B1763" s="1" t="str">
        <x:v>深证成指</x:v>
      </x:c>
      <x:c r="C1763" s="1" t="str">
        <x:v>2000-08</x:v>
      </x:c>
      <x:c r="D1763" s="1" t="str">
        <x:v>2000-07-31</x:v>
      </x:c>
      <x:c r="E1763" s="5" t="n">
        <x:v>4894.13</x:v>
      </x:c>
      <x:c r="F1763" s="6" t="str">
        <x:v>2000-08-31</x:v>
      </x:c>
      <x:c r="G1763" s="5" t="n">
        <x:v>4826.3</x:v>
      </x:c>
      <x:c r="H1763" s="7" t="n">
        <x:f>G1763/E1763-1</x:f>
        <x:v>-0.013859460210496999</x:v>
      </x:c>
      <x:c r="I1763" s="1" t="n">
        <x:v>1</x:v>
      </x:c>
      <x:c r="J1763" s="1" t="n">
        <x:v>1</x:v>
      </x:c>
      <x:c r="K1763" s="1" t="str">
        <x:v>搜狐/腾讯</x:v>
      </x:c>
    </x:row>
    <x:row r="1764" ht="25" customHeight="1">
      <x:c r="A1764" s="1" t="str">
        <x:v>sz399001</x:v>
      </x:c>
      <x:c r="B1764" s="1" t="str">
        <x:v>深证成指</x:v>
      </x:c>
      <x:c r="C1764" s="1" t="str">
        <x:v>2000-09</x:v>
      </x:c>
      <x:c r="D1764" s="1" t="str">
        <x:v>2000-08-31</x:v>
      </x:c>
      <x:c r="E1764" s="5" t="n">
        <x:v>4826.3</x:v>
      </x:c>
      <x:c r="F1764" s="6" t="str">
        <x:v>2000-09-29</x:v>
      </x:c>
      <x:c r="G1764" s="5" t="n">
        <x:v>4523.66</x:v>
      </x:c>
      <x:c r="H1764" s="7" t="n">
        <x:f>G1764/E1764-1</x:f>
        <x:v>-0.06270642106789892</x:v>
      </x:c>
      <x:c r="I1764" s="1" t="n">
        <x:v>1</x:v>
      </x:c>
      <x:c r="J1764" s="1" t="n">
        <x:v>1</x:v>
      </x:c>
      <x:c r="K1764" s="1" t="str">
        <x:v>搜狐/腾讯</x:v>
      </x:c>
    </x:row>
    <x:row r="1765" ht="25" customHeight="1">
      <x:c r="A1765" s="1" t="str">
        <x:v>sz399001</x:v>
      </x:c>
      <x:c r="B1765" s="1" t="str">
        <x:v>深证成指</x:v>
      </x:c>
      <x:c r="C1765" s="1" t="str">
        <x:v>2000-10</x:v>
      </x:c>
      <x:c r="D1765" s="1" t="str">
        <x:v>2000-09-29</x:v>
      </x:c>
      <x:c r="E1765" s="5" t="n">
        <x:v>4523.66</x:v>
      </x:c>
      <x:c r="F1765" s="6" t="str">
        <x:v>2000-10-31</x:v>
      </x:c>
      <x:c r="G1765" s="5" t="n">
        <x:v>4573.22</x:v>
      </x:c>
      <x:c r="H1765" s="7" t="n">
        <x:f>G1765/E1765-1</x:f>
        <x:v>0.010955730536777786</x:v>
      </x:c>
      <x:c r="I1765" s="1" t="n">
        <x:v>1</x:v>
      </x:c>
      <x:c r="J1765" s="1" t="n">
        <x:v>1</x:v>
      </x:c>
      <x:c r="K1765" s="1" t="str">
        <x:v>搜狐/腾讯</x:v>
      </x:c>
    </x:row>
    <x:row r="1766" ht="25" customHeight="1">
      <x:c r="A1766" s="1" t="str">
        <x:v>sz399001</x:v>
      </x:c>
      <x:c r="B1766" s="1" t="str">
        <x:v>深证成指</x:v>
      </x:c>
      <x:c r="C1766" s="1" t="str">
        <x:v>2000-11</x:v>
      </x:c>
      <x:c r="D1766" s="1" t="str">
        <x:v>2000-10-31</x:v>
      </x:c>
      <x:c r="E1766" s="5" t="n">
        <x:v>4573.22</x:v>
      </x:c>
      <x:c r="F1766" s="6" t="str">
        <x:v>2000-11-30</x:v>
      </x:c>
      <x:c r="G1766" s="5" t="n">
        <x:v>4829.99</x:v>
      </x:c>
      <x:c r="H1766" s="7" t="n">
        <x:f>G1766/E1766-1</x:f>
        <x:v>0.056146435115739024</x:v>
      </x:c>
      <x:c r="I1766" s="1" t="n">
        <x:v>1</x:v>
      </x:c>
      <x:c r="J1766" s="1" t="n">
        <x:v>1</x:v>
      </x:c>
      <x:c r="K1766" s="1" t="str">
        <x:v>搜狐/腾讯</x:v>
      </x:c>
    </x:row>
    <x:row r="1767" ht="25" customHeight="1">
      <x:c r="A1767" s="1" t="str">
        <x:v>sz399001</x:v>
      </x:c>
      <x:c r="B1767" s="1" t="str">
        <x:v>深证成指</x:v>
      </x:c>
      <x:c r="C1767" s="1" t="str">
        <x:v>2000-12</x:v>
      </x:c>
      <x:c r="D1767" s="1" t="str">
        <x:v>2000-11-30</x:v>
      </x:c>
      <x:c r="E1767" s="5" t="n">
        <x:v>4829.99</x:v>
      </x:c>
      <x:c r="F1767" s="6" t="str">
        <x:v>2000-12-29</x:v>
      </x:c>
      <x:c r="G1767" s="5" t="n">
        <x:v>4752.75</x:v>
      </x:c>
      <x:c r="H1767" s="7" t="n">
        <x:f>G1767/E1767-1</x:f>
        <x:v>-0.015991751535717413</x:v>
      </x:c>
      <x:c r="I1767" s="1" t="n">
        <x:v>1</x:v>
      </x:c>
      <x:c r="J1767" s="1" t="n">
        <x:v>1</x:v>
      </x:c>
      <x:c r="K1767" s="1" t="str">
        <x:v>搜狐/腾讯</x:v>
      </x:c>
    </x:row>
    <x:row r="1768" ht="25" customHeight="1">
      <x:c r="A1768" s="1" t="str">
        <x:v>sz399001</x:v>
      </x:c>
      <x:c r="B1768" s="1" t="str">
        <x:v>深证成指</x:v>
      </x:c>
      <x:c r="C1768" s="1" t="str">
        <x:v>2001-01</x:v>
      </x:c>
      <x:c r="D1768" s="1" t="str">
        <x:v>2000-12-29</x:v>
      </x:c>
      <x:c r="E1768" s="5" t="n">
        <x:v>4752.75</x:v>
      </x:c>
      <x:c r="F1768" s="6" t="str">
        <x:v>2001-01-19</x:v>
      </x:c>
      <x:c r="G1768" s="5" t="n">
        <x:v>4743.37</x:v>
      </x:c>
      <x:c r="H1768" s="7" t="n">
        <x:f>G1768/E1768-1</x:f>
        <x:v>-0.001973594234916609</x:v>
      </x:c>
      <x:c r="I1768" s="1" t="n">
        <x:v>1</x:v>
      </x:c>
      <x:c r="J1768" s="1" t="n">
        <x:v>1</x:v>
      </x:c>
      <x:c r="K1768" s="1" t="str">
        <x:v>搜狐/腾讯</x:v>
      </x:c>
    </x:row>
    <x:row r="1769" ht="25" customHeight="1">
      <x:c r="A1769" s="1" t="str">
        <x:v>sz399001</x:v>
      </x:c>
      <x:c r="B1769" s="1" t="str">
        <x:v>深证成指</x:v>
      </x:c>
      <x:c r="C1769" s="1" t="str">
        <x:v>2001-02</x:v>
      </x:c>
      <x:c r="D1769" s="1" t="str">
        <x:v>2001-01-19</x:v>
      </x:c>
      <x:c r="E1769" s="5" t="n">
        <x:v>4743.37</x:v>
      </x:c>
      <x:c r="F1769" s="6" t="str">
        <x:v>2001-02-28</x:v>
      </x:c>
      <x:c r="G1769" s="5" t="n">
        <x:v>4453.14</x:v>
      </x:c>
      <x:c r="H1769" s="7" t="n">
        <x:f>G1769/E1769-1</x:f>
        <x:v>-0.06118645604285555</x:v>
      </x:c>
      <x:c r="I1769" s="1" t="n">
        <x:v>1</x:v>
      </x:c>
      <x:c r="J1769" s="1" t="n">
        <x:v>1</x:v>
      </x:c>
      <x:c r="K1769" s="1" t="str">
        <x:v>搜狐/腾讯</x:v>
      </x:c>
    </x:row>
    <x:row r="1770" ht="25" customHeight="1">
      <x:c r="A1770" s="1" t="str">
        <x:v>sz399001</x:v>
      </x:c>
      <x:c r="B1770" s="1" t="str">
        <x:v>深证成指</x:v>
      </x:c>
      <x:c r="C1770" s="1" t="str">
        <x:v>2001-03</x:v>
      </x:c>
      <x:c r="D1770" s="1" t="str">
        <x:v>2001-02-28</x:v>
      </x:c>
      <x:c r="E1770" s="5" t="n">
        <x:v>4453.14</x:v>
      </x:c>
      <x:c r="F1770" s="6" t="str">
        <x:v>2001-03-30</x:v>
      </x:c>
      <x:c r="G1770" s="5" t="n">
        <x:v>4965.99</x:v>
      </x:c>
      <x:c r="H1770" s="7" t="n">
        <x:f>G1770/E1770-1</x:f>
        <x:v>0.11516592786213753</x:v>
      </x:c>
      <x:c r="I1770" s="1" t="n">
        <x:v>1</x:v>
      </x:c>
      <x:c r="J1770" s="1" t="n">
        <x:v>1</x:v>
      </x:c>
      <x:c r="K1770" s="1" t="str">
        <x:v>搜狐/腾讯</x:v>
      </x:c>
    </x:row>
    <x:row r="1771" ht="25" customHeight="1">
      <x:c r="A1771" s="1" t="str">
        <x:v>sz399001</x:v>
      </x:c>
      <x:c r="B1771" s="1" t="str">
        <x:v>深证成指</x:v>
      </x:c>
      <x:c r="C1771" s="1" t="str">
        <x:v>2001-04</x:v>
      </x:c>
      <x:c r="D1771" s="1" t="str">
        <x:v>2001-03-30</x:v>
      </x:c>
      <x:c r="E1771" s="5" t="n">
        <x:v>4965.99</x:v>
      </x:c>
      <x:c r="F1771" s="6" t="str">
        <x:v>2001-04-30</x:v>
      </x:c>
      <x:c r="G1771" s="5" t="n">
        <x:v>4802.59</x:v>
      </x:c>
      <x:c r="H1771" s="7" t="n">
        <x:f>G1771/E1771-1</x:f>
        <x:v>-0.03290381172736945</x:v>
      </x:c>
      <x:c r="I1771" s="1" t="n">
        <x:v>1</x:v>
      </x:c>
      <x:c r="J1771" s="1" t="n">
        <x:v>1</x:v>
      </x:c>
      <x:c r="K1771" s="1" t="str">
        <x:v>搜狐/腾讯</x:v>
      </x:c>
    </x:row>
    <x:row r="1772" ht="25" customHeight="1">
      <x:c r="A1772" s="1" t="str">
        <x:v>sz399001</x:v>
      </x:c>
      <x:c r="B1772" s="1" t="str">
        <x:v>深证成指</x:v>
      </x:c>
      <x:c r="C1772" s="1" t="str">
        <x:v>2001-05</x:v>
      </x:c>
      <x:c r="D1772" s="1" t="str">
        <x:v>2001-04-30</x:v>
      </x:c>
      <x:c r="E1772" s="5" t="n">
        <x:v>4802.59</x:v>
      </x:c>
      <x:c r="F1772" s="6" t="str">
        <x:v>2001-05-31</x:v>
      </x:c>
      <x:c r="G1772" s="5" t="n">
        <x:v>4857.47</x:v>
      </x:c>
      <x:c r="H1772" s="7" t="n">
        <x:f>G1772/E1772-1</x:f>
        <x:v>0.0114271674242441</x:v>
      </x:c>
      <x:c r="I1772" s="1" t="n">
        <x:v>1</x:v>
      </x:c>
      <x:c r="J1772" s="1" t="n">
        <x:v>1</x:v>
      </x:c>
      <x:c r="K1772" s="1" t="str">
        <x:v>搜狐/腾讯</x:v>
      </x:c>
    </x:row>
    <x:row r="1773" ht="25" customHeight="1">
      <x:c r="A1773" s="1" t="str">
        <x:v>sz399001</x:v>
      </x:c>
      <x:c r="B1773" s="1" t="str">
        <x:v>深证成指</x:v>
      </x:c>
      <x:c r="C1773" s="1" t="str">
        <x:v>2001-06</x:v>
      </x:c>
      <x:c r="D1773" s="1" t="str">
        <x:v>2001-05-31</x:v>
      </x:c>
      <x:c r="E1773" s="5" t="n">
        <x:v>4857.47</x:v>
      </x:c>
      <x:c r="F1773" s="6" t="str">
        <x:v>2001-06-29</x:v>
      </x:c>
      <x:c r="G1773" s="5" t="n">
        <x:v>4716.9</x:v>
      </x:c>
      <x:c r="H1773" s="7" t="n">
        <x:f>G1773/E1773-1</x:f>
        <x:v>-0.028938933230673758</x:v>
      </x:c>
      <x:c r="I1773" s="1" t="n">
        <x:v>1</x:v>
      </x:c>
      <x:c r="J1773" s="1" t="n">
        <x:v>1</x:v>
      </x:c>
      <x:c r="K1773" s="1" t="str">
        <x:v>搜狐/腾讯</x:v>
      </x:c>
    </x:row>
    <x:row r="1774" ht="25" customHeight="1">
      <x:c r="A1774" s="1" t="str">
        <x:v>sz399001</x:v>
      </x:c>
      <x:c r="B1774" s="1" t="str">
        <x:v>深证成指</x:v>
      </x:c>
      <x:c r="C1774" s="1" t="str">
        <x:v>2001-07</x:v>
      </x:c>
      <x:c r="D1774" s="1" t="str">
        <x:v>2001-06-29</x:v>
      </x:c>
      <x:c r="E1774" s="5" t="n">
        <x:v>4716.9</x:v>
      </x:c>
      <x:c r="F1774" s="6" t="str">
        <x:v>2001-07-31</x:v>
      </x:c>
      <x:c r="G1774" s="5" t="n">
        <x:v>4059.01</x:v>
      </x:c>
      <x:c r="H1774" s="7" t="n">
        <x:f>G1774/E1774-1</x:f>
        <x:v>-0.13947507897135825</x:v>
      </x:c>
      <x:c r="I1774" s="1" t="n">
        <x:v>1</x:v>
      </x:c>
      <x:c r="J1774" s="1" t="n">
        <x:v>1</x:v>
      </x:c>
      <x:c r="K1774" s="1" t="str">
        <x:v>搜狐/腾讯</x:v>
      </x:c>
    </x:row>
    <x:row r="1775" ht="25" customHeight="1">
      <x:c r="A1775" s="1" t="str">
        <x:v>sz399001</x:v>
      </x:c>
      <x:c r="B1775" s="1" t="str">
        <x:v>深证成指</x:v>
      </x:c>
      <x:c r="C1775" s="1" t="str">
        <x:v>2001-08</x:v>
      </x:c>
      <x:c r="D1775" s="1" t="str">
        <x:v>2001-07-31</x:v>
      </x:c>
      <x:c r="E1775" s="5" t="n">
        <x:v>4059.01</x:v>
      </x:c>
      <x:c r="F1775" s="6" t="str">
        <x:v>2001-08-31</x:v>
      </x:c>
      <x:c r="G1775" s="5" t="n">
        <x:v>3860.22</x:v>
      </x:c>
      <x:c r="H1775" s="7" t="n">
        <x:f>G1775/E1775-1</x:f>
        <x:v>-0.048974996366109025</x:v>
      </x:c>
      <x:c r="I1775" s="1" t="n">
        <x:v>1</x:v>
      </x:c>
      <x:c r="J1775" s="1" t="n">
        <x:v>1</x:v>
      </x:c>
      <x:c r="K1775" s="1" t="str">
        <x:v>搜狐/腾讯</x:v>
      </x:c>
    </x:row>
    <x:row r="1776" ht="25" customHeight="1">
      <x:c r="A1776" s="1" t="str">
        <x:v>sz399001</x:v>
      </x:c>
      <x:c r="B1776" s="1" t="str">
        <x:v>深证成指</x:v>
      </x:c>
      <x:c r="C1776" s="1" t="str">
        <x:v>2001-09</x:v>
      </x:c>
      <x:c r="D1776" s="1" t="str">
        <x:v>2001-08-31</x:v>
      </x:c>
      <x:c r="E1776" s="5" t="n">
        <x:v>3860.22</x:v>
      </x:c>
      <x:c r="F1776" s="6" t="str">
        <x:v>2001-09-28</x:v>
      </x:c>
      <x:c r="G1776" s="5" t="n">
        <x:v>3498.63</x:v>
      </x:c>
      <x:c r="H1776" s="7" t="n">
        <x:f>G1776/E1776-1</x:f>
        <x:v>-0.09367082705130791</x:v>
      </x:c>
      <x:c r="I1776" s="1" t="n">
        <x:v>1</x:v>
      </x:c>
      <x:c r="J1776" s="1" t="n">
        <x:v>1</x:v>
      </x:c>
      <x:c r="K1776" s="1" t="str">
        <x:v>搜狐/腾讯</x:v>
      </x:c>
    </x:row>
    <x:row r="1777" ht="25" customHeight="1">
      <x:c r="A1777" s="1" t="str">
        <x:v>sz399001</x:v>
      </x:c>
      <x:c r="B1777" s="1" t="str">
        <x:v>深证成指</x:v>
      </x:c>
      <x:c r="C1777" s="1" t="str">
        <x:v>2001-10</x:v>
      </x:c>
      <x:c r="D1777" s="1" t="str">
        <x:v>2001-09-28</x:v>
      </x:c>
      <x:c r="E1777" s="5" t="n">
        <x:v>3498.63</x:v>
      </x:c>
      <x:c r="F1777" s="6" t="str">
        <x:v>2001-10-31</x:v>
      </x:c>
      <x:c r="G1777" s="5" t="n">
        <x:v>3438.53</x:v>
      </x:c>
      <x:c r="H1777" s="7" t="n">
        <x:f>G1777/E1777-1</x:f>
        <x:v>-0.01717815259115707</x:v>
      </x:c>
      <x:c r="I1777" s="1" t="n">
        <x:v>1</x:v>
      </x:c>
      <x:c r="J1777" s="1" t="n">
        <x:v>1</x:v>
      </x:c>
      <x:c r="K1777" s="1" t="str">
        <x:v>搜狐/腾讯</x:v>
      </x:c>
    </x:row>
    <x:row r="1778" ht="25" customHeight="1">
      <x:c r="A1778" s="1" t="str">
        <x:v>sz399001</x:v>
      </x:c>
      <x:c r="B1778" s="1" t="str">
        <x:v>深证成指</x:v>
      </x:c>
      <x:c r="C1778" s="1" t="str">
        <x:v>2001-11</x:v>
      </x:c>
      <x:c r="D1778" s="1" t="str">
        <x:v>2001-10-31</x:v>
      </x:c>
      <x:c r="E1778" s="5" t="n">
        <x:v>3438.53</x:v>
      </x:c>
      <x:c r="F1778" s="6" t="str">
        <x:v>2001-11-30</x:v>
      </x:c>
      <x:c r="G1778" s="5" t="n">
        <x:v>3513.75</x:v>
      </x:c>
      <x:c r="H1778" s="7" t="n">
        <x:f>G1778/E1778-1</x:f>
        <x:v>0.021875627084829707</x:v>
      </x:c>
      <x:c r="I1778" s="1" t="n">
        <x:v>1</x:v>
      </x:c>
      <x:c r="J1778" s="1" t="n">
        <x:v>1</x:v>
      </x:c>
      <x:c r="K1778" s="1" t="str">
        <x:v>搜狐/腾讯</x:v>
      </x:c>
    </x:row>
    <x:row r="1779" ht="25" customHeight="1">
      <x:c r="A1779" s="1" t="str">
        <x:v>sz399001</x:v>
      </x:c>
      <x:c r="B1779" s="1" t="str">
        <x:v>深证成指</x:v>
      </x:c>
      <x:c r="C1779" s="1" t="str">
        <x:v>2001-12</x:v>
      </x:c>
      <x:c r="D1779" s="1" t="str">
        <x:v>2001-11-30</x:v>
      </x:c>
      <x:c r="E1779" s="5" t="n">
        <x:v>3513.75</x:v>
      </x:c>
      <x:c r="F1779" s="6" t="str">
        <x:v>2001-12-31</x:v>
      </x:c>
      <x:c r="G1779" s="5" t="n">
        <x:v>3325.66</x:v>
      </x:c>
      <x:c r="H1779" s="7" t="n">
        <x:f>G1779/E1779-1</x:f>
        <x:v>-0.053529704731412386</x:v>
      </x:c>
      <x:c r="I1779" s="1" t="n">
        <x:v>1</x:v>
      </x:c>
      <x:c r="J1779" s="1" t="n">
        <x:v>1</x:v>
      </x:c>
      <x:c r="K1779" s="1" t="str">
        <x:v>搜狐/腾讯</x:v>
      </x:c>
    </x:row>
    <x:row r="1780" ht="25" customHeight="1">
      <x:c r="A1780" s="1" t="str">
        <x:v>sz399001</x:v>
      </x:c>
      <x:c r="B1780" s="1" t="str">
        <x:v>深证成指</x:v>
      </x:c>
      <x:c r="C1780" s="1" t="str">
        <x:v>2002-01</x:v>
      </x:c>
      <x:c r="D1780" s="1" t="str">
        <x:v>2001-12-31</x:v>
      </x:c>
      <x:c r="E1780" s="5" t="n">
        <x:v>3325.66</x:v>
      </x:c>
      <x:c r="F1780" s="6" t="str">
        <x:v>2002-01-31</x:v>
      </x:c>
      <x:c r="G1780" s="5" t="n">
        <x:v>2982.7</x:v>
      </x:c>
      <x:c r="H1780" s="7" t="n">
        <x:f>G1780/E1780-1</x:f>
        <x:v>-0.1031253946585039</x:v>
      </x:c>
      <x:c r="I1780" s="1" t="n">
        <x:v>1</x:v>
      </x:c>
      <x:c r="J1780" s="1" t="n">
        <x:v>1</x:v>
      </x:c>
      <x:c r="K1780" s="1" t="str">
        <x:v>搜狐/腾讯</x:v>
      </x:c>
    </x:row>
    <x:row r="1781" ht="25" customHeight="1">
      <x:c r="A1781" s="1" t="str">
        <x:v>sz399001</x:v>
      </x:c>
      <x:c r="B1781" s="1" t="str">
        <x:v>深证成指</x:v>
      </x:c>
      <x:c r="C1781" s="1" t="str">
        <x:v>2002-02</x:v>
      </x:c>
      <x:c r="D1781" s="1" t="str">
        <x:v>2002-01-31</x:v>
      </x:c>
      <x:c r="E1781" s="5" t="n">
        <x:v>2982.7</x:v>
      </x:c>
      <x:c r="F1781" s="6" t="str">
        <x:v>2002-02-28</x:v>
      </x:c>
      <x:c r="G1781" s="5" t="n">
        <x:v>3029.49</x:v>
      </x:c>
      <x:c r="H1781" s="7" t="n">
        <x:f>G1781/E1781-1</x:f>
        <x:v>0.015687129111207954</x:v>
      </x:c>
      <x:c r="I1781" s="1" t="n">
        <x:v>1</x:v>
      </x:c>
      <x:c r="J1781" s="1" t="n">
        <x:v>1</x:v>
      </x:c>
      <x:c r="K1781" s="1" t="str">
        <x:v>搜狐/腾讯</x:v>
      </x:c>
    </x:row>
    <x:row r="1782" ht="25" customHeight="1">
      <x:c r="A1782" s="1" t="str">
        <x:v>sz399001</x:v>
      </x:c>
      <x:c r="B1782" s="1" t="str">
        <x:v>深证成指</x:v>
      </x:c>
      <x:c r="C1782" s="1" t="str">
        <x:v>2002-03</x:v>
      </x:c>
      <x:c r="D1782" s="1" t="str">
        <x:v>2002-02-28</x:v>
      </x:c>
      <x:c r="E1782" s="5" t="n">
        <x:v>3029.49</x:v>
      </x:c>
      <x:c r="F1782" s="6" t="str">
        <x:v>2002-03-29</x:v>
      </x:c>
      <x:c r="G1782" s="5" t="n">
        <x:v>3173.9</x:v>
      </x:c>
      <x:c r="H1782" s="7" t="n">
        <x:f>G1782/E1782-1</x:f>
        <x:v>0.0476680893483723</x:v>
      </x:c>
      <x:c r="I1782" s="1" t="n">
        <x:v>1</x:v>
      </x:c>
      <x:c r="J1782" s="1" t="n">
        <x:v>1</x:v>
      </x:c>
      <x:c r="K1782" s="1" t="str">
        <x:v>搜狐/腾讯</x:v>
      </x:c>
    </x:row>
    <x:row r="1783" ht="25" customHeight="1">
      <x:c r="A1783" s="1" t="str">
        <x:v>sz399001</x:v>
      </x:c>
      <x:c r="B1783" s="1" t="str">
        <x:v>深证成指</x:v>
      </x:c>
      <x:c r="C1783" s="1" t="str">
        <x:v>2002-04</x:v>
      </x:c>
      <x:c r="D1783" s="1" t="str">
        <x:v>2002-03-29</x:v>
      </x:c>
      <x:c r="E1783" s="5" t="n">
        <x:v>3173.9</x:v>
      </x:c>
      <x:c r="F1783" s="6" t="str">
        <x:v>2002-04-30</x:v>
      </x:c>
      <x:c r="G1783" s="5" t="n">
        <x:v>3253.46</x:v>
      </x:c>
      <x:c r="H1783" s="7" t="n">
        <x:f>G1783/E1783-1</x:f>
        <x:v>0.02506695232994116</x:v>
      </x:c>
      <x:c r="I1783" s="1" t="n">
        <x:v>1</x:v>
      </x:c>
      <x:c r="J1783" s="1" t="n">
        <x:v>1</x:v>
      </x:c>
      <x:c r="K1783" s="1" t="str">
        <x:v>搜狐/腾讯</x:v>
      </x:c>
    </x:row>
    <x:row r="1784" ht="25" customHeight="1">
      <x:c r="A1784" s="1" t="str">
        <x:v>sz399001</x:v>
      </x:c>
      <x:c r="B1784" s="1" t="str">
        <x:v>深证成指</x:v>
      </x:c>
      <x:c r="C1784" s="1" t="str">
        <x:v>2002-05</x:v>
      </x:c>
      <x:c r="D1784" s="1" t="str">
        <x:v>2002-04-30</x:v>
      </x:c>
      <x:c r="E1784" s="5" t="n">
        <x:v>3253.46</x:v>
      </x:c>
      <x:c r="F1784" s="6" t="str">
        <x:v>2002-05-31</x:v>
      </x:c>
      <x:c r="G1784" s="5" t="n">
        <x:v>3037</x:v>
      </x:c>
      <x:c r="H1784" s="7" t="n">
        <x:f>G1784/E1784-1</x:f>
        <x:v>-0.06653224567076288</x:v>
      </x:c>
      <x:c r="I1784" s="1" t="n">
        <x:v>1</x:v>
      </x:c>
      <x:c r="J1784" s="1" t="n">
        <x:v>1</x:v>
      </x:c>
      <x:c r="K1784" s="1" t="str">
        <x:v>搜狐/腾讯</x:v>
      </x:c>
    </x:row>
    <x:row r="1785" ht="25" customHeight="1">
      <x:c r="A1785" s="1" t="str">
        <x:v>sz399001</x:v>
      </x:c>
      <x:c r="B1785" s="1" t="str">
        <x:v>深证成指</x:v>
      </x:c>
      <x:c r="C1785" s="1" t="str">
        <x:v>2002-06</x:v>
      </x:c>
      <x:c r="D1785" s="1" t="str">
        <x:v>2002-05-31</x:v>
      </x:c>
      <x:c r="E1785" s="5" t="n">
        <x:v>3037</x:v>
      </x:c>
      <x:c r="F1785" s="6" t="str">
        <x:v>2002-06-28</x:v>
      </x:c>
      <x:c r="G1785" s="5" t="n">
        <x:v>3551.33</x:v>
      </x:c>
      <x:c r="H1785" s="7" t="n">
        <x:f>G1785/E1785-1</x:f>
        <x:v>0.16935462627593023</x:v>
      </x:c>
      <x:c r="I1785" s="1" t="n">
        <x:v>1</x:v>
      </x:c>
      <x:c r="J1785" s="1" t="n">
        <x:v>1</x:v>
      </x:c>
      <x:c r="K1785" s="1" t="str">
        <x:v>搜狐/腾讯</x:v>
      </x:c>
    </x:row>
    <x:row r="1786" ht="25" customHeight="1">
      <x:c r="A1786" s="1" t="str">
        <x:v>sz399001</x:v>
      </x:c>
      <x:c r="B1786" s="1" t="str">
        <x:v>深证成指</x:v>
      </x:c>
      <x:c r="C1786" s="1" t="str">
        <x:v>2002-07</x:v>
      </x:c>
      <x:c r="D1786" s="1" t="str">
        <x:v>2002-06-28</x:v>
      </x:c>
      <x:c r="E1786" s="5" t="n">
        <x:v>3551.33</x:v>
      </x:c>
      <x:c r="F1786" s="6" t="str">
        <x:v>2002-07-31</x:v>
      </x:c>
      <x:c r="G1786" s="5" t="n">
        <x:v>3405.7</x:v>
      </x:c>
      <x:c r="H1786" s="7" t="n">
        <x:f>G1786/E1786-1</x:f>
        <x:v>-0.04100717196092729</x:v>
      </x:c>
      <x:c r="I1786" s="1" t="n">
        <x:v>1</x:v>
      </x:c>
      <x:c r="J1786" s="1" t="n">
        <x:v>1</x:v>
      </x:c>
      <x:c r="K1786" s="1" t="str">
        <x:v>搜狐/腾讯</x:v>
      </x:c>
    </x:row>
    <x:row r="1787" ht="25" customHeight="1">
      <x:c r="A1787" s="1" t="str">
        <x:v>sz399001</x:v>
      </x:c>
      <x:c r="B1787" s="1" t="str">
        <x:v>深证成指</x:v>
      </x:c>
      <x:c r="C1787" s="1" t="str">
        <x:v>2002-08</x:v>
      </x:c>
      <x:c r="D1787" s="1" t="str">
        <x:v>2002-07-31</x:v>
      </x:c>
      <x:c r="E1787" s="5" t="n">
        <x:v>3405.7</x:v>
      </x:c>
      <x:c r="F1787" s="6" t="str">
        <x:v>2002-08-30</x:v>
      </x:c>
      <x:c r="G1787" s="5" t="n">
        <x:v>3436.84</x:v>
      </x:c>
      <x:c r="H1787" s="7" t="n">
        <x:f>G1787/E1787-1</x:f>
        <x:v>0.009143494729424217</x:v>
      </x:c>
      <x:c r="I1787" s="1" t="n">
        <x:v>1</x:v>
      </x:c>
      <x:c r="J1787" s="1" t="n">
        <x:v>1</x:v>
      </x:c>
      <x:c r="K1787" s="1" t="str">
        <x:v>搜狐/腾讯</x:v>
      </x:c>
    </x:row>
    <x:row r="1788" ht="25" customHeight="1">
      <x:c r="A1788" s="1" t="str">
        <x:v>sz399001</x:v>
      </x:c>
      <x:c r="B1788" s="1" t="str">
        <x:v>深证成指</x:v>
      </x:c>
      <x:c r="C1788" s="1" t="str">
        <x:v>2002-09</x:v>
      </x:c>
      <x:c r="D1788" s="1" t="str">
        <x:v>2002-08-30</x:v>
      </x:c>
      <x:c r="E1788" s="5" t="n">
        <x:v>3436.84</x:v>
      </x:c>
      <x:c r="F1788" s="6" t="str">
        <x:v>2002-09-27</x:v>
      </x:c>
      <x:c r="G1788" s="5" t="n">
        <x:v>3243.93</x:v>
      </x:c>
      <x:c r="H1788" s="7" t="n">
        <x:f>G1788/E1788-1</x:f>
        <x:v>-0.056130049696814566</x:v>
      </x:c>
      <x:c r="I1788" s="1" t="n">
        <x:v>1</x:v>
      </x:c>
      <x:c r="J1788" s="1" t="n">
        <x:v>1</x:v>
      </x:c>
      <x:c r="K1788" s="1" t="str">
        <x:v>搜狐/腾讯</x:v>
      </x:c>
    </x:row>
    <x:row r="1789" ht="25" customHeight="1">
      <x:c r="A1789" s="1" t="str">
        <x:v>sz399001</x:v>
      </x:c>
      <x:c r="B1789" s="1" t="str">
        <x:v>深证成指</x:v>
      </x:c>
      <x:c r="C1789" s="1" t="str">
        <x:v>2002-10</x:v>
      </x:c>
      <x:c r="D1789" s="1" t="str">
        <x:v>2002-09-27</x:v>
      </x:c>
      <x:c r="E1789" s="5" t="n">
        <x:v>3243.93</x:v>
      </x:c>
      <x:c r="F1789" s="6" t="str">
        <x:v>2002-10-31</x:v>
      </x:c>
      <x:c r="G1789" s="5" t="n">
        <x:v>3036.18</x:v>
      </x:c>
      <x:c r="H1789" s="7" t="n">
        <x:f>G1789/E1789-1</x:f>
        <x:v>-0.0640426889606126</x:v>
      </x:c>
      <x:c r="I1789" s="1" t="n">
        <x:v>1</x:v>
      </x:c>
      <x:c r="J1789" s="1" t="n">
        <x:v>1</x:v>
      </x:c>
      <x:c r="K1789" s="1" t="str">
        <x:v>搜狐/腾讯</x:v>
      </x:c>
    </x:row>
    <x:row r="1790" ht="25" customHeight="1">
      <x:c r="A1790" s="1" t="str">
        <x:v>sz399001</x:v>
      </x:c>
      <x:c r="B1790" s="1" t="str">
        <x:v>深证成指</x:v>
      </x:c>
      <x:c r="C1790" s="1" t="str">
        <x:v>2002-11</x:v>
      </x:c>
      <x:c r="D1790" s="1" t="str">
        <x:v>2002-10-31</x:v>
      </x:c>
      <x:c r="E1790" s="5" t="n">
        <x:v>3036.18</x:v>
      </x:c>
      <x:c r="F1790" s="6" t="str">
        <x:v>2002-11-29</x:v>
      </x:c>
      <x:c r="G1790" s="5" t="n">
        <x:v>2920.72</x:v>
      </x:c>
      <x:c r="H1790" s="7" t="n">
        <x:f>G1790/E1790-1</x:f>
        <x:v>-0.038028048402927395</x:v>
      </x:c>
      <x:c r="I1790" s="1" t="n">
        <x:v>1</x:v>
      </x:c>
      <x:c r="J1790" s="1" t="n">
        <x:v>1</x:v>
      </x:c>
      <x:c r="K1790" s="1" t="str">
        <x:v>搜狐/腾讯</x:v>
      </x:c>
    </x:row>
    <x:row r="1791" ht="25" customHeight="1">
      <x:c r="A1791" s="1" t="str">
        <x:v>sz399001</x:v>
      </x:c>
      <x:c r="B1791" s="1" t="str">
        <x:v>深证成指</x:v>
      </x:c>
      <x:c r="C1791" s="1" t="str">
        <x:v>2002-12</x:v>
      </x:c>
      <x:c r="D1791" s="1" t="str">
        <x:v>2002-11-29</x:v>
      </x:c>
      <x:c r="E1791" s="5" t="n">
        <x:v>2920.72</x:v>
      </x:c>
      <x:c r="F1791" s="6" t="str">
        <x:v>2002-12-31</x:v>
      </x:c>
      <x:c r="G1791" s="5" t="n">
        <x:v>2759.3</x:v>
      </x:c>
      <x:c r="H1791" s="7" t="n">
        <x:f>G1791/E1791-1</x:f>
        <x:v>-0.05526719439042416</x:v>
      </x:c>
      <x:c r="I1791" s="1" t="n">
        <x:v>1</x:v>
      </x:c>
      <x:c r="J1791" s="1" t="n">
        <x:v>1</x:v>
      </x:c>
      <x:c r="K1791" s="1" t="str">
        <x:v>搜狐/腾讯</x:v>
      </x:c>
    </x:row>
    <x:row r="1792" ht="25" customHeight="1">
      <x:c r="A1792" s="1" t="str">
        <x:v>sz399001</x:v>
      </x:c>
      <x:c r="B1792" s="1" t="str">
        <x:v>深证成指</x:v>
      </x:c>
      <x:c r="C1792" s="1" t="str">
        <x:v>2003-01</x:v>
      </x:c>
      <x:c r="D1792" s="1" t="str">
        <x:v>2002-12-31</x:v>
      </x:c>
      <x:c r="E1792" s="5" t="n">
        <x:v>2759.3</x:v>
      </x:c>
      <x:c r="F1792" s="6" t="str">
        <x:v>2003-01-29</x:v>
      </x:c>
      <x:c r="G1792" s="5" t="n">
        <x:v>3051.22</x:v>
      </x:c>
      <x:c r="H1792" s="7" t="n">
        <x:f>G1792/E1792-1</x:f>
        <x:v>0.10579494799405631</x:v>
      </x:c>
      <x:c r="I1792" s="1" t="n">
        <x:v>1</x:v>
      </x:c>
      <x:c r="J1792" s="1" t="n">
        <x:v>1</x:v>
      </x:c>
      <x:c r="K1792" s="1" t="str">
        <x:v>搜狐/腾讯</x:v>
      </x:c>
    </x:row>
    <x:row r="1793" ht="25" customHeight="1">
      <x:c r="A1793" s="1" t="str">
        <x:v>sz399001</x:v>
      </x:c>
      <x:c r="B1793" s="1" t="str">
        <x:v>深证成指</x:v>
      </x:c>
      <x:c r="C1793" s="1" t="str">
        <x:v>2003-02</x:v>
      </x:c>
      <x:c r="D1793" s="1" t="str">
        <x:v>2003-01-29</x:v>
      </x:c>
      <x:c r="E1793" s="5" t="n">
        <x:v>3051.22</x:v>
      </x:c>
      <x:c r="F1793" s="6" t="str">
        <x:v>2003-02-28</x:v>
      </x:c>
      <x:c r="G1793" s="5" t="n">
        <x:v>3057.24</x:v>
      </x:c>
      <x:c r="H1793" s="7" t="n">
        <x:f>G1793/E1793-1</x:f>
        <x:v>0.0019729812992834717</x:v>
      </x:c>
      <x:c r="I1793" s="1" t="n">
        <x:v>1</x:v>
      </x:c>
      <x:c r="J1793" s="1" t="n">
        <x:v>1</x:v>
      </x:c>
      <x:c r="K1793" s="1" t="str">
        <x:v>搜狐/腾讯</x:v>
      </x:c>
    </x:row>
    <x:row r="1794" ht="25" customHeight="1">
      <x:c r="A1794" s="1" t="str">
        <x:v>sz399001</x:v>
      </x:c>
      <x:c r="B1794" s="1" t="str">
        <x:v>深证成指</x:v>
      </x:c>
      <x:c r="C1794" s="1" t="str">
        <x:v>2003-03</x:v>
      </x:c>
      <x:c r="D1794" s="1" t="str">
        <x:v>2003-02-28</x:v>
      </x:c>
      <x:c r="E1794" s="5" t="n">
        <x:v>3057.24</x:v>
      </x:c>
      <x:c r="F1794" s="6" t="str">
        <x:v>2003-03-31</x:v>
      </x:c>
      <x:c r="G1794" s="5" t="n">
        <x:v>3101.86</x:v>
      </x:c>
      <x:c r="H1794" s="7" t="n">
        <x:f>G1794/E1794-1</x:f>
        <x:v>0.014594863340791076</x:v>
      </x:c>
      <x:c r="I1794" s="1" t="n">
        <x:v>1</x:v>
      </x:c>
      <x:c r="J1794" s="1" t="n">
        <x:v>1</x:v>
      </x:c>
      <x:c r="K1794" s="1" t="str">
        <x:v>搜狐/腾讯</x:v>
      </x:c>
    </x:row>
    <x:row r="1795" ht="25" customHeight="1">
      <x:c r="A1795" s="1" t="str">
        <x:v>sz399001</x:v>
      </x:c>
      <x:c r="B1795" s="1" t="str">
        <x:v>深证成指</x:v>
      </x:c>
      <x:c r="C1795" s="1" t="str">
        <x:v>2003-04</x:v>
      </x:c>
      <x:c r="D1795" s="1" t="str">
        <x:v>2003-03-31</x:v>
      </x:c>
      <x:c r="E1795" s="5" t="n">
        <x:v>3101.86</x:v>
      </x:c>
      <x:c r="F1795" s="6" t="str">
        <x:v>2003-04-30</x:v>
      </x:c>
      <x:c r="G1795" s="5" t="n">
        <x:v>3260.75</x:v>
      </x:c>
      <x:c r="H1795" s="7" t="n">
        <x:f>G1795/E1795-1</x:f>
        <x:v>0.05122410424712909</x:v>
      </x:c>
      <x:c r="I1795" s="1" t="n">
        <x:v>1</x:v>
      </x:c>
      <x:c r="J1795" s="1" t="n">
        <x:v>1</x:v>
      </x:c>
      <x:c r="K1795" s="1" t="str">
        <x:v>搜狐/腾讯</x:v>
      </x:c>
    </x:row>
    <x:row r="1796" ht="25" customHeight="1">
      <x:c r="A1796" s="1" t="str">
        <x:v>sz399001</x:v>
      </x:c>
      <x:c r="B1796" s="1" t="str">
        <x:v>深证成指</x:v>
      </x:c>
      <x:c r="C1796" s="1" t="str">
        <x:v>2003-05</x:v>
      </x:c>
      <x:c r="D1796" s="1" t="str">
        <x:v>2003-04-30</x:v>
      </x:c>
      <x:c r="E1796" s="5" t="n">
        <x:v>3260.75</x:v>
      </x:c>
      <x:c r="F1796" s="6" t="str">
        <x:v>2003-05-30</x:v>
      </x:c>
      <x:c r="G1796" s="5" t="n">
        <x:v>3503.69</x:v>
      </x:c>
      <x:c r="H1796" s="7" t="n">
        <x:f>G1796/E1796-1</x:f>
        <x:v>0.07450433182550031</x:v>
      </x:c>
      <x:c r="I1796" s="1" t="n">
        <x:v>1</x:v>
      </x:c>
      <x:c r="J1796" s="1" t="n">
        <x:v>1</x:v>
      </x:c>
      <x:c r="K1796" s="1" t="str">
        <x:v>搜狐/腾讯</x:v>
      </x:c>
    </x:row>
    <x:row r="1797" ht="25" customHeight="1">
      <x:c r="A1797" s="1" t="str">
        <x:v>sz399001</x:v>
      </x:c>
      <x:c r="B1797" s="1" t="str">
        <x:v>深证成指</x:v>
      </x:c>
      <x:c r="C1797" s="1" t="str">
        <x:v>2003-06</x:v>
      </x:c>
      <x:c r="D1797" s="1" t="str">
        <x:v>2003-05-30</x:v>
      </x:c>
      <x:c r="E1797" s="5" t="n">
        <x:v>3503.69</x:v>
      </x:c>
      <x:c r="F1797" s="6" t="str">
        <x:v>2003-06-30</x:v>
      </x:c>
      <x:c r="G1797" s="5" t="n">
        <x:v>3224.81</x:v>
      </x:c>
      <x:c r="H1797" s="7" t="n">
        <x:f>G1797/E1797-1</x:f>
        <x:v>-0.07959608298679399</x:v>
      </x:c>
      <x:c r="I1797" s="1" t="n">
        <x:v>1</x:v>
      </x:c>
      <x:c r="J1797" s="1" t="n">
        <x:v>1</x:v>
      </x:c>
      <x:c r="K1797" s="1" t="str">
        <x:v>搜狐/腾讯</x:v>
      </x:c>
    </x:row>
    <x:row r="1798" ht="25" customHeight="1">
      <x:c r="A1798" s="1" t="str">
        <x:v>sz399001</x:v>
      </x:c>
      <x:c r="B1798" s="1" t="str">
        <x:v>深证成指</x:v>
      </x:c>
      <x:c r="C1798" s="1" t="str">
        <x:v>2003-07</x:v>
      </x:c>
      <x:c r="D1798" s="1" t="str">
        <x:v>2003-06-30</x:v>
      </x:c>
      <x:c r="E1798" s="5" t="n">
        <x:v>3224.81</x:v>
      </x:c>
      <x:c r="F1798" s="6" t="str">
        <x:v>2003-07-31</x:v>
      </x:c>
      <x:c r="G1798" s="5" t="n">
        <x:v>3318.42</x:v>
      </x:c>
      <x:c r="H1798" s="7" t="n">
        <x:f>G1798/E1798-1</x:f>
        <x:v>0.029028066769825278</x:v>
      </x:c>
      <x:c r="I1798" s="1" t="n">
        <x:v>1</x:v>
      </x:c>
      <x:c r="J1798" s="1" t="n">
        <x:v>1</x:v>
      </x:c>
      <x:c r="K1798" s="1" t="str">
        <x:v>搜狐/腾讯</x:v>
      </x:c>
    </x:row>
    <x:row r="1799" ht="25" customHeight="1">
      <x:c r="A1799" s="1" t="str">
        <x:v>sz399001</x:v>
      </x:c>
      <x:c r="B1799" s="1" t="str">
        <x:v>深证成指</x:v>
      </x:c>
      <x:c r="C1799" s="1" t="str">
        <x:v>2003-08</x:v>
      </x:c>
      <x:c r="D1799" s="1" t="str">
        <x:v>2003-07-31</x:v>
      </x:c>
      <x:c r="E1799" s="5" t="n">
        <x:v>3318.42</x:v>
      </x:c>
      <x:c r="F1799" s="6" t="str">
        <x:v>2003-08-29</x:v>
      </x:c>
      <x:c r="G1799" s="5" t="n">
        <x:v>3192.37</x:v>
      </x:c>
      <x:c r="H1799" s="7" t="n">
        <x:f>G1799/E1799-1</x:f>
        <x:v>-0.03798494464232982</x:v>
      </x:c>
      <x:c r="I1799" s="1" t="n">
        <x:v>1</x:v>
      </x:c>
      <x:c r="J1799" s="1" t="n">
        <x:v>1</x:v>
      </x:c>
      <x:c r="K1799" s="1" t="str">
        <x:v>搜狐/腾讯</x:v>
      </x:c>
    </x:row>
    <x:row r="1800" ht="25" customHeight="1">
      <x:c r="A1800" s="1" t="str">
        <x:v>sz399001</x:v>
      </x:c>
      <x:c r="B1800" s="1" t="str">
        <x:v>深证成指</x:v>
      </x:c>
      <x:c r="C1800" s="1" t="str">
        <x:v>2003-09</x:v>
      </x:c>
      <x:c r="D1800" s="1" t="str">
        <x:v>2003-08-29</x:v>
      </x:c>
      <x:c r="E1800" s="5" t="n">
        <x:v>3192.37</x:v>
      </x:c>
      <x:c r="F1800" s="6" t="str">
        <x:v>2003-09-30</x:v>
      </x:c>
      <x:c r="G1800" s="5" t="n">
        <x:v>3054.9</x:v>
      </x:c>
      <x:c r="H1800" s="7" t="n">
        <x:f>G1800/E1800-1</x:f>
        <x:v>-0.043062051078039176</x:v>
      </x:c>
      <x:c r="I1800" s="1" t="n">
        <x:v>1</x:v>
      </x:c>
      <x:c r="J1800" s="1" t="n">
        <x:v>1</x:v>
      </x:c>
      <x:c r="K1800" s="1" t="str">
        <x:v>搜狐/腾讯</x:v>
      </x:c>
    </x:row>
    <x:row r="1801" ht="25" customHeight="1">
      <x:c r="A1801" s="1" t="str">
        <x:v>sz399001</x:v>
      </x:c>
      <x:c r="B1801" s="1" t="str">
        <x:v>深证成指</x:v>
      </x:c>
      <x:c r="C1801" s="1" t="str">
        <x:v>2003-10</x:v>
      </x:c>
      <x:c r="D1801" s="1" t="str">
        <x:v>2003-09-30</x:v>
      </x:c>
      <x:c r="E1801" s="5" t="n">
        <x:v>3054.9</x:v>
      </x:c>
      <x:c r="F1801" s="6" t="str">
        <x:v>2003-10-31</x:v>
      </x:c>
      <x:c r="G1801" s="5" t="n">
        <x:v>3167.34</x:v>
      </x:c>
      <x:c r="H1801" s="7" t="n">
        <x:f>G1801/E1801-1</x:f>
        <x:v>0.036806442109398096</x:v>
      </x:c>
      <x:c r="I1801" s="1" t="n">
        <x:v>1</x:v>
      </x:c>
      <x:c r="J1801" s="1" t="n">
        <x:v>1</x:v>
      </x:c>
      <x:c r="K1801" s="1" t="str">
        <x:v>搜狐/腾讯</x:v>
      </x:c>
    </x:row>
    <x:row r="1802" ht="25" customHeight="1">
      <x:c r="A1802" s="1" t="str">
        <x:v>sz399001</x:v>
      </x:c>
      <x:c r="B1802" s="1" t="str">
        <x:v>深证成指</x:v>
      </x:c>
      <x:c r="C1802" s="1" t="str">
        <x:v>2003-11</x:v>
      </x:c>
      <x:c r="D1802" s="1" t="str">
        <x:v>2003-10-31</x:v>
      </x:c>
      <x:c r="E1802" s="5" t="n">
        <x:v>3167.34</x:v>
      </x:c>
      <x:c r="F1802" s="6" t="str">
        <x:v>2003-11-28</x:v>
      </x:c>
      <x:c r="G1802" s="5" t="n">
        <x:v>3267.94</x:v>
      </x:c>
      <x:c r="H1802" s="7" t="n">
        <x:f>G1802/E1802-1</x:f>
        <x:v>0.03176166751911702</x:v>
      </x:c>
      <x:c r="I1802" s="1" t="n">
        <x:v>1</x:v>
      </x:c>
      <x:c r="J1802" s="1" t="n">
        <x:v>1</x:v>
      </x:c>
      <x:c r="K1802" s="1" t="str">
        <x:v>搜狐/腾讯</x:v>
      </x:c>
    </x:row>
    <x:row r="1803" ht="25" customHeight="1">
      <x:c r="A1803" s="1" t="str">
        <x:v>sz399001</x:v>
      </x:c>
      <x:c r="B1803" s="1" t="str">
        <x:v>深证成指</x:v>
      </x:c>
      <x:c r="C1803" s="1" t="str">
        <x:v>2003-12</x:v>
      </x:c>
      <x:c r="D1803" s="1" t="str">
        <x:v>2003-11-28</x:v>
      </x:c>
      <x:c r="E1803" s="5" t="n">
        <x:v>3267.94</x:v>
      </x:c>
      <x:c r="F1803" s="6" t="str">
        <x:v>2003-12-31</x:v>
      </x:c>
      <x:c r="G1803" s="5" t="n">
        <x:v>3479.8</x:v>
      </x:c>
      <x:c r="H1803" s="7" t="n">
        <x:f>G1803/E1803-1</x:f>
        <x:v>0.06482983163705569</x:v>
      </x:c>
      <x:c r="I1803" s="1" t="n">
        <x:v>1</x:v>
      </x:c>
      <x:c r="J1803" s="1" t="n">
        <x:v>1</x:v>
      </x:c>
      <x:c r="K1803" s="1" t="str">
        <x:v>搜狐/腾讯</x:v>
      </x:c>
    </x:row>
    <x:row r="1804" ht="25" customHeight="1">
      <x:c r="A1804" s="1" t="str">
        <x:v>sz399001</x:v>
      </x:c>
      <x:c r="B1804" s="1" t="str">
        <x:v>深证成指</x:v>
      </x:c>
      <x:c r="C1804" s="1" t="str">
        <x:v>2004-01</x:v>
      </x:c>
      <x:c r="D1804" s="1" t="str">
        <x:v>2003-12-31</x:v>
      </x:c>
      <x:c r="E1804" s="5" t="n">
        <x:v>3479.8</x:v>
      </x:c>
      <x:c r="F1804" s="6" t="str">
        <x:v>2004-01-30</x:v>
      </x:c>
      <x:c r="G1804" s="5" t="n">
        <x:v>3716.87</x:v>
      </x:c>
      <x:c r="H1804" s="7" t="n">
        <x:f>G1804/E1804-1</x:f>
        <x:v>0.06812747859072354</x:v>
      </x:c>
      <x:c r="I1804" s="1" t="n">
        <x:v>1</x:v>
      </x:c>
      <x:c r="J1804" s="1" t="n">
        <x:v>1</x:v>
      </x:c>
      <x:c r="K1804" s="1" t="str">
        <x:v>搜狐/腾讯</x:v>
      </x:c>
    </x:row>
    <x:row r="1805" ht="25" customHeight="1">
      <x:c r="A1805" s="1" t="str">
        <x:v>sz399001</x:v>
      </x:c>
      <x:c r="B1805" s="1" t="str">
        <x:v>深证成指</x:v>
      </x:c>
      <x:c r="C1805" s="1" t="str">
        <x:v>2004-02</x:v>
      </x:c>
      <x:c r="D1805" s="1" t="str">
        <x:v>2004-01-30</x:v>
      </x:c>
      <x:c r="E1805" s="5" t="n">
        <x:v>3716.87</x:v>
      </x:c>
      <x:c r="F1805" s="6" t="str">
        <x:v>2004-02-27</x:v>
      </x:c>
      <x:c r="G1805" s="5" t="n">
        <x:v>3919.92</x:v>
      </x:c>
      <x:c r="H1805" s="7" t="n">
        <x:f>G1805/E1805-1</x:f>
        <x:v>0.054629298307447005</x:v>
      </x:c>
      <x:c r="I1805" s="1" t="n">
        <x:v>1</x:v>
      </x:c>
      <x:c r="J1805" s="1" t="n">
        <x:v>1</x:v>
      </x:c>
      <x:c r="K1805" s="1" t="str">
        <x:v>搜狐/腾讯</x:v>
      </x:c>
    </x:row>
    <x:row r="1806" ht="25" customHeight="1">
      <x:c r="A1806" s="1" t="str">
        <x:v>sz399001</x:v>
      </x:c>
      <x:c r="B1806" s="1" t="str">
        <x:v>深证成指</x:v>
      </x:c>
      <x:c r="C1806" s="1" t="str">
        <x:v>2004-03</x:v>
      </x:c>
      <x:c r="D1806" s="1" t="str">
        <x:v>2004-02-27</x:v>
      </x:c>
      <x:c r="E1806" s="5" t="n">
        <x:v>3919.92</x:v>
      </x:c>
      <x:c r="F1806" s="6" t="str">
        <x:v>2004-03-31</x:v>
      </x:c>
      <x:c r="G1806" s="5" t="n">
        <x:v>4060.14</x:v>
      </x:c>
      <x:c r="H1806" s="7" t="n">
        <x:f>G1806/E1806-1</x:f>
        <x:v>0.03577113818649358</x:v>
      </x:c>
      <x:c r="I1806" s="1" t="n">
        <x:v>1</x:v>
      </x:c>
      <x:c r="J1806" s="1" t="n">
        <x:v>1</x:v>
      </x:c>
      <x:c r="K1806" s="1" t="str">
        <x:v>搜狐/腾讯</x:v>
      </x:c>
    </x:row>
    <x:row r="1807" ht="25" customHeight="1">
      <x:c r="A1807" s="1" t="str">
        <x:v>sz399001</x:v>
      </x:c>
      <x:c r="B1807" s="1" t="str">
        <x:v>深证成指</x:v>
      </x:c>
      <x:c r="C1807" s="1" t="str">
        <x:v>2004-04</x:v>
      </x:c>
      <x:c r="D1807" s="1" t="str">
        <x:v>2004-03-31</x:v>
      </x:c>
      <x:c r="E1807" s="5" t="n">
        <x:v>4060.14</x:v>
      </x:c>
      <x:c r="F1807" s="6" t="str">
        <x:v>2004-04-30</x:v>
      </x:c>
      <x:c r="G1807" s="5" t="n">
        <x:v>3613.17</x:v>
      </x:c>
      <x:c r="H1807" s="7" t="n">
        <x:f>G1807/E1807-1</x:f>
        <x:v>-0.11008733688986094</x:v>
      </x:c>
      <x:c r="I1807" s="1" t="n">
        <x:v>1</x:v>
      </x:c>
      <x:c r="J1807" s="1" t="n">
        <x:v>1</x:v>
      </x:c>
      <x:c r="K1807" s="1" t="str">
        <x:v>搜狐/腾讯</x:v>
      </x:c>
    </x:row>
    <x:row r="1808" ht="25" customHeight="1">
      <x:c r="A1808" s="1" t="str">
        <x:v>sz399001</x:v>
      </x:c>
      <x:c r="B1808" s="1" t="str">
        <x:v>深证成指</x:v>
      </x:c>
      <x:c r="C1808" s="1" t="str">
        <x:v>2004-05</x:v>
      </x:c>
      <x:c r="D1808" s="1" t="str">
        <x:v>2004-04-30</x:v>
      </x:c>
      <x:c r="E1808" s="5" t="n">
        <x:v>3613.17</x:v>
      </x:c>
      <x:c r="F1808" s="6" t="str">
        <x:v>2004-05-31</x:v>
      </x:c>
      <x:c r="G1808" s="5" t="n">
        <x:v>3577.65</x:v>
      </x:c>
      <x:c r="H1808" s="7" t="n">
        <x:f>G1808/E1808-1</x:f>
        <x:v>-0.0098307026793647</x:v>
      </x:c>
      <x:c r="I1808" s="1" t="n">
        <x:v>1</x:v>
      </x:c>
      <x:c r="J1808" s="1" t="n">
        <x:v>1</x:v>
      </x:c>
      <x:c r="K1808" s="1" t="str">
        <x:v>搜狐/腾讯</x:v>
      </x:c>
    </x:row>
    <x:row r="1809" ht="25" customHeight="1">
      <x:c r="A1809" s="1" t="str">
        <x:v>sz399001</x:v>
      </x:c>
      <x:c r="B1809" s="1" t="str">
        <x:v>深证成指</x:v>
      </x:c>
      <x:c r="C1809" s="1" t="str">
        <x:v>2004-06</x:v>
      </x:c>
      <x:c r="D1809" s="1" t="str">
        <x:v>2004-05-31</x:v>
      </x:c>
      <x:c r="E1809" s="5" t="n">
        <x:v>3577.65</x:v>
      </x:c>
      <x:c r="F1809" s="6" t="str">
        <x:v>2004-06-30</x:v>
      </x:c>
      <x:c r="G1809" s="5" t="n">
        <x:v>3275.85</x:v>
      </x:c>
      <x:c r="H1809" s="7" t="n">
        <x:f>G1809/E1809-1</x:f>
        <x:v>-0.08435705001886717</x:v>
      </x:c>
      <x:c r="I1809" s="1" t="n">
        <x:v>1</x:v>
      </x:c>
      <x:c r="J1809" s="1" t="n">
        <x:v>1</x:v>
      </x:c>
      <x:c r="K1809" s="1" t="str">
        <x:v>搜狐/腾讯</x:v>
      </x:c>
    </x:row>
    <x:row r="1810" ht="25" customHeight="1">
      <x:c r="A1810" s="1" t="str">
        <x:v>sz399001</x:v>
      </x:c>
      <x:c r="B1810" s="1" t="str">
        <x:v>深证成指</x:v>
      </x:c>
      <x:c r="C1810" s="1" t="str">
        <x:v>2004-07</x:v>
      </x:c>
      <x:c r="D1810" s="1" t="str">
        <x:v>2004-06-30</x:v>
      </x:c>
      <x:c r="E1810" s="5" t="n">
        <x:v>3275.85</x:v>
      </x:c>
      <x:c r="F1810" s="6" t="str">
        <x:v>2004-07-30</x:v>
      </x:c>
      <x:c r="G1810" s="5" t="n">
        <x:v>3283.37</x:v>
      </x:c>
      <x:c r="H1810" s="7" t="n">
        <x:f>G1810/E1810-1</x:f>
        <x:v>0.0022955874047956293</x:v>
      </x:c>
      <x:c r="I1810" s="1" t="n">
        <x:v>1</x:v>
      </x:c>
      <x:c r="J1810" s="1" t="n">
        <x:v>1</x:v>
      </x:c>
      <x:c r="K1810" s="1" t="str">
        <x:v>搜狐/腾讯</x:v>
      </x:c>
    </x:row>
    <x:row r="1811" ht="25" customHeight="1">
      <x:c r="A1811" s="1" t="str">
        <x:v>sz399001</x:v>
      </x:c>
      <x:c r="B1811" s="1" t="str">
        <x:v>深证成指</x:v>
      </x:c>
      <x:c r="C1811" s="1" t="str">
        <x:v>2004-08</x:v>
      </x:c>
      <x:c r="D1811" s="1" t="str">
        <x:v>2004-07-30</x:v>
      </x:c>
      <x:c r="E1811" s="5" t="n">
        <x:v>3283.37</x:v>
      </x:c>
      <x:c r="F1811" s="6" t="str">
        <x:v>2004-08-31</x:v>
      </x:c>
      <x:c r="G1811" s="5" t="n">
        <x:v>3175.79</x:v>
      </x:c>
      <x:c r="H1811" s="7" t="n">
        <x:f>G1811/E1811-1</x:f>
        <x:v>-0.03276511632865009</x:v>
      </x:c>
      <x:c r="I1811" s="1" t="n">
        <x:v>1</x:v>
      </x:c>
      <x:c r="J1811" s="1" t="n">
        <x:v>1</x:v>
      </x:c>
      <x:c r="K1811" s="1" t="str">
        <x:v>搜狐/腾讯</x:v>
      </x:c>
    </x:row>
    <x:row r="1812" ht="25" customHeight="1">
      <x:c r="A1812" s="1" t="str">
        <x:v>sz399001</x:v>
      </x:c>
      <x:c r="B1812" s="1" t="str">
        <x:v>深证成指</x:v>
      </x:c>
      <x:c r="C1812" s="1" t="str">
        <x:v>2004-09</x:v>
      </x:c>
      <x:c r="D1812" s="1" t="str">
        <x:v>2004-08-31</x:v>
      </x:c>
      <x:c r="E1812" s="5" t="n">
        <x:v>3175.79</x:v>
      </x:c>
      <x:c r="F1812" s="6" t="str">
        <x:v>2004-09-30</x:v>
      </x:c>
      <x:c r="G1812" s="5" t="n">
        <x:v>3453.91</x:v>
      </x:c>
      <x:c r="H1812" s="7" t="n">
        <x:f>G1812/E1812-1</x:f>
        <x:v>0.08757506006379501</x:v>
      </x:c>
      <x:c r="I1812" s="1" t="n">
        <x:v>1</x:v>
      </x:c>
      <x:c r="J1812" s="1" t="n">
        <x:v>1</x:v>
      </x:c>
      <x:c r="K1812" s="1" t="str">
        <x:v>搜狐/腾讯</x:v>
      </x:c>
    </x:row>
    <x:row r="1813" ht="25" customHeight="1">
      <x:c r="A1813" s="1" t="str">
        <x:v>sz399001</x:v>
      </x:c>
      <x:c r="B1813" s="1" t="str">
        <x:v>深证成指</x:v>
      </x:c>
      <x:c r="C1813" s="1" t="str">
        <x:v>2004-10</x:v>
      </x:c>
      <x:c r="D1813" s="1" t="str">
        <x:v>2004-09-30</x:v>
      </x:c>
      <x:c r="E1813" s="5" t="n">
        <x:v>3453.91</x:v>
      </x:c>
      <x:c r="F1813" s="6" t="str">
        <x:v>2004-10-29</x:v>
      </x:c>
      <x:c r="G1813" s="5" t="n">
        <x:v>3216.35</x:v>
      </x:c>
      <x:c r="H1813" s="7" t="n">
        <x:f>G1813/E1813-1</x:f>
        <x:v>-0.06878002032479136</x:v>
      </x:c>
      <x:c r="I1813" s="1" t="n">
        <x:v>1</x:v>
      </x:c>
      <x:c r="J1813" s="1" t="n">
        <x:v>1</x:v>
      </x:c>
      <x:c r="K1813" s="1" t="str">
        <x:v>搜狐/腾讯</x:v>
      </x:c>
    </x:row>
    <x:row r="1814" ht="25" customHeight="1">
      <x:c r="A1814" s="1" t="str">
        <x:v>sz399001</x:v>
      </x:c>
      <x:c r="B1814" s="1" t="str">
        <x:v>深证成指</x:v>
      </x:c>
      <x:c r="C1814" s="1" t="str">
        <x:v>2004-11</x:v>
      </x:c>
      <x:c r="D1814" s="1" t="str">
        <x:v>2004-10-29</x:v>
      </x:c>
      <x:c r="E1814" s="5" t="n">
        <x:v>3216.35</x:v>
      </x:c>
      <x:c r="F1814" s="6" t="str">
        <x:v>2004-11-30</x:v>
      </x:c>
      <x:c r="G1814" s="5" t="n">
        <x:v>3226.01</x:v>
      </x:c>
      <x:c r="H1814" s="7" t="n">
        <x:f>G1814/E1814-1</x:f>
        <x:v>0.00300340448023384</x:v>
      </x:c>
      <x:c r="I1814" s="1" t="n">
        <x:v>1</x:v>
      </x:c>
      <x:c r="J1814" s="1" t="n">
        <x:v>1</x:v>
      </x:c>
      <x:c r="K1814" s="1" t="str">
        <x:v>搜狐/腾讯</x:v>
      </x:c>
    </x:row>
    <x:row r="1815" ht="25" customHeight="1">
      <x:c r="A1815" s="1" t="str">
        <x:v>sz399001</x:v>
      </x:c>
      <x:c r="B1815" s="1" t="str">
        <x:v>深证成指</x:v>
      </x:c>
      <x:c r="C1815" s="1" t="str">
        <x:v>2004-12</x:v>
      </x:c>
      <x:c r="D1815" s="1" t="str">
        <x:v>2004-11-30</x:v>
      </x:c>
      <x:c r="E1815" s="5" t="n">
        <x:v>3226.01</x:v>
      </x:c>
      <x:c r="F1815" s="6" t="str">
        <x:v>2004-12-31</x:v>
      </x:c>
      <x:c r="G1815" s="5" t="n">
        <x:v>3067.57</x:v>
      </x:c>
      <x:c r="H1815" s="7" t="n">
        <x:f>G1815/E1815-1</x:f>
        <x:v>-0.04911330095070998</x:v>
      </x:c>
      <x:c r="I1815" s="1" t="n">
        <x:v>1</x:v>
      </x:c>
      <x:c r="J1815" s="1" t="n">
        <x:v>1</x:v>
      </x:c>
      <x:c r="K1815" s="1" t="str">
        <x:v>搜狐/腾讯</x:v>
      </x:c>
    </x:row>
    <x:row r="1816" ht="25" customHeight="1">
      <x:c r="A1816" s="1" t="str">
        <x:v>sz399001</x:v>
      </x:c>
      <x:c r="B1816" s="1" t="str">
        <x:v>深证成指</x:v>
      </x:c>
      <x:c r="C1816" s="1" t="str">
        <x:v>2005-01</x:v>
      </x:c>
      <x:c r="D1816" s="1" t="str">
        <x:v>2004-12-31</x:v>
      </x:c>
      <x:c r="E1816" s="5" t="n">
        <x:v>3067.57</x:v>
      </x:c>
      <x:c r="F1816" s="6" t="str">
        <x:v>2005-01-31</x:v>
      </x:c>
      <x:c r="G1816" s="5" t="n">
        <x:v>3045.48</x:v>
      </x:c>
      <x:c r="H1816" s="7" t="n">
        <x:f>G1816/E1816-1</x:f>
        <x:v>-0.007201139664294587</x:v>
      </x:c>
      <x:c r="I1816" s="1" t="n">
        <x:v>1</x:v>
      </x:c>
      <x:c r="J1816" s="1" t="n">
        <x:v>1</x:v>
      </x:c>
      <x:c r="K1816" s="1" t="str">
        <x:v>搜狐/腾讯</x:v>
      </x:c>
    </x:row>
    <x:row r="1817" ht="25" customHeight="1">
      <x:c r="A1817" s="1" t="str">
        <x:v>sz399001</x:v>
      </x:c>
      <x:c r="B1817" s="1" t="str">
        <x:v>深证成指</x:v>
      </x:c>
      <x:c r="C1817" s="1" t="str">
        <x:v>2005-02</x:v>
      </x:c>
      <x:c r="D1817" s="1" t="str">
        <x:v>2005-01-31</x:v>
      </x:c>
      <x:c r="E1817" s="5" t="n">
        <x:v>3045.48</x:v>
      </x:c>
      <x:c r="F1817" s="6" t="str">
        <x:v>2005-02-28</x:v>
      </x:c>
      <x:c r="G1817" s="5" t="n">
        <x:v>3376.32</x:v>
      </x:c>
      <x:c r="H1817" s="7" t="n">
        <x:f>G1817/E1817-1</x:f>
        <x:v>0.10863312187241414</x:v>
      </x:c>
      <x:c r="I1817" s="1" t="n">
        <x:v>1</x:v>
      </x:c>
      <x:c r="J1817" s="1" t="n">
        <x:v>1</x:v>
      </x:c>
      <x:c r="K1817" s="1" t="str">
        <x:v>搜狐/腾讯</x:v>
      </x:c>
    </x:row>
    <x:row r="1818" ht="25" customHeight="1">
      <x:c r="A1818" s="1" t="str">
        <x:v>sz399001</x:v>
      </x:c>
      <x:c r="B1818" s="1" t="str">
        <x:v>深证成指</x:v>
      </x:c>
      <x:c r="C1818" s="1" t="str">
        <x:v>2005-03</x:v>
      </x:c>
      <x:c r="D1818" s="1" t="str">
        <x:v>2005-02-28</x:v>
      </x:c>
      <x:c r="E1818" s="5" t="n">
        <x:v>3376.32</x:v>
      </x:c>
      <x:c r="F1818" s="6" t="str">
        <x:v>2005-03-31</x:v>
      </x:c>
      <x:c r="G1818" s="5" t="n">
        <x:v>3170.35</x:v>
      </x:c>
      <x:c r="H1818" s="7" t="n">
        <x:f>G1818/E1818-1</x:f>
        <x:v>-0.061004288693014996</x:v>
      </x:c>
      <x:c r="I1818" s="1" t="n">
        <x:v>1</x:v>
      </x:c>
      <x:c r="J1818" s="1" t="n">
        <x:v>1</x:v>
      </x:c>
      <x:c r="K1818" s="1" t="str">
        <x:v>搜狐/腾讯</x:v>
      </x:c>
    </x:row>
    <x:row r="1819" ht="25" customHeight="1">
      <x:c r="A1819" s="1" t="str">
        <x:v>sz399001</x:v>
      </x:c>
      <x:c r="B1819" s="1" t="str">
        <x:v>深证成指</x:v>
      </x:c>
      <x:c r="C1819" s="1" t="str">
        <x:v>2005-04</x:v>
      </x:c>
      <x:c r="D1819" s="1" t="str">
        <x:v>2005-03-31</x:v>
      </x:c>
      <x:c r="E1819" s="5" t="n">
        <x:v>3170.35</x:v>
      </x:c>
      <x:c r="F1819" s="6" t="str">
        <x:v>2005-04-29</x:v>
      </x:c>
      <x:c r="G1819" s="5" t="n">
        <x:v>3156.67</x:v>
      </x:c>
      <x:c r="H1819" s="7" t="n">
        <x:f>G1819/E1819-1</x:f>
        <x:v>-0.004314980995789086</x:v>
      </x:c>
      <x:c r="I1819" s="1" t="n">
        <x:v>1</x:v>
      </x:c>
      <x:c r="J1819" s="1" t="n">
        <x:v>1</x:v>
      </x:c>
      <x:c r="K1819" s="1" t="str">
        <x:v>搜狐/腾讯</x:v>
      </x:c>
    </x:row>
    <x:row r="1820" ht="25" customHeight="1">
      <x:c r="A1820" s="1" t="str">
        <x:v>sz399001</x:v>
      </x:c>
      <x:c r="B1820" s="1" t="str">
        <x:v>深证成指</x:v>
      </x:c>
      <x:c r="C1820" s="1" t="str">
        <x:v>2005-05</x:v>
      </x:c>
      <x:c r="D1820" s="1" t="str">
        <x:v>2005-04-29</x:v>
      </x:c>
      <x:c r="E1820" s="5" t="n">
        <x:v>3156.67</x:v>
      </x:c>
      <x:c r="F1820" s="6" t="str">
        <x:v>2005-05-31</x:v>
      </x:c>
      <x:c r="G1820" s="5" t="n">
        <x:v>2801.66</x:v>
      </x:c>
      <x:c r="H1820" s="7" t="n">
        <x:f>G1820/E1820-1</x:f>
        <x:v>-0.1124634504081834</x:v>
      </x:c>
      <x:c r="I1820" s="1" t="n">
        <x:v>1</x:v>
      </x:c>
      <x:c r="J1820" s="1" t="n">
        <x:v>1</x:v>
      </x:c>
      <x:c r="K1820" s="1" t="str">
        <x:v>搜狐/腾讯</x:v>
      </x:c>
    </x:row>
    <x:row r="1821" ht="25" customHeight="1">
      <x:c r="A1821" s="1" t="str">
        <x:v>sz399001</x:v>
      </x:c>
      <x:c r="B1821" s="1" t="str">
        <x:v>深证成指</x:v>
      </x:c>
      <x:c r="C1821" s="1" t="str">
        <x:v>2005-06</x:v>
      </x:c>
      <x:c r="D1821" s="1" t="str">
        <x:v>2005-05-31</x:v>
      </x:c>
      <x:c r="E1821" s="5" t="n">
        <x:v>2801.66</x:v>
      </x:c>
      <x:c r="F1821" s="6" t="str">
        <x:v>2005-06-30</x:v>
      </x:c>
      <x:c r="G1821" s="5" t="n">
        <x:v>2760.23</x:v>
      </x:c>
      <x:c r="H1821" s="7" t="n">
        <x:f>G1821/E1821-1</x:f>
        <x:v>-0.014787661600622393</x:v>
      </x:c>
      <x:c r="I1821" s="1" t="n">
        <x:v>1</x:v>
      </x:c>
      <x:c r="J1821" s="1" t="n">
        <x:v>1</x:v>
      </x:c>
      <x:c r="K1821" s="1" t="str">
        <x:v>搜狐/腾讯</x:v>
      </x:c>
    </x:row>
    <x:row r="1822" ht="25" customHeight="1">
      <x:c r="A1822" s="1" t="str">
        <x:v>sz399001</x:v>
      </x:c>
      <x:c r="B1822" s="1" t="str">
        <x:v>深证成指</x:v>
      </x:c>
      <x:c r="C1822" s="1" t="str">
        <x:v>2005-07</x:v>
      </x:c>
      <x:c r="D1822" s="1" t="str">
        <x:v>2005-06-30</x:v>
      </x:c>
      <x:c r="E1822" s="5" t="n">
        <x:v>2760.23</x:v>
      </x:c>
      <x:c r="F1822" s="6" t="str">
        <x:v>2005-07-29</x:v>
      </x:c>
      <x:c r="G1822" s="5" t="n">
        <x:v>2887.57</x:v>
      </x:c>
      <x:c r="H1822" s="7" t="n">
        <x:f>G1822/E1822-1</x:f>
        <x:v>0.04613383667303084</x:v>
      </x:c>
      <x:c r="I1822" s="1" t="n">
        <x:v>1</x:v>
      </x:c>
      <x:c r="J1822" s="1" t="n">
        <x:v>1</x:v>
      </x:c>
      <x:c r="K1822" s="1" t="str">
        <x:v>搜狐/腾讯</x:v>
      </x:c>
    </x:row>
    <x:row r="1823" ht="25" customHeight="1">
      <x:c r="A1823" s="1" t="str">
        <x:v>sz399001</x:v>
      </x:c>
      <x:c r="B1823" s="1" t="str">
        <x:v>深证成指</x:v>
      </x:c>
      <x:c r="C1823" s="1" t="str">
        <x:v>2005-08</x:v>
      </x:c>
      <x:c r="D1823" s="1" t="str">
        <x:v>2005-07-29</x:v>
      </x:c>
      <x:c r="E1823" s="5" t="n">
        <x:v>2887.57</x:v>
      </x:c>
      <x:c r="F1823" s="6" t="str">
        <x:v>2005-08-31</x:v>
      </x:c>
      <x:c r="G1823" s="5" t="n">
        <x:v>2950.43</x:v>
      </x:c>
      <x:c r="H1823" s="7" t="n">
        <x:f>G1823/E1823-1</x:f>
        <x:v>0.02176916923226102</x:v>
      </x:c>
      <x:c r="I1823" s="1" t="n">
        <x:v>1</x:v>
      </x:c>
      <x:c r="J1823" s="1" t="n">
        <x:v>1</x:v>
      </x:c>
      <x:c r="K1823" s="1" t="str">
        <x:v>搜狐/腾讯</x:v>
      </x:c>
    </x:row>
    <x:row r="1824" ht="25" customHeight="1">
      <x:c r="A1824" s="1" t="str">
        <x:v>sz399001</x:v>
      </x:c>
      <x:c r="B1824" s="1" t="str">
        <x:v>深证成指</x:v>
      </x:c>
      <x:c r="C1824" s="1" t="str">
        <x:v>2005-09</x:v>
      </x:c>
      <x:c r="D1824" s="1" t="str">
        <x:v>2005-08-31</x:v>
      </x:c>
      <x:c r="E1824" s="5" t="n">
        <x:v>2950.43</x:v>
      </x:c>
      <x:c r="F1824" s="6" t="str">
        <x:v>2005-09-30</x:v>
      </x:c>
      <x:c r="G1824" s="5" t="n">
        <x:v>2903.11</x:v>
      </x:c>
      <x:c r="H1824" s="7" t="n">
        <x:f>G1824/E1824-1</x:f>
        <x:v>-0.01603834017414396</x:v>
      </x:c>
      <x:c r="I1824" s="1" t="n">
        <x:v>1</x:v>
      </x:c>
      <x:c r="J1824" s="1" t="n">
        <x:v>1</x:v>
      </x:c>
      <x:c r="K1824" s="1" t="str">
        <x:v>搜狐/腾讯</x:v>
      </x:c>
    </x:row>
    <x:row r="1825" ht="25" customHeight="1">
      <x:c r="A1825" s="1" t="str">
        <x:v>sz399001</x:v>
      </x:c>
      <x:c r="B1825" s="1" t="str">
        <x:v>深证成指</x:v>
      </x:c>
      <x:c r="C1825" s="1" t="str">
        <x:v>2005-10</x:v>
      </x:c>
      <x:c r="D1825" s="1" t="str">
        <x:v>2005-09-30</x:v>
      </x:c>
      <x:c r="E1825" s="5" t="n">
        <x:v>2903.11</x:v>
      </x:c>
      <x:c r="F1825" s="6" t="str">
        <x:v>2005-10-31</x:v>
      </x:c>
      <x:c r="G1825" s="5" t="n">
        <x:v>2662.29</x:v>
      </x:c>
      <x:c r="H1825" s="7" t="n">
        <x:f>G1825/E1825-1</x:f>
        <x:v>-0.08295241999097525</x:v>
      </x:c>
      <x:c r="I1825" s="1" t="n">
        <x:v>1</x:v>
      </x:c>
      <x:c r="J1825" s="1" t="n">
        <x:v>1</x:v>
      </x:c>
      <x:c r="K1825" s="1" t="str">
        <x:v>搜狐/腾讯</x:v>
      </x:c>
    </x:row>
    <x:row r="1826" ht="25" customHeight="1">
      <x:c r="A1826" s="1" t="str">
        <x:v>sz399001</x:v>
      </x:c>
      <x:c r="B1826" s="1" t="str">
        <x:v>深证成指</x:v>
      </x:c>
      <x:c r="C1826" s="1" t="str">
        <x:v>2005-11</x:v>
      </x:c>
      <x:c r="D1826" s="1" t="str">
        <x:v>2005-10-31</x:v>
      </x:c>
      <x:c r="E1826" s="5" t="n">
        <x:v>2662.29</x:v>
      </x:c>
      <x:c r="F1826" s="6" t="str">
        <x:v>2005-11-30</x:v>
      </x:c>
      <x:c r="G1826" s="5" t="n">
        <x:v>2676.85</x:v>
      </x:c>
      <x:c r="H1826" s="7" t="n">
        <x:f>G1826/E1826-1</x:f>
        <x:v>0.005468975956788968</x:v>
      </x:c>
      <x:c r="I1826" s="1" t="n">
        <x:v>1</x:v>
      </x:c>
      <x:c r="J1826" s="1" t="n">
        <x:v>1</x:v>
      </x:c>
      <x:c r="K1826" s="1" t="str">
        <x:v>搜狐/腾讯</x:v>
      </x:c>
    </x:row>
    <x:row r="1827" ht="25" customHeight="1">
      <x:c r="A1827" s="1" t="str">
        <x:v>sz399001</x:v>
      </x:c>
      <x:c r="B1827" s="1" t="str">
        <x:v>深证成指</x:v>
      </x:c>
      <x:c r="C1827" s="1" t="str">
        <x:v>2005-12</x:v>
      </x:c>
      <x:c r="D1827" s="1" t="str">
        <x:v>2005-11-30</x:v>
      </x:c>
      <x:c r="E1827" s="5" t="n">
        <x:v>2676.85</x:v>
      </x:c>
      <x:c r="F1827" s="6" t="str">
        <x:v>2005-12-30</x:v>
      </x:c>
      <x:c r="G1827" s="5" t="n">
        <x:v>2863.61</x:v>
      </x:c>
      <x:c r="H1827" s="7" t="n">
        <x:f>G1827/E1827-1</x:f>
        <x:v>0.06976857126846858</x:v>
      </x:c>
      <x:c r="I1827" s="1" t="n">
        <x:v>1</x:v>
      </x:c>
      <x:c r="J1827" s="1" t="n">
        <x:v>1</x:v>
      </x:c>
      <x:c r="K1827" s="1" t="str">
        <x:v>搜狐/腾讯</x:v>
      </x:c>
    </x:row>
    <x:row r="1828" ht="25" customHeight="1">
      <x:c r="A1828" s="1" t="str">
        <x:v>sz399001</x:v>
      </x:c>
      <x:c r="B1828" s="1" t="str">
        <x:v>深证成指</x:v>
      </x:c>
      <x:c r="C1828" s="1" t="str">
        <x:v>2006-01</x:v>
      </x:c>
      <x:c r="D1828" s="1" t="str">
        <x:v>2005-12-30</x:v>
      </x:c>
      <x:c r="E1828" s="5" t="n">
        <x:v>2863.61</x:v>
      </x:c>
      <x:c r="F1828" s="6" t="str">
        <x:v>2006-01-25</x:v>
      </x:c>
      <x:c r="G1828" s="5" t="n">
        <x:v>3242.35</x:v>
      </x:c>
      <x:c r="H1828" s="7" t="n">
        <x:f>G1828/E1828-1</x:f>
        <x:v>0.13225963032675536</x:v>
      </x:c>
      <x:c r="I1828" s="1" t="n">
        <x:v>1</x:v>
      </x:c>
      <x:c r="J1828" s="1" t="n">
        <x:v>1</x:v>
      </x:c>
      <x:c r="K1828" s="1" t="str">
        <x:v>搜狐/腾讯</x:v>
      </x:c>
    </x:row>
    <x:row r="1829" ht="25" customHeight="1">
      <x:c r="A1829" s="1" t="str">
        <x:v>sz399001</x:v>
      </x:c>
      <x:c r="B1829" s="1" t="str">
        <x:v>深证成指</x:v>
      </x:c>
      <x:c r="C1829" s="1" t="str">
        <x:v>2006-02</x:v>
      </x:c>
      <x:c r="D1829" s="1" t="str">
        <x:v>2006-01-25</x:v>
      </x:c>
      <x:c r="E1829" s="5" t="n">
        <x:v>3242.35</x:v>
      </x:c>
      <x:c r="F1829" s="6" t="str">
        <x:v>2006-02-28</x:v>
      </x:c>
      <x:c r="G1829" s="5" t="n">
        <x:v>3351.64</x:v>
      </x:c>
      <x:c r="H1829" s="7" t="n">
        <x:f>G1829/E1829-1</x:f>
        <x:v>0.03370703347880388</x:v>
      </x:c>
      <x:c r="I1829" s="1" t="n">
        <x:v>1</x:v>
      </x:c>
      <x:c r="J1829" s="1" t="n">
        <x:v>1</x:v>
      </x:c>
      <x:c r="K1829" s="1" t="str">
        <x:v>搜狐/腾讯</x:v>
      </x:c>
    </x:row>
    <x:row r="1830" ht="25" customHeight="1">
      <x:c r="A1830" s="1" t="str">
        <x:v>sz399001</x:v>
      </x:c>
      <x:c r="B1830" s="1" t="str">
        <x:v>深证成指</x:v>
      </x:c>
      <x:c r="C1830" s="1" t="str">
        <x:v>2006-03</x:v>
      </x:c>
      <x:c r="D1830" s="1" t="str">
        <x:v>2006-02-28</x:v>
      </x:c>
      <x:c r="E1830" s="5" t="n">
        <x:v>3351.64</x:v>
      </x:c>
      <x:c r="F1830" s="6" t="str">
        <x:v>2006-03-31</x:v>
      </x:c>
      <x:c r="G1830" s="5" t="n">
        <x:v>3516.4</x:v>
      </x:c>
      <x:c r="H1830" s="7" t="n">
        <x:f>G1830/E1830-1</x:f>
        <x:v>0.04915802413146997</x:v>
      </x:c>
      <x:c r="I1830" s="1" t="n">
        <x:v>1</x:v>
      </x:c>
      <x:c r="J1830" s="1" t="n">
        <x:v>1</x:v>
      </x:c>
      <x:c r="K1830" s="1" t="str">
        <x:v>搜狐/腾讯</x:v>
      </x:c>
    </x:row>
    <x:row r="1831" ht="25" customHeight="1">
      <x:c r="A1831" s="1" t="str">
        <x:v>sz399001</x:v>
      </x:c>
      <x:c r="B1831" s="1" t="str">
        <x:v>深证成指</x:v>
      </x:c>
      <x:c r="C1831" s="1" t="str">
        <x:v>2006-04</x:v>
      </x:c>
      <x:c r="D1831" s="1" t="str">
        <x:v>2006-03-31</x:v>
      </x:c>
      <x:c r="E1831" s="5" t="n">
        <x:v>3516.4</x:v>
      </x:c>
      <x:c r="F1831" s="6" t="str">
        <x:v>2006-04-28</x:v>
      </x:c>
      <x:c r="G1831" s="5" t="n">
        <x:v>3848.11</x:v>
      </x:c>
      <x:c r="H1831" s="7" t="n">
        <x:f>G1831/E1831-1</x:f>
        <x:v>0.09433227164145142</x:v>
      </x:c>
      <x:c r="I1831" s="1" t="n">
        <x:v>1</x:v>
      </x:c>
      <x:c r="J1831" s="1" t="n">
        <x:v>1</x:v>
      </x:c>
      <x:c r="K1831" s="1" t="str">
        <x:v>搜狐/腾讯</x:v>
      </x:c>
    </x:row>
    <x:row r="1832" ht="25" customHeight="1">
      <x:c r="A1832" s="1" t="str">
        <x:v>sz399001</x:v>
      </x:c>
      <x:c r="B1832" s="1" t="str">
        <x:v>深证成指</x:v>
      </x:c>
      <x:c r="C1832" s="1" t="str">
        <x:v>2006-05</x:v>
      </x:c>
      <x:c r="D1832" s="1" t="str">
        <x:v>2006-04-28</x:v>
      </x:c>
      <x:c r="E1832" s="5" t="n">
        <x:v>3848.11</x:v>
      </x:c>
      <x:c r="F1832" s="6" t="str">
        <x:v>2006-05-31</x:v>
      </x:c>
      <x:c r="G1832" s="5" t="n">
        <x:v>4292.1</x:v>
      </x:c>
      <x:c r="H1832" s="7" t="n">
        <x:f>G1832/E1832-1</x:f>
        <x:v>0.11537871838382996</x:v>
      </x:c>
      <x:c r="I1832" s="1" t="n">
        <x:v>1</x:v>
      </x:c>
      <x:c r="J1832" s="1" t="n">
        <x:v>1</x:v>
      </x:c>
      <x:c r="K1832" s="1" t="str">
        <x:v>搜狐/腾讯</x:v>
      </x:c>
    </x:row>
    <x:row r="1833" ht="25" customHeight="1">
      <x:c r="A1833" s="1" t="str">
        <x:v>sz399001</x:v>
      </x:c>
      <x:c r="B1833" s="1" t="str">
        <x:v>深证成指</x:v>
      </x:c>
      <x:c r="C1833" s="1" t="str">
        <x:v>2006-06</x:v>
      </x:c>
      <x:c r="D1833" s="1" t="str">
        <x:v>2006-05-31</x:v>
      </x:c>
      <x:c r="E1833" s="5" t="n">
        <x:v>4292.1</x:v>
      </x:c>
      <x:c r="F1833" s="6" t="str">
        <x:v>2006-06-30</x:v>
      </x:c>
      <x:c r="G1833" s="5" t="n">
        <x:v>4301.66</x:v>
      </x:c>
      <x:c r="H1833" s="7" t="n">
        <x:f>G1833/E1833-1</x:f>
        <x:v>0.0022273479182683964</x:v>
      </x:c>
      <x:c r="I1833" s="1" t="n">
        <x:v>1</x:v>
      </x:c>
      <x:c r="J1833" s="1" t="n">
        <x:v>1</x:v>
      </x:c>
      <x:c r="K1833" s="1" t="str">
        <x:v>搜狐/腾讯</x:v>
      </x:c>
    </x:row>
    <x:row r="1834" ht="25" customHeight="1">
      <x:c r="A1834" s="1" t="str">
        <x:v>sz399001</x:v>
      </x:c>
      <x:c r="B1834" s="1" t="str">
        <x:v>深证成指</x:v>
      </x:c>
      <x:c r="C1834" s="1" t="str">
        <x:v>2006-07</x:v>
      </x:c>
      <x:c r="D1834" s="1" t="str">
        <x:v>2006-06-30</x:v>
      </x:c>
      <x:c r="E1834" s="5" t="n">
        <x:v>4301.66</x:v>
      </x:c>
      <x:c r="F1834" s="6" t="str">
        <x:v>2006-07-31</x:v>
      </x:c>
      <x:c r="G1834" s="5" t="n">
        <x:v>3946.9</x:v>
      </x:c>
      <x:c r="H1834" s="7" t="n">
        <x:f>G1834/E1834-1</x:f>
        <x:v>-0.08247048813713775</x:v>
      </x:c>
      <x:c r="I1834" s="1" t="n">
        <x:v>1</x:v>
      </x:c>
      <x:c r="J1834" s="1" t="n">
        <x:v>1</x:v>
      </x:c>
      <x:c r="K1834" s="1" t="str">
        <x:v>搜狐/腾讯</x:v>
      </x:c>
    </x:row>
    <x:row r="1835" ht="25" customHeight="1">
      <x:c r="A1835" s="1" t="str">
        <x:v>sz399001</x:v>
      </x:c>
      <x:c r="B1835" s="1" t="str">
        <x:v>深证成指</x:v>
      </x:c>
      <x:c r="C1835" s="1" t="str">
        <x:v>2006-08</x:v>
      </x:c>
      <x:c r="D1835" s="1" t="str">
        <x:v>2006-07-31</x:v>
      </x:c>
      <x:c r="E1835" s="5" t="n">
        <x:v>3946.9</x:v>
      </x:c>
      <x:c r="F1835" s="6" t="str">
        <x:v>2006-08-31</x:v>
      </x:c>
      <x:c r="G1835" s="5" t="n">
        <x:v>4178.84</x:v>
      </x:c>
      <x:c r="H1835" s="7" t="n">
        <x:f>G1835/E1835-1</x:f>
        <x:v>0.05876510679267266</x:v>
      </x:c>
      <x:c r="I1835" s="1" t="n">
        <x:v>1</x:v>
      </x:c>
      <x:c r="J1835" s="1" t="n">
        <x:v>1</x:v>
      </x:c>
      <x:c r="K1835" s="1" t="str">
        <x:v>搜狐/腾讯</x:v>
      </x:c>
    </x:row>
    <x:row r="1836" ht="25" customHeight="1">
      <x:c r="A1836" s="1" t="str">
        <x:v>sz399001</x:v>
      </x:c>
      <x:c r="B1836" s="1" t="str">
        <x:v>深证成指</x:v>
      </x:c>
      <x:c r="C1836" s="1" t="str">
        <x:v>2006-09</x:v>
      </x:c>
      <x:c r="D1836" s="1" t="str">
        <x:v>2006-08-31</x:v>
      </x:c>
      <x:c r="E1836" s="5" t="n">
        <x:v>4178.84</x:v>
      </x:c>
      <x:c r="F1836" s="6" t="str">
        <x:v>2006-09-29</x:v>
      </x:c>
      <x:c r="G1836" s="5" t="n">
        <x:v>4326.78</x:v>
      </x:c>
      <x:c r="H1836" s="7" t="n">
        <x:f>G1836/E1836-1</x:f>
        <x:v>0.03540216902298243</x:v>
      </x:c>
      <x:c r="I1836" s="1" t="n">
        <x:v>1</x:v>
      </x:c>
      <x:c r="J1836" s="1" t="n">
        <x:v>1</x:v>
      </x:c>
      <x:c r="K1836" s="1" t="str">
        <x:v>搜狐/腾讯</x:v>
      </x:c>
    </x:row>
    <x:row r="1837" ht="25" customHeight="1">
      <x:c r="A1837" s="1" t="str">
        <x:v>sz399001</x:v>
      </x:c>
      <x:c r="B1837" s="1" t="str">
        <x:v>深证成指</x:v>
      </x:c>
      <x:c r="C1837" s="1" t="str">
        <x:v>2006-10</x:v>
      </x:c>
      <x:c r="D1837" s="1" t="str">
        <x:v>2006-09-29</x:v>
      </x:c>
      <x:c r="E1837" s="5" t="n">
        <x:v>4326.78</x:v>
      </x:c>
      <x:c r="F1837" s="6" t="str">
        <x:v>2006-10-31</x:v>
      </x:c>
      <x:c r="G1837" s="5" t="n">
        <x:v>4621.98</x:v>
      </x:c>
      <x:c r="H1837" s="7" t="n">
        <x:f>G1837/E1837-1</x:f>
        <x:v>0.06822625601486543</x:v>
      </x:c>
      <x:c r="I1837" s="1" t="n">
        <x:v>1</x:v>
      </x:c>
      <x:c r="J1837" s="1" t="n">
        <x:v>1</x:v>
      </x:c>
      <x:c r="K1837" s="1" t="str">
        <x:v>搜狐/腾讯</x:v>
      </x:c>
    </x:row>
    <x:row r="1838" ht="25" customHeight="1">
      <x:c r="A1838" s="1" t="str">
        <x:v>sz399001</x:v>
      </x:c>
      <x:c r="B1838" s="1" t="str">
        <x:v>深证成指</x:v>
      </x:c>
      <x:c r="C1838" s="1" t="str">
        <x:v>2006-11</x:v>
      </x:c>
      <x:c r="D1838" s="1" t="str">
        <x:v>2006-10-31</x:v>
      </x:c>
      <x:c r="E1838" s="5" t="n">
        <x:v>4621.98</x:v>
      </x:c>
      <x:c r="F1838" s="6" t="str">
        <x:v>2006-11-30</x:v>
      </x:c>
      <x:c r="G1838" s="5" t="n">
        <x:v>5667</x:v>
      </x:c>
      <x:c r="H1838" s="7" t="n">
        <x:f>G1838/E1838-1</x:f>
        <x:v>0.22609790609219438</x:v>
      </x:c>
      <x:c r="I1838" s="1" t="n">
        <x:v>1</x:v>
      </x:c>
      <x:c r="J1838" s="1" t="n">
        <x:v>1</x:v>
      </x:c>
      <x:c r="K1838" s="1" t="str">
        <x:v>搜狐/腾讯</x:v>
      </x:c>
    </x:row>
    <x:row r="1839" ht="25" customHeight="1">
      <x:c r="A1839" s="1" t="str">
        <x:v>sz399001</x:v>
      </x:c>
      <x:c r="B1839" s="1" t="str">
        <x:v>深证成指</x:v>
      </x:c>
      <x:c r="C1839" s="1" t="str">
        <x:v>2006-12</x:v>
      </x:c>
      <x:c r="D1839" s="1" t="str">
        <x:v>2006-11-30</x:v>
      </x:c>
      <x:c r="E1839" s="5" t="n">
        <x:v>5667</x:v>
      </x:c>
      <x:c r="F1839" s="6" t="str">
        <x:v>2006-12-29</x:v>
      </x:c>
      <x:c r="G1839" s="5" t="n">
        <x:v>6647.14</x:v>
      </x:c>
      <x:c r="H1839" s="7" t="n">
        <x:f>G1839/E1839-1</x:f>
        <x:v>0.172955708487736</x:v>
      </x:c>
      <x:c r="I1839" s="1" t="n">
        <x:v>1</x:v>
      </x:c>
      <x:c r="J1839" s="1" t="n">
        <x:v>1</x:v>
      </x:c>
      <x:c r="K1839" s="1" t="str">
        <x:v>搜狐/腾讯</x:v>
      </x:c>
    </x:row>
    <x:row r="1840" ht="25" customHeight="1">
      <x:c r="A1840" s="1" t="str">
        <x:v>sz399001</x:v>
      </x:c>
      <x:c r="B1840" s="1" t="str">
        <x:v>深证成指</x:v>
      </x:c>
      <x:c r="C1840" s="1" t="str">
        <x:v>2007-01</x:v>
      </x:c>
      <x:c r="D1840" s="1" t="str">
        <x:v>2006-12-29</x:v>
      </x:c>
      <x:c r="E1840" s="5" t="n">
        <x:v>6647.14</x:v>
      </x:c>
      <x:c r="F1840" s="6" t="str">
        <x:v>2007-01-31</x:v>
      </x:c>
      <x:c r="G1840" s="5" t="n">
        <x:v>7632.94</x:v>
      </x:c>
      <x:c r="H1840" s="7" t="n">
        <x:f>G1840/E1840-1</x:f>
        <x:v>0.14830438353938669</x:v>
      </x:c>
      <x:c r="I1840" s="1" t="n">
        <x:v>1</x:v>
      </x:c>
      <x:c r="J1840" s="1" t="n">
        <x:v>1</x:v>
      </x:c>
      <x:c r="K1840" s="1" t="str">
        <x:v>搜狐/腾讯</x:v>
      </x:c>
    </x:row>
    <x:row r="1841" ht="25" customHeight="1">
      <x:c r="A1841" s="1" t="str">
        <x:v>sz399001</x:v>
      </x:c>
      <x:c r="B1841" s="1" t="str">
        <x:v>深证成指</x:v>
      </x:c>
      <x:c r="C1841" s="1" t="str">
        <x:v>2007-02</x:v>
      </x:c>
      <x:c r="D1841" s="1" t="str">
        <x:v>2007-01-31</x:v>
      </x:c>
      <x:c r="E1841" s="5" t="n">
        <x:v>7632.94</x:v>
      </x:c>
      <x:c r="F1841" s="6" t="str">
        <x:v>2007-02-28</x:v>
      </x:c>
      <x:c r="G1841" s="5" t="n">
        <x:v>8039.7</x:v>
      </x:c>
      <x:c r="H1841" s="7" t="n">
        <x:f>G1841/E1841-1</x:f>
        <x:v>0.05329008219637532</x:v>
      </x:c>
      <x:c r="I1841" s="1" t="n">
        <x:v>1</x:v>
      </x:c>
      <x:c r="J1841" s="1" t="n">
        <x:v>1</x:v>
      </x:c>
      <x:c r="K1841" s="1" t="str">
        <x:v>搜狐/腾讯</x:v>
      </x:c>
    </x:row>
    <x:row r="1842" ht="25" customHeight="1">
      <x:c r="A1842" s="1" t="str">
        <x:v>sz399001</x:v>
      </x:c>
      <x:c r="B1842" s="1" t="str">
        <x:v>深证成指</x:v>
      </x:c>
      <x:c r="C1842" s="1" t="str">
        <x:v>2007-03</x:v>
      </x:c>
      <x:c r="D1842" s="1" t="str">
        <x:v>2007-02-28</x:v>
      </x:c>
      <x:c r="E1842" s="5" t="n">
        <x:v>8039.7</x:v>
      </x:c>
      <x:c r="F1842" s="6" t="str">
        <x:v>2007-03-30</x:v>
      </x:c>
      <x:c r="G1842" s="5" t="n">
        <x:v>8549.2</x:v>
      </x:c>
      <x:c r="H1842" s="7" t="n">
        <x:f>G1842/E1842-1</x:f>
        <x:v>0.0633730114307749</x:v>
      </x:c>
      <x:c r="I1842" s="1" t="n">
        <x:v>1</x:v>
      </x:c>
      <x:c r="J1842" s="1" t="n">
        <x:v>1</x:v>
      </x:c>
      <x:c r="K1842" s="1" t="str">
        <x:v>搜狐/腾讯</x:v>
      </x:c>
    </x:row>
    <x:row r="1843" ht="25" customHeight="1">
      <x:c r="A1843" s="1" t="str">
        <x:v>sz399001</x:v>
      </x:c>
      <x:c r="B1843" s="1" t="str">
        <x:v>深证成指</x:v>
      </x:c>
      <x:c r="C1843" s="1" t="str">
        <x:v>2007-04</x:v>
      </x:c>
      <x:c r="D1843" s="1" t="str">
        <x:v>2007-03-30</x:v>
      </x:c>
      <x:c r="E1843" s="5" t="n">
        <x:v>8549.2</x:v>
      </x:c>
      <x:c r="F1843" s="6" t="str">
        <x:v>2007-04-30</x:v>
      </x:c>
      <x:c r="G1843" s="5" t="n">
        <x:v>10865.88</x:v>
      </x:c>
      <x:c r="H1843" s="7" t="n">
        <x:f>G1843/E1843-1</x:f>
        <x:v>0.2709820801946379</x:v>
      </x:c>
      <x:c r="I1843" s="1" t="n">
        <x:v>1</x:v>
      </x:c>
      <x:c r="J1843" s="1" t="n">
        <x:v>1</x:v>
      </x:c>
      <x:c r="K1843" s="1" t="str">
        <x:v>搜狐/腾讯</x:v>
      </x:c>
    </x:row>
    <x:row r="1844" ht="25" customHeight="1">
      <x:c r="A1844" s="1" t="str">
        <x:v>sz399001</x:v>
      </x:c>
      <x:c r="B1844" s="1" t="str">
        <x:v>深证成指</x:v>
      </x:c>
      <x:c r="C1844" s="1" t="str">
        <x:v>2007-05</x:v>
      </x:c>
      <x:c r="D1844" s="1" t="str">
        <x:v>2007-04-30</x:v>
      </x:c>
      <x:c r="E1844" s="5" t="n">
        <x:v>10865.88</x:v>
      </x:c>
      <x:c r="F1844" s="6" t="str">
        <x:v>2007-05-31</x:v>
      </x:c>
      <x:c r="G1844" s="5" t="n">
        <x:v>12944.23</x:v>
      </x:c>
      <x:c r="H1844" s="7" t="n">
        <x:f>G1844/E1844-1</x:f>
        <x:v>0.19127304921460575</x:v>
      </x:c>
      <x:c r="I1844" s="1" t="n">
        <x:v>1</x:v>
      </x:c>
      <x:c r="J1844" s="1" t="n">
        <x:v>1</x:v>
      </x:c>
      <x:c r="K1844" s="1" t="str">
        <x:v>搜狐/腾讯</x:v>
      </x:c>
    </x:row>
    <x:row r="1845" ht="25" customHeight="1">
      <x:c r="A1845" s="1" t="str">
        <x:v>sz399001</x:v>
      </x:c>
      <x:c r="B1845" s="1" t="str">
        <x:v>深证成指</x:v>
      </x:c>
      <x:c r="C1845" s="1" t="str">
        <x:v>2007-06</x:v>
      </x:c>
      <x:c r="D1845" s="1" t="str">
        <x:v>2007-05-31</x:v>
      </x:c>
      <x:c r="E1845" s="5" t="n">
        <x:v>12944.23</x:v>
      </x:c>
      <x:c r="F1845" s="6" t="str">
        <x:v>2007-06-29</x:v>
      </x:c>
      <x:c r="G1845" s="5" t="n">
        <x:v>12546.45</x:v>
      </x:c>
      <x:c r="H1845" s="7" t="n">
        <x:f>G1845/E1845-1</x:f>
        <x:v>-0.030730294501874478</x:v>
      </x:c>
      <x:c r="I1845" s="1" t="n">
        <x:v>1</x:v>
      </x:c>
      <x:c r="J1845" s="1" t="n">
        <x:v>1</x:v>
      </x:c>
      <x:c r="K1845" s="1" t="str">
        <x:v>搜狐/腾讯</x:v>
      </x:c>
    </x:row>
    <x:row r="1846" ht="25" customHeight="1">
      <x:c r="A1846" s="1" t="str">
        <x:v>sz399001</x:v>
      </x:c>
      <x:c r="B1846" s="1" t="str">
        <x:v>深证成指</x:v>
      </x:c>
      <x:c r="C1846" s="1" t="str">
        <x:v>2007-07</x:v>
      </x:c>
      <x:c r="D1846" s="1" t="str">
        <x:v>2007-06-29</x:v>
      </x:c>
      <x:c r="E1846" s="5" t="n">
        <x:v>12546.45</x:v>
      </x:c>
      <x:c r="F1846" s="6" t="str">
        <x:v>2007-07-31</x:v>
      </x:c>
      <x:c r="G1846" s="5" t="n">
        <x:v>15199.56</x:v>
      </x:c>
      <x:c r="H1846" s="7" t="n">
        <x:f>G1846/E1846-1</x:f>
        <x:v>0.21146300347907165</x:v>
      </x:c>
      <x:c r="I1846" s="1" t="n">
        <x:v>1</x:v>
      </x:c>
      <x:c r="J1846" s="1" t="n">
        <x:v>1</x:v>
      </x:c>
      <x:c r="K1846" s="1" t="str">
        <x:v>搜狐/腾讯</x:v>
      </x:c>
    </x:row>
    <x:row r="1847" ht="25" customHeight="1">
      <x:c r="A1847" s="1" t="str">
        <x:v>sz399001</x:v>
      </x:c>
      <x:c r="B1847" s="1" t="str">
        <x:v>深证成指</x:v>
      </x:c>
      <x:c r="C1847" s="1" t="str">
        <x:v>2007-08</x:v>
      </x:c>
      <x:c r="D1847" s="1" t="str">
        <x:v>2007-07-31</x:v>
      </x:c>
      <x:c r="E1847" s="5" t="n">
        <x:v>15199.56</x:v>
      </x:c>
      <x:c r="F1847" s="6" t="str">
        <x:v>2007-08-31</x:v>
      </x:c>
      <x:c r="G1847" s="5" t="n">
        <x:v>17872.11</x:v>
      </x:c>
      <x:c r="H1847" s="7" t="n">
        <x:f>G1847/E1847-1</x:f>
        <x:v>0.17583074773217122</x:v>
      </x:c>
      <x:c r="I1847" s="1" t="n">
        <x:v>1</x:v>
      </x:c>
      <x:c r="J1847" s="1" t="n">
        <x:v>1</x:v>
      </x:c>
      <x:c r="K1847" s="1" t="str">
        <x:v>搜狐/腾讯</x:v>
      </x:c>
    </x:row>
    <x:row r="1848" ht="25" customHeight="1">
      <x:c r="A1848" s="1" t="str">
        <x:v>sz399001</x:v>
      </x:c>
      <x:c r="B1848" s="1" t="str">
        <x:v>深证成指</x:v>
      </x:c>
      <x:c r="C1848" s="1" t="str">
        <x:v>2007-09</x:v>
      </x:c>
      <x:c r="D1848" s="1" t="str">
        <x:v>2007-08-31</x:v>
      </x:c>
      <x:c r="E1848" s="5" t="n">
        <x:v>17872.11</x:v>
      </x:c>
      <x:c r="F1848" s="6" t="str">
        <x:v>2007-09-28</x:v>
      </x:c>
      <x:c r="G1848" s="5" t="n">
        <x:v>18864.55</x:v>
      </x:c>
      <x:c r="H1848" s="7" t="n">
        <x:f>G1848/E1848-1</x:f>
        <x:v>0.05553009689398736</x:v>
      </x:c>
      <x:c r="I1848" s="1" t="n">
        <x:v>1</x:v>
      </x:c>
      <x:c r="J1848" s="1" t="n">
        <x:v>1</x:v>
      </x:c>
      <x:c r="K1848" s="1" t="str">
        <x:v>搜狐/腾讯</x:v>
      </x:c>
    </x:row>
    <x:row r="1849" ht="25" customHeight="1">
      <x:c r="A1849" s="1" t="str">
        <x:v>sz399001</x:v>
      </x:c>
      <x:c r="B1849" s="1" t="str">
        <x:v>深证成指</x:v>
      </x:c>
      <x:c r="C1849" s="1" t="str">
        <x:v>2007-10</x:v>
      </x:c>
      <x:c r="D1849" s="1" t="str">
        <x:v>2007-09-28</x:v>
      </x:c>
      <x:c r="E1849" s="5" t="n">
        <x:v>18864.55</x:v>
      </x:c>
      <x:c r="F1849" s="6" t="str">
        <x:v>2007-10-31</x:v>
      </x:c>
      <x:c r="G1849" s="5" t="n">
        <x:v>19531.15</x:v>
      </x:c>
      <x:c r="H1849" s="7" t="n">
        <x:f>G1849/E1849-1</x:f>
        <x:v>0.03533611986503793</x:v>
      </x:c>
      <x:c r="I1849" s="1" t="n">
        <x:v>1</x:v>
      </x:c>
      <x:c r="J1849" s="1" t="n">
        <x:v>1</x:v>
      </x:c>
      <x:c r="K1849" s="1" t="str">
        <x:v>搜狐/腾讯</x:v>
      </x:c>
    </x:row>
    <x:row r="1850" ht="25" customHeight="1">
      <x:c r="A1850" s="1" t="str">
        <x:v>sz399001</x:v>
      </x:c>
      <x:c r="B1850" s="1" t="str">
        <x:v>深证成指</x:v>
      </x:c>
      <x:c r="C1850" s="1" t="str">
        <x:v>2007-11</x:v>
      </x:c>
      <x:c r="D1850" s="1" t="str">
        <x:v>2007-10-31</x:v>
      </x:c>
      <x:c r="E1850" s="5" t="n">
        <x:v>19531.15</x:v>
      </x:c>
      <x:c r="F1850" s="6" t="str">
        <x:v>2007-11-30</x:v>
      </x:c>
      <x:c r="G1850" s="5" t="n">
        <x:v>15637.66</x:v>
      </x:c>
      <x:c r="H1850" s="7" t="n">
        <x:f>G1850/E1850-1</x:f>
        <x:v>-0.1993477086602684</x:v>
      </x:c>
      <x:c r="I1850" s="1" t="n">
        <x:v>1</x:v>
      </x:c>
      <x:c r="J1850" s="1" t="n">
        <x:v>1</x:v>
      </x:c>
      <x:c r="K1850" s="1" t="str">
        <x:v>搜狐/腾讯</x:v>
      </x:c>
    </x:row>
    <x:row r="1851" ht="25" customHeight="1">
      <x:c r="A1851" s="1" t="str">
        <x:v>sz399001</x:v>
      </x:c>
      <x:c r="B1851" s="1" t="str">
        <x:v>深证成指</x:v>
      </x:c>
      <x:c r="C1851" s="1" t="str">
        <x:v>2007-12</x:v>
      </x:c>
      <x:c r="D1851" s="1" t="str">
        <x:v>2007-11-30</x:v>
      </x:c>
      <x:c r="E1851" s="5" t="n">
        <x:v>15637.66</x:v>
      </x:c>
      <x:c r="F1851" s="6" t="str">
        <x:v>2007-12-28</x:v>
      </x:c>
      <x:c r="G1851" s="5" t="n">
        <x:v>17700.62</x:v>
      </x:c>
      <x:c r="H1851" s="7" t="n">
        <x:f>G1851/E1851-1</x:f>
        <x:v>0.13192255107221929</x:v>
      </x:c>
      <x:c r="I1851" s="1" t="n">
        <x:v>1</x:v>
      </x:c>
      <x:c r="J1851" s="1" t="n">
        <x:v>1</x:v>
      </x:c>
      <x:c r="K1851" s="1" t="str">
        <x:v>搜狐/腾讯</x:v>
      </x:c>
    </x:row>
    <x:row r="1852" ht="25" customHeight="1">
      <x:c r="A1852" s="1" t="str">
        <x:v>sz399001</x:v>
      </x:c>
      <x:c r="B1852" s="1" t="str">
        <x:v>深证成指</x:v>
      </x:c>
      <x:c r="C1852" s="1" t="str">
        <x:v>2008-01</x:v>
      </x:c>
      <x:c r="D1852" s="1" t="str">
        <x:v>2007-12-28</x:v>
      </x:c>
      <x:c r="E1852" s="5" t="n">
        <x:v>17700.62</x:v>
      </x:c>
      <x:c r="F1852" s="6" t="str">
        <x:v>2008-01-31</x:v>
      </x:c>
      <x:c r="G1852" s="5" t="n">
        <x:v>15857.71</x:v>
      </x:c>
      <x:c r="H1852" s="7" t="n">
        <x:f>G1852/E1852-1</x:f>
        <x:v>-0.1041155620537586</x:v>
      </x:c>
      <x:c r="I1852" s="1" t="n">
        <x:v>1</x:v>
      </x:c>
      <x:c r="J1852" s="1" t="n">
        <x:v>1</x:v>
      </x:c>
      <x:c r="K1852" s="1" t="str">
        <x:v>搜狐/腾讯</x:v>
      </x:c>
    </x:row>
    <x:row r="1853" ht="25" customHeight="1">
      <x:c r="A1853" s="1" t="str">
        <x:v>sz399001</x:v>
      </x:c>
      <x:c r="B1853" s="1" t="str">
        <x:v>深证成指</x:v>
      </x:c>
      <x:c r="C1853" s="1" t="str">
        <x:v>2008-02</x:v>
      </x:c>
      <x:c r="D1853" s="1" t="str">
        <x:v>2008-01-31</x:v>
      </x:c>
      <x:c r="E1853" s="5" t="n">
        <x:v>15857.71</x:v>
      </x:c>
      <x:c r="F1853" s="6" t="str">
        <x:v>2008-02-29</x:v>
      </x:c>
      <x:c r="G1853" s="5" t="n">
        <x:v>15823.88</x:v>
      </x:c>
      <x:c r="H1853" s="7" t="n">
        <x:f>G1853/E1853-1</x:f>
        <x:v>-0.002133347122629914</x:v>
      </x:c>
      <x:c r="I1853" s="1" t="n">
        <x:v>1</x:v>
      </x:c>
      <x:c r="J1853" s="1" t="n">
        <x:v>1</x:v>
      </x:c>
      <x:c r="K1853" s="1" t="str">
        <x:v>搜狐/腾讯</x:v>
      </x:c>
    </x:row>
    <x:row r="1854" ht="25" customHeight="1">
      <x:c r="A1854" s="1" t="str">
        <x:v>sz399001</x:v>
      </x:c>
      <x:c r="B1854" s="1" t="str">
        <x:v>深证成指</x:v>
      </x:c>
      <x:c r="C1854" s="1" t="str">
        <x:v>2008-03</x:v>
      </x:c>
      <x:c r="D1854" s="1" t="str">
        <x:v>2008-02-29</x:v>
      </x:c>
      <x:c r="E1854" s="5" t="n">
        <x:v>15823.88</x:v>
      </x:c>
      <x:c r="F1854" s="6" t="str">
        <x:v>2008-03-31</x:v>
      </x:c>
      <x:c r="G1854" s="5" t="n">
        <x:v>13302.14</x:v>
      </x:c>
      <x:c r="H1854" s="7" t="n">
        <x:f>G1854/E1854-1</x:f>
        <x:v>-0.1593629375349156</x:v>
      </x:c>
      <x:c r="I1854" s="1" t="n">
        <x:v>1</x:v>
      </x:c>
      <x:c r="J1854" s="1" t="n">
        <x:v>1</x:v>
      </x:c>
      <x:c r="K1854" s="1" t="str">
        <x:v>搜狐/腾讯</x:v>
      </x:c>
    </x:row>
    <x:row r="1855" ht="25" customHeight="1">
      <x:c r="A1855" s="1" t="str">
        <x:v>sz399001</x:v>
      </x:c>
      <x:c r="B1855" s="1" t="str">
        <x:v>深证成指</x:v>
      </x:c>
      <x:c r="C1855" s="1" t="str">
        <x:v>2008-04</x:v>
      </x:c>
      <x:c r="D1855" s="1" t="str">
        <x:v>2008-03-31</x:v>
      </x:c>
      <x:c r="E1855" s="5" t="n">
        <x:v>13302.14</x:v>
      </x:c>
      <x:c r="F1855" s="6" t="str">
        <x:v>2008-04-30</x:v>
      </x:c>
      <x:c r="G1855" s="5" t="n">
        <x:v>13504.89</x:v>
      </x:c>
      <x:c r="H1855" s="7" t="n">
        <x:f>G1855/E1855-1</x:f>
        <x:v>0.015241908444806551</x:v>
      </x:c>
      <x:c r="I1855" s="1" t="n">
        <x:v>1</x:v>
      </x:c>
      <x:c r="J1855" s="1" t="n">
        <x:v>1</x:v>
      </x:c>
      <x:c r="K1855" s="1" t="str">
        <x:v>搜狐/腾讯</x:v>
      </x:c>
    </x:row>
    <x:row r="1856" ht="25" customHeight="1">
      <x:c r="A1856" s="1" t="str">
        <x:v>sz399001</x:v>
      </x:c>
      <x:c r="B1856" s="1" t="str">
        <x:v>深证成指</x:v>
      </x:c>
      <x:c r="C1856" s="1" t="str">
        <x:v>2008-05</x:v>
      </x:c>
      <x:c r="D1856" s="1" t="str">
        <x:v>2008-04-30</x:v>
      </x:c>
      <x:c r="E1856" s="5" t="n">
        <x:v>13504.89</x:v>
      </x:c>
      <x:c r="F1856" s="6" t="str">
        <x:v>2008-05-30</x:v>
      </x:c>
      <x:c r="G1856" s="5" t="n">
        <x:v>12048.24</x:v>
      </x:c>
      <x:c r="H1856" s="7" t="n">
        <x:f>G1856/E1856-1</x:f>
        <x:v>-0.10786093037410893</x:v>
      </x:c>
      <x:c r="I1856" s="1" t="n">
        <x:v>1</x:v>
      </x:c>
      <x:c r="J1856" s="1" t="n">
        <x:v>1</x:v>
      </x:c>
      <x:c r="K1856" s="1" t="str">
        <x:v>搜狐/腾讯</x:v>
      </x:c>
    </x:row>
    <x:row r="1857" ht="25" customHeight="1">
      <x:c r="A1857" s="1" t="str">
        <x:v>sz399001</x:v>
      </x:c>
      <x:c r="B1857" s="1" t="str">
        <x:v>深证成指</x:v>
      </x:c>
      <x:c r="C1857" s="1" t="str">
        <x:v>2008-06</x:v>
      </x:c>
      <x:c r="D1857" s="1" t="str">
        <x:v>2008-05-30</x:v>
      </x:c>
      <x:c r="E1857" s="5" t="n">
        <x:v>12048.24</x:v>
      </x:c>
      <x:c r="F1857" s="6" t="str">
        <x:v>2008-06-30</x:v>
      </x:c>
      <x:c r="G1857" s="5" t="n">
        <x:v>9370.78</x:v>
      </x:c>
      <x:c r="H1857" s="7" t="n">
        <x:f>G1857/E1857-1</x:f>
        <x:v>-0.2222283088650292</x:v>
      </x:c>
      <x:c r="I1857" s="1" t="n">
        <x:v>1</x:v>
      </x:c>
      <x:c r="J1857" s="1" t="n">
        <x:v>1</x:v>
      </x:c>
      <x:c r="K1857" s="1" t="str">
        <x:v>搜狐/腾讯</x:v>
      </x:c>
    </x:row>
    <x:row r="1858" ht="25" customHeight="1">
      <x:c r="A1858" s="1" t="str">
        <x:v>sz399001</x:v>
      </x:c>
      <x:c r="B1858" s="1" t="str">
        <x:v>深证成指</x:v>
      </x:c>
      <x:c r="C1858" s="1" t="str">
        <x:v>2008-07</x:v>
      </x:c>
      <x:c r="D1858" s="1" t="str">
        <x:v>2008-06-30</x:v>
      </x:c>
      <x:c r="E1858" s="5" t="n">
        <x:v>9370.78</x:v>
      </x:c>
      <x:c r="F1858" s="6" t="str">
        <x:v>2008-07-31</x:v>
      </x:c>
      <x:c r="G1858" s="5" t="n">
        <x:v>9470.33</x:v>
      </x:c>
      <x:c r="H1858" s="7" t="n">
        <x:f>G1858/E1858-1</x:f>
        <x:v>0.010623448635012078</x:v>
      </x:c>
      <x:c r="I1858" s="1" t="n">
        <x:v>1</x:v>
      </x:c>
      <x:c r="J1858" s="1" t="n">
        <x:v>1</x:v>
      </x:c>
      <x:c r="K1858" s="1" t="str">
        <x:v>搜狐/腾讯</x:v>
      </x:c>
    </x:row>
    <x:row r="1859" ht="25" customHeight="1">
      <x:c r="A1859" s="1" t="str">
        <x:v>sz399001</x:v>
      </x:c>
      <x:c r="B1859" s="1" t="str">
        <x:v>深证成指</x:v>
      </x:c>
      <x:c r="C1859" s="1" t="str">
        <x:v>2008-08</x:v>
      </x:c>
      <x:c r="D1859" s="1" t="str">
        <x:v>2008-07-31</x:v>
      </x:c>
      <x:c r="E1859" s="5" t="n">
        <x:v>9470.33</x:v>
      </x:c>
      <x:c r="F1859" s="6" t="str">
        <x:v>2008-08-29</x:v>
      </x:c>
      <x:c r="G1859" s="5" t="n">
        <x:v>8004.24</x:v>
      </x:c>
      <x:c r="H1859" s="7" t="n">
        <x:f>G1859/E1859-1</x:f>
        <x:v>-0.1548087553443228</x:v>
      </x:c>
      <x:c r="I1859" s="1" t="n">
        <x:v>1</x:v>
      </x:c>
      <x:c r="J1859" s="1" t="n">
        <x:v>1</x:v>
      </x:c>
      <x:c r="K1859" s="1" t="str">
        <x:v>搜狐/腾讯</x:v>
      </x:c>
    </x:row>
    <x:row r="1860" ht="25" customHeight="1">
      <x:c r="A1860" s="1" t="str">
        <x:v>sz399001</x:v>
      </x:c>
      <x:c r="B1860" s="1" t="str">
        <x:v>深证成指</x:v>
      </x:c>
      <x:c r="C1860" s="1" t="str">
        <x:v>2008-09</x:v>
      </x:c>
      <x:c r="D1860" s="1" t="str">
        <x:v>2008-08-29</x:v>
      </x:c>
      <x:c r="E1860" s="5" t="n">
        <x:v>8004.24</x:v>
      </x:c>
      <x:c r="F1860" s="6" t="str">
        <x:v>2008-09-26</x:v>
      </x:c>
      <x:c r="G1860" s="5" t="n">
        <x:v>7559.27</x:v>
      </x:c>
      <x:c r="H1860" s="7" t="n">
        <x:f>G1860/E1860-1</x:f>
        <x:v>-0.0555917863532327</x:v>
      </x:c>
      <x:c r="I1860" s="1" t="n">
        <x:v>1</x:v>
      </x:c>
      <x:c r="J1860" s="1" t="n">
        <x:v>1</x:v>
      </x:c>
      <x:c r="K1860" s="1" t="str">
        <x:v>搜狐/腾讯</x:v>
      </x:c>
    </x:row>
    <x:row r="1861" ht="25" customHeight="1">
      <x:c r="A1861" s="1" t="str">
        <x:v>sz399001</x:v>
      </x:c>
      <x:c r="B1861" s="1" t="str">
        <x:v>深证成指</x:v>
      </x:c>
      <x:c r="C1861" s="1" t="str">
        <x:v>2008-10</x:v>
      </x:c>
      <x:c r="D1861" s="1" t="str">
        <x:v>2008-09-26</x:v>
      </x:c>
      <x:c r="E1861" s="5" t="n">
        <x:v>7559.27</x:v>
      </x:c>
      <x:c r="F1861" s="6" t="str">
        <x:v>2008-10-31</x:v>
      </x:c>
      <x:c r="G1861" s="5" t="n">
        <x:v>5839.33</x:v>
      </x:c>
      <x:c r="H1861" s="7" t="n">
        <x:f>G1861/E1861-1</x:f>
        <x:v>-0.22752726123025113</x:v>
      </x:c>
      <x:c r="I1861" s="1" t="n">
        <x:v>1</x:v>
      </x:c>
      <x:c r="J1861" s="1" t="n">
        <x:v>1</x:v>
      </x:c>
      <x:c r="K1861" s="1" t="str">
        <x:v>搜狐/腾讯</x:v>
      </x:c>
    </x:row>
    <x:row r="1862" ht="25" customHeight="1">
      <x:c r="A1862" s="1" t="str">
        <x:v>sz399001</x:v>
      </x:c>
      <x:c r="B1862" s="1" t="str">
        <x:v>深证成指</x:v>
      </x:c>
      <x:c r="C1862" s="1" t="str">
        <x:v>2008-11</x:v>
      </x:c>
      <x:c r="D1862" s="1" t="str">
        <x:v>2008-10-31</x:v>
      </x:c>
      <x:c r="E1862" s="5" t="n">
        <x:v>5839.33</x:v>
      </x:c>
      <x:c r="F1862" s="6" t="str">
        <x:v>2008-11-28</x:v>
      </x:c>
      <x:c r="G1862" s="5" t="n">
        <x:v>6658.51</x:v>
      </x:c>
      <x:c r="H1862" s="7" t="n">
        <x:f>G1862/E1862-1</x:f>
        <x:v>0.1402866424743936</x:v>
      </x:c>
      <x:c r="I1862" s="1" t="n">
        <x:v>1</x:v>
      </x:c>
      <x:c r="J1862" s="1" t="n">
        <x:v>1</x:v>
      </x:c>
      <x:c r="K1862" s="1" t="str">
        <x:v>搜狐/腾讯</x:v>
      </x:c>
    </x:row>
    <x:row r="1863" ht="25" customHeight="1">
      <x:c r="A1863" s="1" t="str">
        <x:v>sz399001</x:v>
      </x:c>
      <x:c r="B1863" s="1" t="str">
        <x:v>深证成指</x:v>
      </x:c>
      <x:c r="C1863" s="1" t="str">
        <x:v>2008-12</x:v>
      </x:c>
      <x:c r="D1863" s="1" t="str">
        <x:v>2008-11-28</x:v>
      </x:c>
      <x:c r="E1863" s="5" t="n">
        <x:v>6658.51</x:v>
      </x:c>
      <x:c r="F1863" s="6" t="str">
        <x:v>2008-12-31</x:v>
      </x:c>
      <x:c r="G1863" s="5" t="n">
        <x:v>6485.51</x:v>
      </x:c>
      <x:c r="H1863" s="7" t="n">
        <x:f>G1863/E1863-1</x:f>
        <x:v>-0.0259817887184971</x:v>
      </x:c>
      <x:c r="I1863" s="1" t="n">
        <x:v>1</x:v>
      </x:c>
      <x:c r="J1863" s="1" t="n">
        <x:v>1</x:v>
      </x:c>
      <x:c r="K1863" s="1" t="str">
        <x:v>搜狐/腾讯</x:v>
      </x:c>
    </x:row>
    <x:row r="1864" ht="25" customHeight="1">
      <x:c r="A1864" s="1" t="str">
        <x:v>sz399001</x:v>
      </x:c>
      <x:c r="B1864" s="1" t="str">
        <x:v>深证成指</x:v>
      </x:c>
      <x:c r="C1864" s="1" t="str">
        <x:v>2009-01</x:v>
      </x:c>
      <x:c r="D1864" s="1" t="str">
        <x:v>2008-12-31</x:v>
      </x:c>
      <x:c r="E1864" s="5" t="n">
        <x:v>6485.51</x:v>
      </x:c>
      <x:c r="F1864" s="6" t="str">
        <x:v>2009-01-23</x:v>
      </x:c>
      <x:c r="G1864" s="5" t="n">
        <x:v>7015.24</x:v>
      </x:c>
      <x:c r="H1864" s="7" t="n">
        <x:f>G1864/E1864-1</x:f>
        <x:v>0.08167900442679144</x:v>
      </x:c>
      <x:c r="I1864" s="1" t="n">
        <x:v>1</x:v>
      </x:c>
      <x:c r="J1864" s="1" t="n">
        <x:v>1</x:v>
      </x:c>
      <x:c r="K1864" s="1" t="str">
        <x:v>搜狐/腾讯</x:v>
      </x:c>
    </x:row>
    <x:row r="1865" ht="25" customHeight="1">
      <x:c r="A1865" s="1" t="str">
        <x:v>sz399001</x:v>
      </x:c>
      <x:c r="B1865" s="1" t="str">
        <x:v>深证成指</x:v>
      </x:c>
      <x:c r="C1865" s="1" t="str">
        <x:v>2009-02</x:v>
      </x:c>
      <x:c r="D1865" s="1" t="str">
        <x:v>2009-01-23</x:v>
      </x:c>
      <x:c r="E1865" s="5" t="n">
        <x:v>7015.24</x:v>
      </x:c>
      <x:c r="F1865" s="6" t="str">
        <x:v>2009-02-27</x:v>
      </x:c>
      <x:c r="G1865" s="5" t="n">
        <x:v>7608.22</x:v>
      </x:c>
      <x:c r="H1865" s="7" t="n">
        <x:f>G1865/E1865-1</x:f>
        <x:v>0.08452740034553341</x:v>
      </x:c>
      <x:c r="I1865" s="1" t="n">
        <x:v>1</x:v>
      </x:c>
      <x:c r="J1865" s="1" t="n">
        <x:v>1</x:v>
      </x:c>
      <x:c r="K1865" s="1" t="str">
        <x:v>搜狐/腾讯</x:v>
      </x:c>
    </x:row>
    <x:row r="1866" ht="25" customHeight="1">
      <x:c r="A1866" s="1" t="str">
        <x:v>sz399001</x:v>
      </x:c>
      <x:c r="B1866" s="1" t="str">
        <x:v>深证成指</x:v>
      </x:c>
      <x:c r="C1866" s="1" t="str">
        <x:v>2009-03</x:v>
      </x:c>
      <x:c r="D1866" s="1" t="str">
        <x:v>2009-02-27</x:v>
      </x:c>
      <x:c r="E1866" s="5" t="n">
        <x:v>7608.22</x:v>
      </x:c>
      <x:c r="F1866" s="6" t="str">
        <x:v>2009-03-31</x:v>
      </x:c>
      <x:c r="G1866" s="5" t="n">
        <x:v>8981.95</x:v>
      </x:c>
      <x:c r="H1866" s="7" t="n">
        <x:f>G1866/E1866-1</x:f>
        <x:v>0.18055865892416367</x:v>
      </x:c>
      <x:c r="I1866" s="1" t="n">
        <x:v>1</x:v>
      </x:c>
      <x:c r="J1866" s="1" t="n">
        <x:v>1</x:v>
      </x:c>
      <x:c r="K1866" s="1" t="str">
        <x:v>搜狐/腾讯</x:v>
      </x:c>
    </x:row>
    <x:row r="1867" ht="25" customHeight="1">
      <x:c r="A1867" s="1" t="str">
        <x:v>sz399001</x:v>
      </x:c>
      <x:c r="B1867" s="1" t="str">
        <x:v>深证成指</x:v>
      </x:c>
      <x:c r="C1867" s="1" t="str">
        <x:v>2009-04</x:v>
      </x:c>
      <x:c r="D1867" s="1" t="str">
        <x:v>2009-03-31</x:v>
      </x:c>
      <x:c r="E1867" s="5" t="n">
        <x:v>8981.95</x:v>
      </x:c>
      <x:c r="F1867" s="6" t="str">
        <x:v>2009-04-30</x:v>
      </x:c>
      <x:c r="G1867" s="5" t="n">
        <x:v>9502.52</x:v>
      </x:c>
      <x:c r="H1867" s="7" t="n">
        <x:f>G1867/E1867-1</x:f>
        <x:v>0.0579573477919606</x:v>
      </x:c>
      <x:c r="I1867" s="1" t="n">
        <x:v>1</x:v>
      </x:c>
      <x:c r="J1867" s="1" t="n">
        <x:v>1</x:v>
      </x:c>
      <x:c r="K1867" s="1" t="str">
        <x:v>搜狐/腾讯</x:v>
      </x:c>
    </x:row>
    <x:row r="1868" ht="25" customHeight="1">
      <x:c r="A1868" s="1" t="str">
        <x:v>sz399001</x:v>
      </x:c>
      <x:c r="B1868" s="1" t="str">
        <x:v>深证成指</x:v>
      </x:c>
      <x:c r="C1868" s="1" t="str">
        <x:v>2009-05</x:v>
      </x:c>
      <x:c r="D1868" s="1" t="str">
        <x:v>2009-04-30</x:v>
      </x:c>
      <x:c r="E1868" s="5" t="n">
        <x:v>9502.52</x:v>
      </x:c>
      <x:c r="F1868" s="6" t="str">
        <x:v>2009-05-27</x:v>
      </x:c>
      <x:c r="G1868" s="5" t="n">
        <x:v>10127.92</x:v>
      </x:c>
      <x:c r="H1868" s="7" t="n">
        <x:f>G1868/E1868-1</x:f>
        <x:v>0.06581412088582805</x:v>
      </x:c>
      <x:c r="I1868" s="1" t="n">
        <x:v>1</x:v>
      </x:c>
      <x:c r="J1868" s="1" t="n">
        <x:v>1</x:v>
      </x:c>
      <x:c r="K1868" s="1" t="str">
        <x:v>搜狐/腾讯</x:v>
      </x:c>
    </x:row>
    <x:row r="1869" ht="25" customHeight="1">
      <x:c r="A1869" s="1" t="str">
        <x:v>sz399001</x:v>
      </x:c>
      <x:c r="B1869" s="1" t="str">
        <x:v>深证成指</x:v>
      </x:c>
      <x:c r="C1869" s="1" t="str">
        <x:v>2009-06</x:v>
      </x:c>
      <x:c r="D1869" s="1" t="str">
        <x:v>2009-05-27</x:v>
      </x:c>
      <x:c r="E1869" s="5" t="n">
        <x:v>10127.92</x:v>
      </x:c>
      <x:c r="F1869" s="6" t="str">
        <x:v>2009-06-30</x:v>
      </x:c>
      <x:c r="G1869" s="5" t="n">
        <x:v>11566.61</x:v>
      </x:c>
      <x:c r="H1869" s="7" t="n">
        <x:f>G1869/E1869-1</x:f>
        <x:v>0.1420518724476496</x:v>
      </x:c>
      <x:c r="I1869" s="1" t="n">
        <x:v>1</x:v>
      </x:c>
      <x:c r="J1869" s="1" t="n">
        <x:v>1</x:v>
      </x:c>
      <x:c r="K1869" s="1" t="str">
        <x:v>搜狐/腾讯</x:v>
      </x:c>
    </x:row>
    <x:row r="1870" ht="25" customHeight="1">
      <x:c r="A1870" s="1" t="str">
        <x:v>sz399001</x:v>
      </x:c>
      <x:c r="B1870" s="1" t="str">
        <x:v>深证成指</x:v>
      </x:c>
      <x:c r="C1870" s="1" t="str">
        <x:v>2009-07</x:v>
      </x:c>
      <x:c r="D1870" s="1" t="str">
        <x:v>2009-06-30</x:v>
      </x:c>
      <x:c r="E1870" s="5" t="n">
        <x:v>11566.61</x:v>
      </x:c>
      <x:c r="F1870" s="6" t="str">
        <x:v>2009-07-31</x:v>
      </x:c>
      <x:c r="G1870" s="5" t="n">
        <x:v>13670.72</x:v>
      </x:c>
      <x:c r="H1870" s="7" t="n">
        <x:f>G1870/E1870-1</x:f>
        <x:v>0.18191241859109963</x:v>
      </x:c>
      <x:c r="I1870" s="1" t="n">
        <x:v>1</x:v>
      </x:c>
      <x:c r="J1870" s="1" t="n">
        <x:v>1</x:v>
      </x:c>
      <x:c r="K1870" s="1" t="str">
        <x:v>搜狐/腾讯</x:v>
      </x:c>
    </x:row>
    <x:row r="1871" ht="25" customHeight="1">
      <x:c r="A1871" s="1" t="str">
        <x:v>sz399001</x:v>
      </x:c>
      <x:c r="B1871" s="1" t="str">
        <x:v>深证成指</x:v>
      </x:c>
      <x:c r="C1871" s="1" t="str">
        <x:v>2009-08</x:v>
      </x:c>
      <x:c r="D1871" s="1" t="str">
        <x:v>2009-07-31</x:v>
      </x:c>
      <x:c r="E1871" s="5" t="n">
        <x:v>13670.72</x:v>
      </x:c>
      <x:c r="F1871" s="6" t="str">
        <x:v>2009-08-31</x:v>
      </x:c>
      <x:c r="G1871" s="5" t="n">
        <x:v>10585.09</x:v>
      </x:c>
      <x:c r="H1871" s="7" t="n">
        <x:f>G1871/E1871-1</x:f>
        <x:v>-0.22571086233936466</x:v>
      </x:c>
      <x:c r="I1871" s="1" t="n">
        <x:v>1</x:v>
      </x:c>
      <x:c r="J1871" s="1" t="n">
        <x:v>1</x:v>
      </x:c>
      <x:c r="K1871" s="1" t="str">
        <x:v>搜狐/腾讯</x:v>
      </x:c>
    </x:row>
    <x:row r="1872" ht="25" customHeight="1">
      <x:c r="A1872" s="1" t="str">
        <x:v>sz399001</x:v>
      </x:c>
      <x:c r="B1872" s="1" t="str">
        <x:v>深证成指</x:v>
      </x:c>
      <x:c r="C1872" s="1" t="str">
        <x:v>2009-09</x:v>
      </x:c>
      <x:c r="D1872" s="1" t="str">
        <x:v>2009-08-31</x:v>
      </x:c>
      <x:c r="E1872" s="5" t="n">
        <x:v>10585.09</x:v>
      </x:c>
      <x:c r="F1872" s="6" t="str">
        <x:v>2009-09-30</x:v>
      </x:c>
      <x:c r="G1872" s="5" t="n">
        <x:v>11206.85</x:v>
      </x:c>
      <x:c r="H1872" s="7" t="n">
        <x:f>G1872/E1872-1</x:f>
        <x:v>0.05873922659136577</x:v>
      </x:c>
      <x:c r="I1872" s="1" t="n">
        <x:v>1</x:v>
      </x:c>
      <x:c r="J1872" s="1" t="n">
        <x:v>1</x:v>
      </x:c>
      <x:c r="K1872" s="1" t="str">
        <x:v>搜狐/腾讯</x:v>
      </x:c>
    </x:row>
    <x:row r="1873" ht="25" customHeight="1">
      <x:c r="A1873" s="1" t="str">
        <x:v>sz399001</x:v>
      </x:c>
      <x:c r="B1873" s="1" t="str">
        <x:v>深证成指</x:v>
      </x:c>
      <x:c r="C1873" s="1" t="str">
        <x:v>2009-10</x:v>
      </x:c>
      <x:c r="D1873" s="1" t="str">
        <x:v>2009-09-30</x:v>
      </x:c>
      <x:c r="E1873" s="5" t="n">
        <x:v>11206.85</x:v>
      </x:c>
      <x:c r="F1873" s="6" t="str">
        <x:v>2009-10-30</x:v>
      </x:c>
      <x:c r="G1873" s="5" t="n">
        <x:v>12297.16</x:v>
      </x:c>
      <x:c r="H1873" s="7" t="n">
        <x:f>G1873/E1873-1</x:f>
        <x:v>0.09728960412604781</x:v>
      </x:c>
      <x:c r="I1873" s="1" t="n">
        <x:v>1</x:v>
      </x:c>
      <x:c r="J1873" s="1" t="n">
        <x:v>1</x:v>
      </x:c>
      <x:c r="K1873" s="1" t="str">
        <x:v>搜狐/腾讯</x:v>
      </x:c>
    </x:row>
    <x:row r="1874" ht="25" customHeight="1">
      <x:c r="A1874" s="1" t="str">
        <x:v>sz399001</x:v>
      </x:c>
      <x:c r="B1874" s="1" t="str">
        <x:v>深证成指</x:v>
      </x:c>
      <x:c r="C1874" s="1" t="str">
        <x:v>2009-11</x:v>
      </x:c>
      <x:c r="D1874" s="1" t="str">
        <x:v>2009-10-30</x:v>
      </x:c>
      <x:c r="E1874" s="5" t="n">
        <x:v>12297.16</x:v>
      </x:c>
      <x:c r="F1874" s="6" t="str">
        <x:v>2009-11-30</x:v>
      </x:c>
      <x:c r="G1874" s="5" t="n">
        <x:v>13486.77</x:v>
      </x:c>
      <x:c r="H1874" s="7" t="n">
        <x:f>G1874/E1874-1</x:f>
        <x:v>0.09673859655400108</x:v>
      </x:c>
      <x:c r="I1874" s="1" t="n">
        <x:v>1</x:v>
      </x:c>
      <x:c r="J1874" s="1" t="n">
        <x:v>1</x:v>
      </x:c>
      <x:c r="K1874" s="1" t="str">
        <x:v>搜狐/腾讯</x:v>
      </x:c>
    </x:row>
    <x:row r="1875" ht="25" customHeight="1">
      <x:c r="A1875" s="1" t="str">
        <x:v>sz399001</x:v>
      </x:c>
      <x:c r="B1875" s="1" t="str">
        <x:v>深证成指</x:v>
      </x:c>
      <x:c r="C1875" s="1" t="str">
        <x:v>2009-12</x:v>
      </x:c>
      <x:c r="D1875" s="1" t="str">
        <x:v>2009-11-30</x:v>
      </x:c>
      <x:c r="E1875" s="5" t="n">
        <x:v>13486.77</x:v>
      </x:c>
      <x:c r="F1875" s="6" t="str">
        <x:v>2009-12-31</x:v>
      </x:c>
      <x:c r="G1875" s="5" t="n">
        <x:v>13699.97</x:v>
      </x:c>
      <x:c r="H1875" s="7" t="n">
        <x:f>G1875/E1875-1</x:f>
        <x:v>0.015808084515417598</x:v>
      </x:c>
      <x:c r="I1875" s="1" t="n">
        <x:v>1</x:v>
      </x:c>
      <x:c r="J1875" s="1" t="n">
        <x:v>1</x:v>
      </x:c>
      <x:c r="K1875" s="1" t="str">
        <x:v>搜狐/腾讯</x:v>
      </x:c>
    </x:row>
    <x:row r="1876" ht="25" customHeight="1">
      <x:c r="A1876" s="1" t="str">
        <x:v>sz399001</x:v>
      </x:c>
      <x:c r="B1876" s="1" t="str">
        <x:v>深证成指</x:v>
      </x:c>
      <x:c r="C1876" s="1" t="str">
        <x:v>2010-01</x:v>
      </x:c>
      <x:c r="D1876" s="1" t="str">
        <x:v>2009-12-31</x:v>
      </x:c>
      <x:c r="E1876" s="5" t="n">
        <x:v>13699.97</x:v>
      </x:c>
      <x:c r="F1876" s="6" t="str">
        <x:v>2010-01-29</x:v>
      </x:c>
      <x:c r="G1876" s="5" t="n">
        <x:v>12137.2</x:v>
      </x:c>
      <x:c r="H1876" s="7" t="n">
        <x:f>G1876/E1876-1</x:f>
        <x:v>-0.11407105271033435</x:v>
      </x:c>
      <x:c r="I1876" s="1" t="n">
        <x:v>1</x:v>
      </x:c>
      <x:c r="J1876" s="1" t="n">
        <x:v>1</x:v>
      </x:c>
      <x:c r="K1876" s="1" t="str">
        <x:v>搜狐/腾讯</x:v>
      </x:c>
    </x:row>
    <x:row r="1877" ht="25" customHeight="1">
      <x:c r="A1877" s="1" t="str">
        <x:v>sz399001</x:v>
      </x:c>
      <x:c r="B1877" s="1" t="str">
        <x:v>深证成指</x:v>
      </x:c>
      <x:c r="C1877" s="1" t="str">
        <x:v>2010-02</x:v>
      </x:c>
      <x:c r="D1877" s="1" t="str">
        <x:v>2010-01-29</x:v>
      </x:c>
      <x:c r="E1877" s="5" t="n">
        <x:v>12137.2</x:v>
      </x:c>
      <x:c r="F1877" s="6" t="str">
        <x:v>2010-02-26</x:v>
      </x:c>
      <x:c r="G1877" s="5" t="n">
        <x:v>12436.66</x:v>
      </x:c>
      <x:c r="H1877" s="7" t="n">
        <x:f>G1877/E1877-1</x:f>
        <x:v>0.024672906436410402</x:v>
      </x:c>
      <x:c r="I1877" s="1" t="n">
        <x:v>1</x:v>
      </x:c>
      <x:c r="J1877" s="1" t="n">
        <x:v>1</x:v>
      </x:c>
      <x:c r="K1877" s="1" t="str">
        <x:v>搜狐/腾讯</x:v>
      </x:c>
    </x:row>
    <x:row r="1878" ht="25" customHeight="1">
      <x:c r="A1878" s="1" t="str">
        <x:v>sz399001</x:v>
      </x:c>
      <x:c r="B1878" s="1" t="str">
        <x:v>深证成指</x:v>
      </x:c>
      <x:c r="C1878" s="1" t="str">
        <x:v>2010-03</x:v>
      </x:c>
      <x:c r="D1878" s="1" t="str">
        <x:v>2010-02-26</x:v>
      </x:c>
      <x:c r="E1878" s="5" t="n">
        <x:v>12436.66</x:v>
      </x:c>
      <x:c r="F1878" s="6" t="str">
        <x:v>2010-03-31</x:v>
      </x:c>
      <x:c r="G1878" s="5" t="n">
        <x:v>12494.35</x:v>
      </x:c>
      <x:c r="H1878" s="7" t="n">
        <x:f>G1878/E1878-1</x:f>
        <x:v>0.004638705247228758</x:v>
      </x:c>
      <x:c r="I1878" s="1" t="n">
        <x:v>1</x:v>
      </x:c>
      <x:c r="J1878" s="1" t="n">
        <x:v>1</x:v>
      </x:c>
      <x:c r="K1878" s="1" t="str">
        <x:v>搜狐/腾讯</x:v>
      </x:c>
    </x:row>
    <x:row r="1879" ht="25" customHeight="1">
      <x:c r="A1879" s="1" t="str">
        <x:v>sz399001</x:v>
      </x:c>
      <x:c r="B1879" s="1" t="str">
        <x:v>深证成指</x:v>
      </x:c>
      <x:c r="C1879" s="1" t="str">
        <x:v>2010-04</x:v>
      </x:c>
      <x:c r="D1879" s="1" t="str">
        <x:v>2010-03-31</x:v>
      </x:c>
      <x:c r="E1879" s="5" t="n">
        <x:v>12494.35</x:v>
      </x:c>
      <x:c r="F1879" s="6" t="str">
        <x:v>2010-04-30</x:v>
      </x:c>
      <x:c r="G1879" s="5" t="n">
        <x:v>11162.54</x:v>
      </x:c>
      <x:c r="H1879" s="7" t="n">
        <x:f>G1879/E1879-1</x:f>
        <x:v>-0.10659298002697215</x:v>
      </x:c>
      <x:c r="I1879" s="1" t="n">
        <x:v>1</x:v>
      </x:c>
      <x:c r="J1879" s="1" t="n">
        <x:v>1</x:v>
      </x:c>
      <x:c r="K1879" s="1" t="str">
        <x:v>搜狐/腾讯</x:v>
      </x:c>
    </x:row>
    <x:row r="1880" ht="25" customHeight="1">
      <x:c r="A1880" s="1" t="str">
        <x:v>sz399001</x:v>
      </x:c>
      <x:c r="B1880" s="1" t="str">
        <x:v>深证成指</x:v>
      </x:c>
      <x:c r="C1880" s="1" t="str">
        <x:v>2010-05</x:v>
      </x:c>
      <x:c r="D1880" s="1" t="str">
        <x:v>2010-04-30</x:v>
      </x:c>
      <x:c r="E1880" s="5" t="n">
        <x:v>11162.54</x:v>
      </x:c>
      <x:c r="F1880" s="6" t="str">
        <x:v>2010-05-31</x:v>
      </x:c>
      <x:c r="G1880" s="5" t="n">
        <x:v>10204.17</x:v>
      </x:c>
      <x:c r="H1880" s="7" t="n">
        <x:f>G1880/E1880-1</x:f>
        <x:v>-0.08585590734725257</x:v>
      </x:c>
      <x:c r="I1880" s="1" t="n">
        <x:v>1</x:v>
      </x:c>
      <x:c r="J1880" s="1" t="n">
        <x:v>1</x:v>
      </x:c>
      <x:c r="K1880" s="1" t="str">
        <x:v>搜狐/腾讯</x:v>
      </x:c>
    </x:row>
    <x:row r="1881" ht="25" customHeight="1">
      <x:c r="A1881" s="1" t="str">
        <x:v>sz399001</x:v>
      </x:c>
      <x:c r="B1881" s="1" t="str">
        <x:v>深证成指</x:v>
      </x:c>
      <x:c r="C1881" s="1" t="str">
        <x:v>2010-06</x:v>
      </x:c>
      <x:c r="D1881" s="1" t="str">
        <x:v>2010-05-31</x:v>
      </x:c>
      <x:c r="E1881" s="5" t="n">
        <x:v>10204.17</x:v>
      </x:c>
      <x:c r="F1881" s="6" t="str">
        <x:v>2010-06-30</x:v>
      </x:c>
      <x:c r="G1881" s="5" t="n">
        <x:v>9386.94</x:v>
      </x:c>
      <x:c r="H1881" s="7" t="n">
        <x:f>G1881/E1881-1</x:f>
        <x:v>-0.08008784643924982</x:v>
      </x:c>
      <x:c r="I1881" s="1" t="n">
        <x:v>1</x:v>
      </x:c>
      <x:c r="J1881" s="1" t="n">
        <x:v>1</x:v>
      </x:c>
      <x:c r="K1881" s="1" t="str">
        <x:v>搜狐/腾讯</x:v>
      </x:c>
    </x:row>
    <x:row r="1882" ht="25" customHeight="1">
      <x:c r="A1882" s="1" t="str">
        <x:v>sz399001</x:v>
      </x:c>
      <x:c r="B1882" s="1" t="str">
        <x:v>深证成指</x:v>
      </x:c>
      <x:c r="C1882" s="1" t="str">
        <x:v>2010-07</x:v>
      </x:c>
      <x:c r="D1882" s="1" t="str">
        <x:v>2010-06-30</x:v>
      </x:c>
      <x:c r="E1882" s="5" t="n">
        <x:v>9386.94</x:v>
      </x:c>
      <x:c r="F1882" s="6" t="str">
        <x:v>2010-07-30</x:v>
      </x:c>
      <x:c r="G1882" s="5" t="n">
        <x:v>10785.35</x:v>
      </x:c>
      <x:c r="H1882" s="7" t="n">
        <x:f>G1882/E1882-1</x:f>
        <x:v>0.14897400004687356</x:v>
      </x:c>
      <x:c r="I1882" s="1" t="n">
        <x:v>1</x:v>
      </x:c>
      <x:c r="J1882" s="1" t="n">
        <x:v>1</x:v>
      </x:c>
      <x:c r="K1882" s="1" t="str">
        <x:v>搜狐/腾讯</x:v>
      </x:c>
    </x:row>
    <x:row r="1883" ht="25" customHeight="1">
      <x:c r="A1883" s="1" t="str">
        <x:v>sz399001</x:v>
      </x:c>
      <x:c r="B1883" s="1" t="str">
        <x:v>深证成指</x:v>
      </x:c>
      <x:c r="C1883" s="1" t="str">
        <x:v>2010-08</x:v>
      </x:c>
      <x:c r="D1883" s="1" t="str">
        <x:v>2010-07-30</x:v>
      </x:c>
      <x:c r="E1883" s="5" t="n">
        <x:v>10785.35</x:v>
      </x:c>
      <x:c r="F1883" s="6" t="str">
        <x:v>2010-08-31</x:v>
      </x:c>
      <x:c r="G1883" s="5" t="n">
        <x:v>11338.71</x:v>
      </x:c>
      <x:c r="H1883" s="7" t="n">
        <x:f>G1883/E1883-1</x:f>
        <x:v>0.051306633535304735</x:v>
      </x:c>
      <x:c r="I1883" s="1" t="n">
        <x:v>1</x:v>
      </x:c>
      <x:c r="J1883" s="1" t="n">
        <x:v>1</x:v>
      </x:c>
      <x:c r="K1883" s="1" t="str">
        <x:v>搜狐/腾讯</x:v>
      </x:c>
    </x:row>
    <x:row r="1884" ht="25" customHeight="1">
      <x:c r="A1884" s="1" t="str">
        <x:v>sz399001</x:v>
      </x:c>
      <x:c r="B1884" s="1" t="str">
        <x:v>深证成指</x:v>
      </x:c>
      <x:c r="C1884" s="1" t="str">
        <x:v>2010-09</x:v>
      </x:c>
      <x:c r="D1884" s="1" t="str">
        <x:v>2010-08-31</x:v>
      </x:c>
      <x:c r="E1884" s="5" t="n">
        <x:v>11338.71</x:v>
      </x:c>
      <x:c r="F1884" s="6" t="str">
        <x:v>2010-09-30</x:v>
      </x:c>
      <x:c r="G1884" s="5" t="n">
        <x:v>11468.54</x:v>
      </x:c>
      <x:c r="H1884" s="7" t="n">
        <x:f>G1884/E1884-1</x:f>
        <x:v>0.01145015614651057</x:v>
      </x:c>
      <x:c r="I1884" s="1" t="n">
        <x:v>1</x:v>
      </x:c>
      <x:c r="J1884" s="1" t="n">
        <x:v>1</x:v>
      </x:c>
      <x:c r="K1884" s="1" t="str">
        <x:v>搜狐/腾讯</x:v>
      </x:c>
    </x:row>
    <x:row r="1885" ht="25" customHeight="1">
      <x:c r="A1885" s="1" t="str">
        <x:v>sz399001</x:v>
      </x:c>
      <x:c r="B1885" s="1" t="str">
        <x:v>深证成指</x:v>
      </x:c>
      <x:c r="C1885" s="1" t="str">
        <x:v>2010-10</x:v>
      </x:c>
      <x:c r="D1885" s="1" t="str">
        <x:v>2010-09-30</x:v>
      </x:c>
      <x:c r="E1885" s="5" t="n">
        <x:v>11468.54</x:v>
      </x:c>
      <x:c r="F1885" s="6" t="str">
        <x:v>2010-10-29</x:v>
      </x:c>
      <x:c r="G1885" s="5" t="n">
        <x:v>13367.24</x:v>
      </x:c>
      <x:c r="H1885" s="7" t="n">
        <x:f>G1885/E1885-1</x:f>
        <x:v>0.16555725489033457</x:v>
      </x:c>
      <x:c r="I1885" s="1" t="n">
        <x:v>1</x:v>
      </x:c>
      <x:c r="J1885" s="1" t="n">
        <x:v>1</x:v>
      </x:c>
      <x:c r="K1885" s="1" t="str">
        <x:v>搜狐/腾讯</x:v>
      </x:c>
    </x:row>
    <x:row r="1886" ht="25" customHeight="1">
      <x:c r="A1886" s="1" t="str">
        <x:v>sz399001</x:v>
      </x:c>
      <x:c r="B1886" s="1" t="str">
        <x:v>深证成指</x:v>
      </x:c>
      <x:c r="C1886" s="1" t="str">
        <x:v>2010-11</x:v>
      </x:c>
      <x:c r="D1886" s="1" t="str">
        <x:v>2010-10-29</x:v>
      </x:c>
      <x:c r="E1886" s="5" t="n">
        <x:v>13367.24</x:v>
      </x:c>
      <x:c r="F1886" s="6" t="str">
        <x:v>2010-11-30</x:v>
      </x:c>
      <x:c r="G1886" s="5" t="n">
        <x:v>12336.29</x:v>
      </x:c>
      <x:c r="H1886" s="7" t="n">
        <x:f>G1886/E1886-1</x:f>
        <x:v>-0.07712512081776035</x:v>
      </x:c>
      <x:c r="I1886" s="1" t="n">
        <x:v>1</x:v>
      </x:c>
      <x:c r="J1886" s="1" t="n">
        <x:v>1</x:v>
      </x:c>
      <x:c r="K1886" s="1" t="str">
        <x:v>搜狐/腾讯</x:v>
      </x:c>
    </x:row>
    <x:row r="1887" ht="25" customHeight="1">
      <x:c r="A1887" s="1" t="str">
        <x:v>sz399001</x:v>
      </x:c>
      <x:c r="B1887" s="1" t="str">
        <x:v>深证成指</x:v>
      </x:c>
      <x:c r="C1887" s="1" t="str">
        <x:v>2010-12</x:v>
      </x:c>
      <x:c r="D1887" s="1" t="str">
        <x:v>2010-11-30</x:v>
      </x:c>
      <x:c r="E1887" s="5" t="n">
        <x:v>12336.29</x:v>
      </x:c>
      <x:c r="F1887" s="6" t="str">
        <x:v>2010-12-31</x:v>
      </x:c>
      <x:c r="G1887" s="5" t="n">
        <x:v>12458.55</x:v>
      </x:c>
      <x:c r="H1887" s="7" t="n">
        <x:f>G1887/E1887-1</x:f>
        <x:v>0.009910597108206742</x:v>
      </x:c>
      <x:c r="I1887" s="1" t="n">
        <x:v>1</x:v>
      </x:c>
      <x:c r="J1887" s="1" t="n">
        <x:v>1</x:v>
      </x:c>
      <x:c r="K1887" s="1" t="str">
        <x:v>搜狐/腾讯</x:v>
      </x:c>
    </x:row>
    <x:row r="1888" ht="25" customHeight="1">
      <x:c r="A1888" s="1" t="str">
        <x:v>sz399001</x:v>
      </x:c>
      <x:c r="B1888" s="1" t="str">
        <x:v>深证成指</x:v>
      </x:c>
      <x:c r="C1888" s="1" t="str">
        <x:v>2011-01</x:v>
      </x:c>
      <x:c r="D1888" s="1" t="str">
        <x:v>2010-12-31</x:v>
      </x:c>
      <x:c r="E1888" s="5" t="n">
        <x:v>12458.55</x:v>
      </x:c>
      <x:c r="F1888" s="6" t="str">
        <x:v>2011-01-31</x:v>
      </x:c>
      <x:c r="G1888" s="5" t="n">
        <x:v>11994.68</x:v>
      </x:c>
      <x:c r="H1888" s="7" t="n">
        <x:f>G1888/E1888-1</x:f>
        <x:v>-0.03723306484301936</x:v>
      </x:c>
      <x:c r="I1888" s="1" t="n">
        <x:v>1</x:v>
      </x:c>
      <x:c r="J1888" s="1" t="n">
        <x:v>1</x:v>
      </x:c>
      <x:c r="K1888" s="1" t="str">
        <x:v>搜狐/腾讯</x:v>
      </x:c>
    </x:row>
    <x:row r="1889" ht="25" customHeight="1">
      <x:c r="A1889" s="1" t="str">
        <x:v>sz399001</x:v>
      </x:c>
      <x:c r="B1889" s="1" t="str">
        <x:v>深证成指</x:v>
      </x:c>
      <x:c r="C1889" s="1" t="str">
        <x:v>2011-02</x:v>
      </x:c>
      <x:c r="D1889" s="1" t="str">
        <x:v>2011-01-31</x:v>
      </x:c>
      <x:c r="E1889" s="5" t="n">
        <x:v>11994.68</x:v>
      </x:c>
      <x:c r="F1889" s="6" t="str">
        <x:v>2011-02-28</x:v>
      </x:c>
      <x:c r="G1889" s="5" t="n">
        <x:v>12902.44</x:v>
      </x:c>
      <x:c r="H1889" s="7" t="n">
        <x:f>G1889/E1889-1</x:f>
        <x:v>0.07568021823008197</x:v>
      </x:c>
      <x:c r="I1889" s="1" t="n">
        <x:v>1</x:v>
      </x:c>
      <x:c r="J1889" s="1" t="n">
        <x:v>1</x:v>
      </x:c>
      <x:c r="K1889" s="1" t="str">
        <x:v>搜狐/腾讯</x:v>
      </x:c>
    </x:row>
    <x:row r="1890" ht="25" customHeight="1">
      <x:c r="A1890" s="1" t="str">
        <x:v>sz399001</x:v>
      </x:c>
      <x:c r="B1890" s="1" t="str">
        <x:v>深证成指</x:v>
      </x:c>
      <x:c r="C1890" s="1" t="str">
        <x:v>2011-03</x:v>
      </x:c>
      <x:c r="D1890" s="1" t="str">
        <x:v>2011-02-28</x:v>
      </x:c>
      <x:c r="E1890" s="5" t="n">
        <x:v>12902.44</x:v>
      </x:c>
      <x:c r="F1890" s="6" t="str">
        <x:v>2011-03-31</x:v>
      </x:c>
      <x:c r="G1890" s="5" t="n">
        <x:v>12562.9</x:v>
      </x:c>
      <x:c r="H1890" s="7" t="n">
        <x:f>G1890/E1890-1</x:f>
        <x:v>-0.026315952641515983</x:v>
      </x:c>
      <x:c r="I1890" s="1" t="n">
        <x:v>1</x:v>
      </x:c>
      <x:c r="J1890" s="1" t="n">
        <x:v>1</x:v>
      </x:c>
      <x:c r="K1890" s="1" t="str">
        <x:v>搜狐/腾讯</x:v>
      </x:c>
    </x:row>
    <x:row r="1891" ht="25" customHeight="1">
      <x:c r="A1891" s="1" t="str">
        <x:v>sz399001</x:v>
      </x:c>
      <x:c r="B1891" s="1" t="str">
        <x:v>深证成指</x:v>
      </x:c>
      <x:c r="C1891" s="1" t="str">
        <x:v>2011-04</x:v>
      </x:c>
      <x:c r="D1891" s="1" t="str">
        <x:v>2011-03-31</x:v>
      </x:c>
      <x:c r="E1891" s="5" t="n">
        <x:v>12562.9</x:v>
      </x:c>
      <x:c r="F1891" s="6" t="str">
        <x:v>2011-04-29</x:v>
      </x:c>
      <x:c r="G1891" s="5" t="n">
        <x:v>12312.99</x:v>
      </x:c>
      <x:c r="H1891" s="7" t="n">
        <x:f>G1891/E1891-1</x:f>
        <x:v>-0.01989269993393239</x:v>
      </x:c>
      <x:c r="I1891" s="1" t="n">
        <x:v>1</x:v>
      </x:c>
      <x:c r="J1891" s="1" t="n">
        <x:v>1</x:v>
      </x:c>
      <x:c r="K1891" s="1" t="str">
        <x:v>搜狐/腾讯</x:v>
      </x:c>
    </x:row>
    <x:row r="1892" ht="25" customHeight="1">
      <x:c r="A1892" s="1" t="str">
        <x:v>sz399001</x:v>
      </x:c>
      <x:c r="B1892" s="1" t="str">
        <x:v>深证成指</x:v>
      </x:c>
      <x:c r="C1892" s="1" t="str">
        <x:v>2011-05</x:v>
      </x:c>
      <x:c r="D1892" s="1" t="str">
        <x:v>2011-04-29</x:v>
      </x:c>
      <x:c r="E1892" s="5" t="n">
        <x:v>12312.99</x:v>
      </x:c>
      <x:c r="F1892" s="6" t="str">
        <x:v>2011-05-31</x:v>
      </x:c>
      <x:c r="G1892" s="5" t="n">
        <x:v>11665.14</x:v>
      </x:c>
      <x:c r="H1892" s="7" t="n">
        <x:f>G1892/E1892-1</x:f>
        <x:v>-0.05261516495993257</x:v>
      </x:c>
      <x:c r="I1892" s="1" t="n">
        <x:v>1</x:v>
      </x:c>
      <x:c r="J1892" s="1" t="n">
        <x:v>1</x:v>
      </x:c>
      <x:c r="K1892" s="1" t="str">
        <x:v>搜狐/腾讯</x:v>
      </x:c>
    </x:row>
    <x:row r="1893" ht="25" customHeight="1">
      <x:c r="A1893" s="1" t="str">
        <x:v>sz399001</x:v>
      </x:c>
      <x:c r="B1893" s="1" t="str">
        <x:v>深证成指</x:v>
      </x:c>
      <x:c r="C1893" s="1" t="str">
        <x:v>2011-06</x:v>
      </x:c>
      <x:c r="D1893" s="1" t="str">
        <x:v>2011-05-31</x:v>
      </x:c>
      <x:c r="E1893" s="5" t="n">
        <x:v>11665.14</x:v>
      </x:c>
      <x:c r="F1893" s="6" t="str">
        <x:v>2011-06-30</x:v>
      </x:c>
      <x:c r="G1893" s="5" t="n">
        <x:v>12110.93</x:v>
      </x:c>
      <x:c r="H1893" s="7" t="n">
        <x:f>G1893/E1893-1</x:f>
        <x:v>0.038215572209163495</x:v>
      </x:c>
      <x:c r="I1893" s="1" t="n">
        <x:v>1</x:v>
      </x:c>
      <x:c r="J1893" s="1" t="n">
        <x:v>1</x:v>
      </x:c>
      <x:c r="K1893" s="1" t="str">
        <x:v>搜狐/腾讯</x:v>
      </x:c>
    </x:row>
    <x:row r="1894" ht="25" customHeight="1">
      <x:c r="A1894" s="1" t="str">
        <x:v>sz399001</x:v>
      </x:c>
      <x:c r="B1894" s="1" t="str">
        <x:v>深证成指</x:v>
      </x:c>
      <x:c r="C1894" s="1" t="str">
        <x:v>2011-07</x:v>
      </x:c>
      <x:c r="D1894" s="1" t="str">
        <x:v>2011-06-30</x:v>
      </x:c>
      <x:c r="E1894" s="5" t="n">
        <x:v>12110.93</x:v>
      </x:c>
      <x:c r="F1894" s="6" t="str">
        <x:v>2011-07-29</x:v>
      </x:c>
      <x:c r="G1894" s="5" t="n">
        <x:v>11990.43</x:v>
      </x:c>
      <x:c r="H1894" s="7" t="n">
        <x:f>G1894/E1894-1</x:f>
        <x:v>-0.009949690073347006</x:v>
      </x:c>
      <x:c r="I1894" s="1" t="n">
        <x:v>1</x:v>
      </x:c>
      <x:c r="J1894" s="1" t="n">
        <x:v>1</x:v>
      </x:c>
      <x:c r="K1894" s="1" t="str">
        <x:v>搜狐/腾讯</x:v>
      </x:c>
    </x:row>
    <x:row r="1895" ht="25" customHeight="1">
      <x:c r="A1895" s="1" t="str">
        <x:v>sz399001</x:v>
      </x:c>
      <x:c r="B1895" s="1" t="str">
        <x:v>深证成指</x:v>
      </x:c>
      <x:c r="C1895" s="1" t="str">
        <x:v>2011-08</x:v>
      </x:c>
      <x:c r="D1895" s="1" t="str">
        <x:v>2011-07-29</x:v>
      </x:c>
      <x:c r="E1895" s="5" t="n">
        <x:v>11990.43</x:v>
      </x:c>
      <x:c r="F1895" s="6" t="str">
        <x:v>2011-08-31</x:v>
      </x:c>
      <x:c r="G1895" s="5" t="n">
        <x:v>11397.48</x:v>
      </x:c>
      <x:c r="H1895" s="7" t="n">
        <x:f>G1895/E1895-1</x:f>
        <x:v>-0.04945193792049163</x:v>
      </x:c>
      <x:c r="I1895" s="1" t="n">
        <x:v>1</x:v>
      </x:c>
      <x:c r="J1895" s="1" t="n">
        <x:v>1</x:v>
      </x:c>
      <x:c r="K1895" s="1" t="str">
        <x:v>搜狐/腾讯</x:v>
      </x:c>
    </x:row>
    <x:row r="1896" ht="25" customHeight="1">
      <x:c r="A1896" s="1" t="str">
        <x:v>sz399001</x:v>
      </x:c>
      <x:c r="B1896" s="1" t="str">
        <x:v>深证成指</x:v>
      </x:c>
      <x:c r="C1896" s="1" t="str">
        <x:v>2011-09</x:v>
      </x:c>
      <x:c r="D1896" s="1" t="str">
        <x:v>2011-08-31</x:v>
      </x:c>
      <x:c r="E1896" s="5" t="n">
        <x:v>11397.48</x:v>
      </x:c>
      <x:c r="F1896" s="6" t="str">
        <x:v>2011-09-30</x:v>
      </x:c>
      <x:c r="G1896" s="5" t="n">
        <x:v>10292.33</x:v>
      </x:c>
      <x:c r="H1896" s="7" t="n">
        <x:f>G1896/E1896-1</x:f>
        <x:v>-0.09696441669562039</x:v>
      </x:c>
      <x:c r="I1896" s="1" t="n">
        <x:v>1</x:v>
      </x:c>
      <x:c r="J1896" s="1" t="n">
        <x:v>1</x:v>
      </x:c>
      <x:c r="K1896" s="1" t="str">
        <x:v>搜狐/腾讯</x:v>
      </x:c>
    </x:row>
    <x:row r="1897" ht="25" customHeight="1">
      <x:c r="A1897" s="1" t="str">
        <x:v>sz399001</x:v>
      </x:c>
      <x:c r="B1897" s="1" t="str">
        <x:v>深证成指</x:v>
      </x:c>
      <x:c r="C1897" s="1" t="str">
        <x:v>2011-10</x:v>
      </x:c>
      <x:c r="D1897" s="1" t="str">
        <x:v>2011-09-30</x:v>
      </x:c>
      <x:c r="E1897" s="5" t="n">
        <x:v>10292.33</x:v>
      </x:c>
      <x:c r="F1897" s="6" t="str">
        <x:v>2011-10-31</x:v>
      </x:c>
      <x:c r="G1897" s="5" t="n">
        <x:v>10480.91</x:v>
      </x:c>
      <x:c r="H1897" s="7" t="n">
        <x:f>G1897/E1897-1</x:f>
        <x:v>0.018322381812475808</x:v>
      </x:c>
      <x:c r="I1897" s="1" t="n">
        <x:v>1</x:v>
      </x:c>
      <x:c r="J1897" s="1" t="n">
        <x:v>1</x:v>
      </x:c>
      <x:c r="K1897" s="1" t="str">
        <x:v>搜狐/腾讯</x:v>
      </x:c>
    </x:row>
    <x:row r="1898" ht="25" customHeight="1">
      <x:c r="A1898" s="1" t="str">
        <x:v>sz399001</x:v>
      </x:c>
      <x:c r="B1898" s="1" t="str">
        <x:v>深证成指</x:v>
      </x:c>
      <x:c r="C1898" s="1" t="str">
        <x:v>2011-11</x:v>
      </x:c>
      <x:c r="D1898" s="1" t="str">
        <x:v>2011-10-31</x:v>
      </x:c>
      <x:c r="E1898" s="5" t="n">
        <x:v>10480.91</x:v>
      </x:c>
      <x:c r="F1898" s="6" t="str">
        <x:v>2011-11-30</x:v>
      </x:c>
      <x:c r="G1898" s="5" t="n">
        <x:v>9693.39</x:v>
      </x:c>
      <x:c r="H1898" s="7" t="n">
        <x:f>G1898/E1898-1</x:f>
        <x:v>-0.07513851373592562</x:v>
      </x:c>
      <x:c r="I1898" s="1" t="n">
        <x:v>1</x:v>
      </x:c>
      <x:c r="J1898" s="1" t="n">
        <x:v>1</x:v>
      </x:c>
      <x:c r="K1898" s="1" t="str">
        <x:v>搜狐/腾讯</x:v>
      </x:c>
    </x:row>
    <x:row r="1899" ht="25" customHeight="1">
      <x:c r="A1899" s="1" t="str">
        <x:v>sz399001</x:v>
      </x:c>
      <x:c r="B1899" s="1" t="str">
        <x:v>深证成指</x:v>
      </x:c>
      <x:c r="C1899" s="1" t="str">
        <x:v>2011-12</x:v>
      </x:c>
      <x:c r="D1899" s="1" t="str">
        <x:v>2011-11-30</x:v>
      </x:c>
      <x:c r="E1899" s="5" t="n">
        <x:v>9693.39</x:v>
      </x:c>
      <x:c r="F1899" s="6" t="str">
        <x:v>2011-12-30</x:v>
      </x:c>
      <x:c r="G1899" s="5" t="n">
        <x:v>8918.82</x:v>
      </x:c>
      <x:c r="H1899" s="7" t="n">
        <x:f>G1899/E1899-1</x:f>
        <x:v>-0.0799070294293327</x:v>
      </x:c>
      <x:c r="I1899" s="1" t="n">
        <x:v>1</x:v>
      </x:c>
      <x:c r="J1899" s="1" t="n">
        <x:v>1</x:v>
      </x:c>
      <x:c r="K1899" s="1" t="str">
        <x:v>搜狐/腾讯</x:v>
      </x:c>
    </x:row>
    <x:row r="1900" ht="25" customHeight="1">
      <x:c r="A1900" s="1" t="str">
        <x:v>sz399001</x:v>
      </x:c>
      <x:c r="B1900" s="1" t="str">
        <x:v>深证成指</x:v>
      </x:c>
      <x:c r="C1900" s="1" t="str">
        <x:v>2012-01</x:v>
      </x:c>
      <x:c r="D1900" s="1" t="str">
        <x:v>2011-12-30</x:v>
      </x:c>
      <x:c r="E1900" s="5" t="n">
        <x:v>8918.82</x:v>
      </x:c>
      <x:c r="F1900" s="6" t="str">
        <x:v>2012-01-31</x:v>
      </x:c>
      <x:c r="G1900" s="5" t="n">
        <x:v>9303.65</x:v>
      </x:c>
      <x:c r="H1900" s="7" t="n">
        <x:f>G1900/E1900-1</x:f>
        <x:v>0.043148084612089965</x:v>
      </x:c>
      <x:c r="I1900" s="1" t="n">
        <x:v>1</x:v>
      </x:c>
      <x:c r="J1900" s="1" t="n">
        <x:v>1</x:v>
      </x:c>
      <x:c r="K1900" s="1" t="str">
        <x:v>搜狐/腾讯</x:v>
      </x:c>
    </x:row>
    <x:row r="1901" ht="25" customHeight="1">
      <x:c r="A1901" s="1" t="str">
        <x:v>sz399001</x:v>
      </x:c>
      <x:c r="B1901" s="1" t="str">
        <x:v>深证成指</x:v>
      </x:c>
      <x:c r="C1901" s="1" t="str">
        <x:v>2012-02</x:v>
      </x:c>
      <x:c r="D1901" s="1" t="str">
        <x:v>2012-01-31</x:v>
      </x:c>
      <x:c r="E1901" s="5" t="n">
        <x:v>9303.65</x:v>
      </x:c>
      <x:c r="F1901" s="6" t="str">
        <x:v>2012-02-29</x:v>
      </x:c>
      <x:c r="G1901" s="5" t="n">
        <x:v>10054.85</x:v>
      </x:c>
      <x:c r="H1901" s="7" t="n">
        <x:f>G1901/E1901-1</x:f>
        <x:v>0.08074250428595242</x:v>
      </x:c>
      <x:c r="I1901" s="1" t="n">
        <x:v>1</x:v>
      </x:c>
      <x:c r="J1901" s="1" t="n">
        <x:v>1</x:v>
      </x:c>
      <x:c r="K1901" s="1" t="str">
        <x:v>搜狐/腾讯</x:v>
      </x:c>
    </x:row>
    <x:row r="1902" ht="25" customHeight="1">
      <x:c r="A1902" s="1" t="str">
        <x:v>sz399001</x:v>
      </x:c>
      <x:c r="B1902" s="1" t="str">
        <x:v>深证成指</x:v>
      </x:c>
      <x:c r="C1902" s="1" t="str">
        <x:v>2012-03</x:v>
      </x:c>
      <x:c r="D1902" s="1" t="str">
        <x:v>2012-02-29</x:v>
      </x:c>
      <x:c r="E1902" s="5" t="n">
        <x:v>10054.85</x:v>
      </x:c>
      <x:c r="F1902" s="6" t="str">
        <x:v>2012-03-30</x:v>
      </x:c>
      <x:c r="G1902" s="5" t="n">
        <x:v>9410.26</x:v>
      </x:c>
      <x:c r="H1902" s="7" t="n">
        <x:f>G1902/E1902-1</x:f>
        <x:v>-0.06410737106968278</x:v>
      </x:c>
      <x:c r="I1902" s="1" t="n">
        <x:v>1</x:v>
      </x:c>
      <x:c r="J1902" s="1" t="n">
        <x:v>1</x:v>
      </x:c>
      <x:c r="K1902" s="1" t="str">
        <x:v>搜狐/腾讯</x:v>
      </x:c>
    </x:row>
    <x:row r="1903" ht="25" customHeight="1">
      <x:c r="A1903" s="1" t="str">
        <x:v>sz399001</x:v>
      </x:c>
      <x:c r="B1903" s="1" t="str">
        <x:v>深证成指</x:v>
      </x:c>
      <x:c r="C1903" s="1" t="str">
        <x:v>2012-04</x:v>
      </x:c>
      <x:c r="D1903" s="1" t="str">
        <x:v>2012-03-30</x:v>
      </x:c>
      <x:c r="E1903" s="5" t="n">
        <x:v>9410.26</x:v>
      </x:c>
      <x:c r="F1903" s="6" t="str">
        <x:v>2012-04-27</x:v>
      </x:c>
      <x:c r="G1903" s="5" t="n">
        <x:v>10180.39</x:v>
      </x:c>
      <x:c r="H1903" s="7" t="n">
        <x:f>G1903/E1903-1</x:f>
        <x:v>0.08183939657352712</x:v>
      </x:c>
      <x:c r="I1903" s="1" t="n">
        <x:v>1</x:v>
      </x:c>
      <x:c r="J1903" s="1" t="n">
        <x:v>1</x:v>
      </x:c>
      <x:c r="K1903" s="1" t="str">
        <x:v>搜狐/腾讯</x:v>
      </x:c>
    </x:row>
    <x:row r="1904" ht="25" customHeight="1">
      <x:c r="A1904" s="1" t="str">
        <x:v>sz399001</x:v>
      </x:c>
      <x:c r="B1904" s="1" t="str">
        <x:v>深证成指</x:v>
      </x:c>
      <x:c r="C1904" s="1" t="str">
        <x:v>2012-05</x:v>
      </x:c>
      <x:c r="D1904" s="1" t="str">
        <x:v>2012-04-27</x:v>
      </x:c>
      <x:c r="E1904" s="5" t="n">
        <x:v>10180.39</x:v>
      </x:c>
      <x:c r="F1904" s="6" t="str">
        <x:v>2012-05-31</x:v>
      </x:c>
      <x:c r="G1904" s="5" t="n">
        <x:v>10141.41</x:v>
      </x:c>
      <x:c r="H1904" s="7" t="n">
        <x:f>G1904/E1904-1</x:f>
        <x:v>-0.0038289299329397064</x:v>
      </x:c>
      <x:c r="I1904" s="1" t="n">
        <x:v>1</x:v>
      </x:c>
      <x:c r="J1904" s="1" t="n">
        <x:v>1</x:v>
      </x:c>
      <x:c r="K1904" s="1" t="str">
        <x:v>搜狐/腾讯</x:v>
      </x:c>
    </x:row>
    <x:row r="1905" ht="25" customHeight="1">
      <x:c r="A1905" s="1" t="str">
        <x:v>sz399001</x:v>
      </x:c>
      <x:c r="B1905" s="1" t="str">
        <x:v>深证成指</x:v>
      </x:c>
      <x:c r="C1905" s="1" t="str">
        <x:v>2012-06</x:v>
      </x:c>
      <x:c r="D1905" s="1" t="str">
        <x:v>2012-05-31</x:v>
      </x:c>
      <x:c r="E1905" s="5" t="n">
        <x:v>10141.41</x:v>
      </x:c>
      <x:c r="F1905" s="6" t="str">
        <x:v>2012-06-29</x:v>
      </x:c>
      <x:c r="G1905" s="5" t="n">
        <x:v>9500.32</x:v>
      </x:c>
      <x:c r="H1905" s="7" t="n">
        <x:f>G1905/E1905-1</x:f>
        <x:v>-0.06321507561571815</x:v>
      </x:c>
      <x:c r="I1905" s="1" t="n">
        <x:v>1</x:v>
      </x:c>
      <x:c r="J1905" s="1" t="n">
        <x:v>1</x:v>
      </x:c>
      <x:c r="K1905" s="1" t="str">
        <x:v>搜狐/腾讯</x:v>
      </x:c>
    </x:row>
    <x:row r="1906" ht="25" customHeight="1">
      <x:c r="A1906" s="1" t="str">
        <x:v>sz399001</x:v>
      </x:c>
      <x:c r="B1906" s="1" t="str">
        <x:v>深证成指</x:v>
      </x:c>
      <x:c r="C1906" s="1" t="str">
        <x:v>2012-07</x:v>
      </x:c>
      <x:c r="D1906" s="1" t="str">
        <x:v>2012-06-29</x:v>
      </x:c>
      <x:c r="E1906" s="5" t="n">
        <x:v>9500.32</x:v>
      </x:c>
      <x:c r="F1906" s="6" t="str">
        <x:v>2012-07-31</x:v>
      </x:c>
      <x:c r="G1906" s="5" t="n">
        <x:v>9059.22</x:v>
      </x:c>
      <x:c r="H1906" s="7" t="n">
        <x:f>G1906/E1906-1</x:f>
        <x:v>-0.046430014988968815</x:v>
      </x:c>
      <x:c r="I1906" s="1" t="n">
        <x:v>1</x:v>
      </x:c>
      <x:c r="J1906" s="1" t="n">
        <x:v>1</x:v>
      </x:c>
      <x:c r="K1906" s="1" t="str">
        <x:v>搜狐/腾讯</x:v>
      </x:c>
    </x:row>
    <x:row r="1907" ht="25" customHeight="1">
      <x:c r="A1907" s="1" t="str">
        <x:v>sz399001</x:v>
      </x:c>
      <x:c r="B1907" s="1" t="str">
        <x:v>深证成指</x:v>
      </x:c>
      <x:c r="C1907" s="1" t="str">
        <x:v>2012-08</x:v>
      </x:c>
      <x:c r="D1907" s="1" t="str">
        <x:v>2012-07-31</x:v>
      </x:c>
      <x:c r="E1907" s="5" t="n">
        <x:v>9059.22</x:v>
      </x:c>
      <x:c r="F1907" s="6" t="str">
        <x:v>2012-08-31</x:v>
      </x:c>
      <x:c r="G1907" s="5" t="n">
        <x:v>8210.99</x:v>
      </x:c>
      <x:c r="H1907" s="7" t="n">
        <x:f>G1907/E1907-1</x:f>
        <x:v>-0.09363168131472688</x:v>
      </x:c>
      <x:c r="I1907" s="1" t="n">
        <x:v>1</x:v>
      </x:c>
      <x:c r="J1907" s="1" t="n">
        <x:v>1</x:v>
      </x:c>
      <x:c r="K1907" s="1" t="str">
        <x:v>搜狐/腾讯</x:v>
      </x:c>
    </x:row>
    <x:row r="1908" ht="25" customHeight="1">
      <x:c r="A1908" s="1" t="str">
        <x:v>sz399001</x:v>
      </x:c>
      <x:c r="B1908" s="1" t="str">
        <x:v>深证成指</x:v>
      </x:c>
      <x:c r="C1908" s="1" t="str">
        <x:v>2012-09</x:v>
      </x:c>
      <x:c r="D1908" s="1" t="str">
        <x:v>2012-08-31</x:v>
      </x:c>
      <x:c r="E1908" s="5" t="n">
        <x:v>8210.99</x:v>
      </x:c>
      <x:c r="F1908" s="6" t="str">
        <x:v>2012-09-28</x:v>
      </x:c>
      <x:c r="G1908" s="5" t="n">
        <x:v>8679.22</x:v>
      </x:c>
      <x:c r="H1908" s="7" t="n">
        <x:f>G1908/E1908-1</x:f>
        <x:v>0.05702479238191738</x:v>
      </x:c>
      <x:c r="I1908" s="1" t="n">
        <x:v>1</x:v>
      </x:c>
      <x:c r="J1908" s="1" t="n">
        <x:v>1</x:v>
      </x:c>
      <x:c r="K1908" s="1" t="str">
        <x:v>搜狐/腾讯</x:v>
      </x:c>
    </x:row>
    <x:row r="1909" ht="25" customHeight="1">
      <x:c r="A1909" s="1" t="str">
        <x:v>sz399001</x:v>
      </x:c>
      <x:c r="B1909" s="1" t="str">
        <x:v>深证成指</x:v>
      </x:c>
      <x:c r="C1909" s="1" t="str">
        <x:v>2012-10</x:v>
      </x:c>
      <x:c r="D1909" s="1" t="str">
        <x:v>2012-09-28</x:v>
      </x:c>
      <x:c r="E1909" s="5" t="n">
        <x:v>8679.22</x:v>
      </x:c>
      <x:c r="F1909" s="6" t="str">
        <x:v>2012-10-31</x:v>
      </x:c>
      <x:c r="G1909" s="5" t="n">
        <x:v>8469.8</x:v>
      </x:c>
      <x:c r="H1909" s="7" t="n">
        <x:f>G1909/E1909-1</x:f>
        <x:v>-0.02412889637548077</x:v>
      </x:c>
      <x:c r="I1909" s="1" t="n">
        <x:v>1</x:v>
      </x:c>
      <x:c r="J1909" s="1" t="n">
        <x:v>1</x:v>
      </x:c>
      <x:c r="K1909" s="1" t="str">
        <x:v>搜狐/腾讯</x:v>
      </x:c>
    </x:row>
    <x:row r="1910" ht="25" customHeight="1">
      <x:c r="A1910" s="1" t="str">
        <x:v>sz399001</x:v>
      </x:c>
      <x:c r="B1910" s="1" t="str">
        <x:v>深证成指</x:v>
      </x:c>
      <x:c r="C1910" s="1" t="str">
        <x:v>2012-11</x:v>
      </x:c>
      <x:c r="D1910" s="1" t="str">
        <x:v>2012-10-31</x:v>
      </x:c>
      <x:c r="E1910" s="5" t="n">
        <x:v>8469.8</x:v>
      </x:c>
      <x:c r="F1910" s="6" t="str">
        <x:v>2012-11-30</x:v>
      </x:c>
      <x:c r="G1910" s="5" t="n">
        <x:v>7903.25</x:v>
      </x:c>
      <x:c r="H1910" s="7" t="n">
        <x:f>G1910/E1910-1</x:f>
        <x:v>-0.06689059954190169</x:v>
      </x:c>
      <x:c r="I1910" s="1" t="n">
        <x:v>1</x:v>
      </x:c>
      <x:c r="J1910" s="1" t="n">
        <x:v>1</x:v>
      </x:c>
      <x:c r="K1910" s="1" t="str">
        <x:v>搜狐/腾讯</x:v>
      </x:c>
    </x:row>
    <x:row r="1911" ht="25" customHeight="1">
      <x:c r="A1911" s="1" t="str">
        <x:v>sz399001</x:v>
      </x:c>
      <x:c r="B1911" s="1" t="str">
        <x:v>深证成指</x:v>
      </x:c>
      <x:c r="C1911" s="1" t="str">
        <x:v>2012-12</x:v>
      </x:c>
      <x:c r="D1911" s="1" t="str">
        <x:v>2012-11-30</x:v>
      </x:c>
      <x:c r="E1911" s="5" t="n">
        <x:v>7903.25</x:v>
      </x:c>
      <x:c r="F1911" s="6" t="str">
        <x:v>2012-12-31</x:v>
      </x:c>
      <x:c r="G1911" s="5" t="n">
        <x:v>9116.48</x:v>
      </x:c>
      <x:c r="H1911" s="7" t="n">
        <x:f>G1911/E1911-1</x:f>
        <x:v>0.15351026476449547</x:v>
      </x:c>
      <x:c r="I1911" s="1" t="n">
        <x:v>1</x:v>
      </x:c>
      <x:c r="J1911" s="1" t="n">
        <x:v>1</x:v>
      </x:c>
      <x:c r="K1911" s="1" t="str">
        <x:v>搜狐/腾讯</x:v>
      </x:c>
    </x:row>
    <x:row r="1912" ht="25" customHeight="1">
      <x:c r="A1912" s="1" t="str">
        <x:v>sz399001</x:v>
      </x:c>
      <x:c r="B1912" s="1" t="str">
        <x:v>深证成指</x:v>
      </x:c>
      <x:c r="C1912" s="1" t="str">
        <x:v>2013-01</x:v>
      </x:c>
      <x:c r="D1912" s="1" t="str">
        <x:v>2012-12-31</x:v>
      </x:c>
      <x:c r="E1912" s="5" t="n">
        <x:v>9116.48</x:v>
      </x:c>
      <x:c r="F1912" s="6" t="str">
        <x:v>2013-01-31</x:v>
      </x:c>
      <x:c r="G1912" s="5" t="n">
        <x:v>9667.67</x:v>
      </x:c>
      <x:c r="H1912" s="7" t="n">
        <x:f>G1912/E1912-1</x:f>
        <x:v>0.06046083576117112</x:v>
      </x:c>
      <x:c r="I1912" s="1" t="n">
        <x:v>1</x:v>
      </x:c>
      <x:c r="J1912" s="1" t="n">
        <x:v>1</x:v>
      </x:c>
      <x:c r="K1912" s="1" t="str">
        <x:v>搜狐/腾讯</x:v>
      </x:c>
    </x:row>
    <x:row r="1913" ht="25" customHeight="1">
      <x:c r="A1913" s="1" t="str">
        <x:v>sz399001</x:v>
      </x:c>
      <x:c r="B1913" s="1" t="str">
        <x:v>深证成指</x:v>
      </x:c>
      <x:c r="C1913" s="1" t="str">
        <x:v>2013-02</x:v>
      </x:c>
      <x:c r="D1913" s="1" t="str">
        <x:v>2013-01-31</x:v>
      </x:c>
      <x:c r="E1913" s="5" t="n">
        <x:v>9667.67</x:v>
      </x:c>
      <x:c r="F1913" s="6" t="str">
        <x:v>2013-02-28</x:v>
      </x:c>
      <x:c r="G1913" s="5" t="n">
        <x:v>9641.44</x:v>
      </x:c>
      <x:c r="H1913" s="7" t="n">
        <x:f>G1913/E1913-1</x:f>
        <x:v>-0.002713166667873357</x:v>
      </x:c>
      <x:c r="I1913" s="1" t="n">
        <x:v>1</x:v>
      </x:c>
      <x:c r="J1913" s="1" t="n">
        <x:v>1</x:v>
      </x:c>
      <x:c r="K1913" s="1" t="str">
        <x:v>搜狐/腾讯</x:v>
      </x:c>
    </x:row>
    <x:row r="1914" ht="25" customHeight="1">
      <x:c r="A1914" s="1" t="str">
        <x:v>sz399001</x:v>
      </x:c>
      <x:c r="B1914" s="1" t="str">
        <x:v>深证成指</x:v>
      </x:c>
      <x:c r="C1914" s="1" t="str">
        <x:v>2013-03</x:v>
      </x:c>
      <x:c r="D1914" s="1" t="str">
        <x:v>2013-02-28</x:v>
      </x:c>
      <x:c r="E1914" s="5" t="n">
        <x:v>9641.44</x:v>
      </x:c>
      <x:c r="F1914" s="6" t="str">
        <x:v>2013-03-29</x:v>
      </x:c>
      <x:c r="G1914" s="5" t="n">
        <x:v>8889.77</x:v>
      </x:c>
      <x:c r="H1914" s="7" t="n">
        <x:f>G1914/E1914-1</x:f>
        <x:v>-0.07796242055128699</x:v>
      </x:c>
      <x:c r="I1914" s="1" t="n">
        <x:v>1</x:v>
      </x:c>
      <x:c r="J1914" s="1" t="n">
        <x:v>1</x:v>
      </x:c>
      <x:c r="K1914" s="1" t="str">
        <x:v>搜狐/腾讯</x:v>
      </x:c>
    </x:row>
    <x:row r="1915" ht="25" customHeight="1">
      <x:c r="A1915" s="1" t="str">
        <x:v>sz399001</x:v>
      </x:c>
      <x:c r="B1915" s="1" t="str">
        <x:v>深证成指</x:v>
      </x:c>
      <x:c r="C1915" s="1" t="str">
        <x:v>2013-04</x:v>
      </x:c>
      <x:c r="D1915" s="1" t="str">
        <x:v>2013-03-29</x:v>
      </x:c>
      <x:c r="E1915" s="5" t="n">
        <x:v>8889.77</x:v>
      </x:c>
      <x:c r="F1915" s="6" t="str">
        <x:v>2013-04-26</x:v>
      </x:c>
      <x:c r="G1915" s="5" t="n">
        <x:v>8691.39</x:v>
      </x:c>
      <x:c r="H1915" s="7" t="n">
        <x:f>G1915/E1915-1</x:f>
        <x:v>-0.02231553797229857</x:v>
      </x:c>
      <x:c r="I1915" s="1" t="n">
        <x:v>1</x:v>
      </x:c>
      <x:c r="J1915" s="1" t="n">
        <x:v>1</x:v>
      </x:c>
      <x:c r="K1915" s="1" t="str">
        <x:v>搜狐/腾讯</x:v>
      </x:c>
    </x:row>
    <x:row r="1916" ht="25" customHeight="1">
      <x:c r="A1916" s="1" t="str">
        <x:v>sz399001</x:v>
      </x:c>
      <x:c r="B1916" s="1" t="str">
        <x:v>深证成指</x:v>
      </x:c>
      <x:c r="C1916" s="1" t="str">
        <x:v>2013-05</x:v>
      </x:c>
      <x:c r="D1916" s="1" t="str">
        <x:v>2013-04-26</x:v>
      </x:c>
      <x:c r="E1916" s="5" t="n">
        <x:v>8691.39</x:v>
      </x:c>
      <x:c r="F1916" s="6" t="str">
        <x:v>2013-05-31</x:v>
      </x:c>
      <x:c r="G1916" s="5" t="n">
        <x:v>9257.95</x:v>
      </x:c>
      <x:c r="H1916" s="7" t="n">
        <x:f>G1916/E1916-1</x:f>
        <x:v>0.06518635108998683</x:v>
      </x:c>
      <x:c r="I1916" s="1" t="n">
        <x:v>1</x:v>
      </x:c>
      <x:c r="J1916" s="1" t="n">
        <x:v>1</x:v>
      </x:c>
      <x:c r="K1916" s="1" t="str">
        <x:v>搜狐/腾讯</x:v>
      </x:c>
    </x:row>
    <x:row r="1917" ht="25" customHeight="1">
      <x:c r="A1917" s="1" t="str">
        <x:v>sz399001</x:v>
      </x:c>
      <x:c r="B1917" s="1" t="str">
        <x:v>深证成指</x:v>
      </x:c>
      <x:c r="C1917" s="1" t="str">
        <x:v>2013-06</x:v>
      </x:c>
      <x:c r="D1917" s="1" t="str">
        <x:v>2013-05-31</x:v>
      </x:c>
      <x:c r="E1917" s="5" t="n">
        <x:v>9257.95</x:v>
      </x:c>
      <x:c r="F1917" s="6" t="str">
        <x:v>2013-06-28</x:v>
      </x:c>
      <x:c r="G1917" s="5" t="n">
        <x:v>7694.47</x:v>
      </x:c>
      <x:c r="H1917" s="7" t="n">
        <x:f>G1917/E1917-1</x:f>
        <x:v>-0.16887971959235037</x:v>
      </x:c>
      <x:c r="I1917" s="1" t="n">
        <x:v>1</x:v>
      </x:c>
      <x:c r="J1917" s="1" t="n">
        <x:v>1</x:v>
      </x:c>
      <x:c r="K1917" s="1" t="str">
        <x:v>搜狐/腾讯</x:v>
      </x:c>
    </x:row>
    <x:row r="1918" ht="25" customHeight="1">
      <x:c r="A1918" s="1" t="str">
        <x:v>sz399001</x:v>
      </x:c>
      <x:c r="B1918" s="1" t="str">
        <x:v>深证成指</x:v>
      </x:c>
      <x:c r="C1918" s="1" t="str">
        <x:v>2013-07</x:v>
      </x:c>
      <x:c r="D1918" s="1" t="str">
        <x:v>2013-06-28</x:v>
      </x:c>
      <x:c r="E1918" s="5" t="n">
        <x:v>7694.47</x:v>
      </x:c>
      <x:c r="F1918" s="6" t="str">
        <x:v>2013-07-31</x:v>
      </x:c>
      <x:c r="G1918" s="5" t="n">
        <x:v>7765.4</x:v>
      </x:c>
      <x:c r="H1918" s="7" t="n">
        <x:f>G1918/E1918-1</x:f>
        <x:v>0.009218308733415004</x:v>
      </x:c>
      <x:c r="I1918" s="1" t="n">
        <x:v>1</x:v>
      </x:c>
      <x:c r="J1918" s="1" t="n">
        <x:v>1</x:v>
      </x:c>
      <x:c r="K1918" s="1" t="str">
        <x:v>搜狐/腾讯</x:v>
      </x:c>
    </x:row>
    <x:row r="1919" ht="25" customHeight="1">
      <x:c r="A1919" s="1" t="str">
        <x:v>sz399001</x:v>
      </x:c>
      <x:c r="B1919" s="1" t="str">
        <x:v>深证成指</x:v>
      </x:c>
      <x:c r="C1919" s="1" t="str">
        <x:v>2013-08</x:v>
      </x:c>
      <x:c r="D1919" s="1" t="str">
        <x:v>2013-07-31</x:v>
      </x:c>
      <x:c r="E1919" s="5" t="n">
        <x:v>7765.4</x:v>
      </x:c>
      <x:c r="F1919" s="6" t="str">
        <x:v>2013-08-30</x:v>
      </x:c>
      <x:c r="G1919" s="5" t="n">
        <x:v>8202.48</x:v>
      </x:c>
      <x:c r="H1919" s="7" t="n">
        <x:f>G1919/E1919-1</x:f>
        <x:v>0.05628557447137306</x:v>
      </x:c>
      <x:c r="I1919" s="1" t="n">
        <x:v>1</x:v>
      </x:c>
      <x:c r="J1919" s="1" t="n">
        <x:v>1</x:v>
      </x:c>
      <x:c r="K1919" s="1" t="str">
        <x:v>搜狐/腾讯</x:v>
      </x:c>
    </x:row>
    <x:row r="1920" ht="25" customHeight="1">
      <x:c r="A1920" s="1" t="str">
        <x:v>sz399001</x:v>
      </x:c>
      <x:c r="B1920" s="1" t="str">
        <x:v>深证成指</x:v>
      </x:c>
      <x:c r="C1920" s="1" t="str">
        <x:v>2013-09</x:v>
      </x:c>
      <x:c r="D1920" s="1" t="str">
        <x:v>2013-08-30</x:v>
      </x:c>
      <x:c r="E1920" s="5" t="n">
        <x:v>8202.48</x:v>
      </x:c>
      <x:c r="F1920" s="6" t="str">
        <x:v>2013-09-30</x:v>
      </x:c>
      <x:c r="G1920" s="5" t="n">
        <x:v>8514.57</x:v>
      </x:c>
      <x:c r="H1920" s="7" t="n">
        <x:f>G1920/E1920-1</x:f>
        <x:v>0.03804824882230751</x:v>
      </x:c>
      <x:c r="I1920" s="1" t="n">
        <x:v>1</x:v>
      </x:c>
      <x:c r="J1920" s="1" t="n">
        <x:v>1</x:v>
      </x:c>
      <x:c r="K1920" s="1" t="str">
        <x:v>搜狐/腾讯</x:v>
      </x:c>
    </x:row>
    <x:row r="1921" ht="25" customHeight="1">
      <x:c r="A1921" s="1" t="str">
        <x:v>sz399001</x:v>
      </x:c>
      <x:c r="B1921" s="1" t="str">
        <x:v>深证成指</x:v>
      </x:c>
      <x:c r="C1921" s="1" t="str">
        <x:v>2013-10</x:v>
      </x:c>
      <x:c r="D1921" s="1" t="str">
        <x:v>2013-09-30</x:v>
      </x:c>
      <x:c r="E1921" s="5" t="n">
        <x:v>8514.57</x:v>
      </x:c>
      <x:c r="F1921" s="6" t="str">
        <x:v>2013-10-31</x:v>
      </x:c>
      <x:c r="G1921" s="5" t="n">
        <x:v>8444.41</x:v>
      </x:c>
      <x:c r="H1921" s="7" t="n">
        <x:f>G1921/E1921-1</x:f>
        <x:v>-0.008239993329081763</x:v>
      </x:c>
      <x:c r="I1921" s="1" t="n">
        <x:v>1</x:v>
      </x:c>
      <x:c r="J1921" s="1" t="n">
        <x:v>1</x:v>
      </x:c>
      <x:c r="K1921" s="1" t="str">
        <x:v>搜狐/腾讯</x:v>
      </x:c>
    </x:row>
    <x:row r="1922" ht="25" customHeight="1">
      <x:c r="A1922" s="1" t="str">
        <x:v>sz399001</x:v>
      </x:c>
      <x:c r="B1922" s="1" t="str">
        <x:v>深证成指</x:v>
      </x:c>
      <x:c r="C1922" s="1" t="str">
        <x:v>2013-11</x:v>
      </x:c>
      <x:c r="D1922" s="1" t="str">
        <x:v>2013-10-31</x:v>
      </x:c>
      <x:c r="E1922" s="5" t="n">
        <x:v>8444.41</x:v>
      </x:c>
      <x:c r="F1922" s="6" t="str">
        <x:v>2013-11-29</x:v>
      </x:c>
      <x:c r="G1922" s="5" t="n">
        <x:v>8542.61</x:v>
      </x:c>
      <x:c r="H1922" s="7" t="n">
        <x:f>G1922/E1922-1</x:f>
        <x:v>0.01162899480247881</x:v>
      </x:c>
      <x:c r="I1922" s="1" t="n">
        <x:v>1</x:v>
      </x:c>
      <x:c r="J1922" s="1" t="n">
        <x:v>1</x:v>
      </x:c>
      <x:c r="K1922" s="1" t="str">
        <x:v>搜狐/腾讯</x:v>
      </x:c>
    </x:row>
    <x:row r="1923" ht="25" customHeight="1">
      <x:c r="A1923" s="1" t="str">
        <x:v>sz399001</x:v>
      </x:c>
      <x:c r="B1923" s="1" t="str">
        <x:v>深证成指</x:v>
      </x:c>
      <x:c r="C1923" s="1" t="str">
        <x:v>2013-12</x:v>
      </x:c>
      <x:c r="D1923" s="1" t="str">
        <x:v>2013-11-29</x:v>
      </x:c>
      <x:c r="E1923" s="5" t="n">
        <x:v>8542.61</x:v>
      </x:c>
      <x:c r="F1923" s="6" t="str">
        <x:v>2013-12-31</x:v>
      </x:c>
      <x:c r="G1923" s="5" t="n">
        <x:v>8121.79</x:v>
      </x:c>
      <x:c r="H1923" s="7" t="n">
        <x:f>G1923/E1923-1</x:f>
        <x:v>-0.049261291338361546</x:v>
      </x:c>
      <x:c r="I1923" s="1" t="n">
        <x:v>1</x:v>
      </x:c>
      <x:c r="J1923" s="1" t="n">
        <x:v>1</x:v>
      </x:c>
      <x:c r="K1923" s="1" t="str">
        <x:v>搜狐/腾讯</x:v>
      </x:c>
    </x:row>
    <x:row r="1924" ht="25" customHeight="1">
      <x:c r="A1924" s="1" t="str">
        <x:v>sz399001</x:v>
      </x:c>
      <x:c r="B1924" s="1" t="str">
        <x:v>深证成指</x:v>
      </x:c>
      <x:c r="C1924" s="1" t="str">
        <x:v>2014-01</x:v>
      </x:c>
      <x:c r="D1924" s="1" t="str">
        <x:v>2013-12-31</x:v>
      </x:c>
      <x:c r="E1924" s="5" t="n">
        <x:v>8121.79</x:v>
      </x:c>
      <x:c r="F1924" s="6" t="str">
        <x:v>2014-01-30</x:v>
      </x:c>
      <x:c r="G1924" s="5" t="n">
        <x:v>7572.63</x:v>
      </x:c>
      <x:c r="H1924" s="7" t="n">
        <x:f>G1924/E1924-1</x:f>
        <x:v>-0.0676156364545254</x:v>
      </x:c>
      <x:c r="I1924" s="1" t="n">
        <x:v>1</x:v>
      </x:c>
      <x:c r="J1924" s="1" t="n">
        <x:v>1</x:v>
      </x:c>
      <x:c r="K1924" s="1" t="str">
        <x:v>搜狐/腾讯</x:v>
      </x:c>
    </x:row>
    <x:row r="1925" ht="25" customHeight="1">
      <x:c r="A1925" s="1" t="str">
        <x:v>sz399001</x:v>
      </x:c>
      <x:c r="B1925" s="1" t="str">
        <x:v>深证成指</x:v>
      </x:c>
      <x:c r="C1925" s="1" t="str">
        <x:v>2014-02</x:v>
      </x:c>
      <x:c r="D1925" s="1" t="str">
        <x:v>2014-01-30</x:v>
      </x:c>
      <x:c r="E1925" s="5" t="n">
        <x:v>7572.63</x:v>
      </x:c>
      <x:c r="F1925" s="6" t="str">
        <x:v>2014-02-28</x:v>
      </x:c>
      <x:c r="G1925" s="5" t="n">
        <x:v>7365.93</x:v>
      </x:c>
      <x:c r="H1925" s="7" t="n">
        <x:f>G1925/E1925-1</x:f>
        <x:v>-0.027295668743884227</x:v>
      </x:c>
      <x:c r="I1925" s="1" t="n">
        <x:v>1</x:v>
      </x:c>
      <x:c r="J1925" s="1" t="n">
        <x:v>1</x:v>
      </x:c>
      <x:c r="K1925" s="1" t="str">
        <x:v>搜狐/腾讯</x:v>
      </x:c>
    </x:row>
    <x:row r="1926" ht="25" customHeight="1">
      <x:c r="A1926" s="1" t="str">
        <x:v>sz399001</x:v>
      </x:c>
      <x:c r="B1926" s="1" t="str">
        <x:v>深证成指</x:v>
      </x:c>
      <x:c r="C1926" s="1" t="str">
        <x:v>2014-03</x:v>
      </x:c>
      <x:c r="D1926" s="1" t="str">
        <x:v>2014-02-28</x:v>
      </x:c>
      <x:c r="E1926" s="5" t="n">
        <x:v>7365.93</x:v>
      </x:c>
      <x:c r="F1926" s="6" t="str">
        <x:v>2014-03-31</x:v>
      </x:c>
      <x:c r="G1926" s="5" t="n">
        <x:v>7189.58</x:v>
      </x:c>
      <x:c r="H1926" s="7" t="n">
        <x:f>G1926/E1926-1</x:f>
        <x:v>-0.023941308157965135</x:v>
      </x:c>
      <x:c r="I1926" s="1" t="n">
        <x:v>1</x:v>
      </x:c>
      <x:c r="J1926" s="1" t="n">
        <x:v>1</x:v>
      </x:c>
      <x:c r="K1926" s="1" t="str">
        <x:v>搜狐/腾讯</x:v>
      </x:c>
    </x:row>
    <x:row r="1927" ht="25" customHeight="1">
      <x:c r="A1927" s="1" t="str">
        <x:v>sz399001</x:v>
      </x:c>
      <x:c r="B1927" s="1" t="str">
        <x:v>深证成指</x:v>
      </x:c>
      <x:c r="C1927" s="1" t="str">
        <x:v>2014-04</x:v>
      </x:c>
      <x:c r="D1927" s="1" t="str">
        <x:v>2014-03-31</x:v>
      </x:c>
      <x:c r="E1927" s="5" t="n">
        <x:v>7189.58</x:v>
      </x:c>
      <x:c r="F1927" s="6" t="str">
        <x:v>2014-04-30</x:v>
      </x:c>
      <x:c r="G1927" s="5" t="n">
        <x:v>7312.86</x:v>
      </x:c>
      <x:c r="H1927" s="7" t="n">
        <x:f>G1927/E1927-1</x:f>
        <x:v>0.017147037796366282</x:v>
      </x:c>
      <x:c r="I1927" s="1" t="n">
        <x:v>1</x:v>
      </x:c>
      <x:c r="J1927" s="1" t="n">
        <x:v>1</x:v>
      </x:c>
      <x:c r="K1927" s="1" t="str">
        <x:v>搜狐/腾讯</x:v>
      </x:c>
    </x:row>
    <x:row r="1928" ht="25" customHeight="1">
      <x:c r="A1928" s="1" t="str">
        <x:v>sz399001</x:v>
      </x:c>
      <x:c r="B1928" s="1" t="str">
        <x:v>深证成指</x:v>
      </x:c>
      <x:c r="C1928" s="1" t="str">
        <x:v>2014-05</x:v>
      </x:c>
      <x:c r="D1928" s="1" t="str">
        <x:v>2014-04-30</x:v>
      </x:c>
      <x:c r="E1928" s="5" t="n">
        <x:v>7312.86</x:v>
      </x:c>
      <x:c r="F1928" s="6" t="str">
        <x:v>2014-05-30</x:v>
      </x:c>
      <x:c r="G1928" s="5" t="n">
        <x:v>7364.83</x:v>
      </x:c>
      <x:c r="H1928" s="7" t="n">
        <x:f>G1928/E1928-1</x:f>
        <x:v>0.007106658680735123</x:v>
      </x:c>
      <x:c r="I1928" s="1" t="n">
        <x:v>1</x:v>
      </x:c>
      <x:c r="J1928" s="1" t="n">
        <x:v>1</x:v>
      </x:c>
      <x:c r="K1928" s="1" t="str">
        <x:v>搜狐/腾讯</x:v>
      </x:c>
    </x:row>
    <x:row r="1929" ht="25" customHeight="1">
      <x:c r="A1929" s="1" t="str">
        <x:v>sz399001</x:v>
      </x:c>
      <x:c r="B1929" s="1" t="str">
        <x:v>深证成指</x:v>
      </x:c>
      <x:c r="C1929" s="1" t="str">
        <x:v>2014-06</x:v>
      </x:c>
      <x:c r="D1929" s="1" t="str">
        <x:v>2014-05-30</x:v>
      </x:c>
      <x:c r="E1929" s="5" t="n">
        <x:v>7364.83</x:v>
      </x:c>
      <x:c r="F1929" s="6" t="str">
        <x:v>2014-06-30</x:v>
      </x:c>
      <x:c r="G1929" s="5" t="n">
        <x:v>7343.28</x:v>
      </x:c>
      <x:c r="H1929" s="7" t="n">
        <x:f>G1929/E1929-1</x:f>
        <x:v>-0.002926068897720624</x:v>
      </x:c>
      <x:c r="I1929" s="1" t="n">
        <x:v>1</x:v>
      </x:c>
      <x:c r="J1929" s="1" t="n">
        <x:v>1</x:v>
      </x:c>
      <x:c r="K1929" s="1" t="str">
        <x:v>搜狐/腾讯</x:v>
      </x:c>
    </x:row>
    <x:row r="1930" ht="25" customHeight="1">
      <x:c r="A1930" s="1" t="str">
        <x:v>sz399001</x:v>
      </x:c>
      <x:c r="B1930" s="1" t="str">
        <x:v>深证成指</x:v>
      </x:c>
      <x:c r="C1930" s="1" t="str">
        <x:v>2014-07</x:v>
      </x:c>
      <x:c r="D1930" s="1" t="str">
        <x:v>2014-06-30</x:v>
      </x:c>
      <x:c r="E1930" s="5" t="n">
        <x:v>7343.28</x:v>
      </x:c>
      <x:c r="F1930" s="6" t="str">
        <x:v>2014-07-31</x:v>
      </x:c>
      <x:c r="G1930" s="5" t="n">
        <x:v>7956.91</x:v>
      </x:c>
      <x:c r="H1930" s="7" t="n">
        <x:f>G1930/E1930-1</x:f>
        <x:v>0.08356347572202072</x:v>
      </x:c>
      <x:c r="I1930" s="1" t="n">
        <x:v>1</x:v>
      </x:c>
      <x:c r="J1930" s="1" t="n">
        <x:v>1</x:v>
      </x:c>
      <x:c r="K1930" s="1" t="str">
        <x:v>搜狐/腾讯</x:v>
      </x:c>
    </x:row>
    <x:row r="1931" ht="25" customHeight="1">
      <x:c r="A1931" s="1" t="str">
        <x:v>sz399001</x:v>
      </x:c>
      <x:c r="B1931" s="1" t="str">
        <x:v>深证成指</x:v>
      </x:c>
      <x:c r="C1931" s="1" t="str">
        <x:v>2014-08</x:v>
      </x:c>
      <x:c r="D1931" s="1" t="str">
        <x:v>2014-07-31</x:v>
      </x:c>
      <x:c r="E1931" s="5" t="n">
        <x:v>7956.91</x:v>
      </x:c>
      <x:c r="F1931" s="6" t="str">
        <x:v>2014-08-29</x:v>
      </x:c>
      <x:c r="G1931" s="5" t="n">
        <x:v>7841.7</x:v>
      </x:c>
      <x:c r="H1931" s="7" t="n">
        <x:f>G1931/E1931-1</x:f>
        <x:v>-0.014479238799986471</x:v>
      </x:c>
      <x:c r="I1931" s="1" t="n">
        <x:v>1</x:v>
      </x:c>
      <x:c r="J1931" s="1" t="n">
        <x:v>1</x:v>
      </x:c>
      <x:c r="K1931" s="1" t="str">
        <x:v>搜狐/腾讯</x:v>
      </x:c>
    </x:row>
    <x:row r="1932" ht="25" customHeight="1">
      <x:c r="A1932" s="1" t="str">
        <x:v>sz399001</x:v>
      </x:c>
      <x:c r="B1932" s="1" t="str">
        <x:v>深证成指</x:v>
      </x:c>
      <x:c r="C1932" s="1" t="str">
        <x:v>2014-09</x:v>
      </x:c>
      <x:c r="D1932" s="1" t="str">
        <x:v>2014-08-29</x:v>
      </x:c>
      <x:c r="E1932" s="5" t="n">
        <x:v>7841.7</x:v>
      </x:c>
      <x:c r="F1932" s="6" t="str">
        <x:v>2014-09-30</x:v>
      </x:c>
      <x:c r="G1932" s="5" t="n">
        <x:v>8080.35</x:v>
      </x:c>
      <x:c r="H1932" s="7" t="n">
        <x:f>G1932/E1932-1</x:f>
        <x:v>0.03043345193006619</x:v>
      </x:c>
      <x:c r="I1932" s="1" t="n">
        <x:v>1</x:v>
      </x:c>
      <x:c r="J1932" s="1" t="n">
        <x:v>1</x:v>
      </x:c>
      <x:c r="K1932" s="1" t="str">
        <x:v>搜狐/腾讯</x:v>
      </x:c>
    </x:row>
    <x:row r="1933" ht="25" customHeight="1">
      <x:c r="A1933" s="1" t="str">
        <x:v>sz399001</x:v>
      </x:c>
      <x:c r="B1933" s="1" t="str">
        <x:v>深证成指</x:v>
      </x:c>
      <x:c r="C1933" s="1" t="str">
        <x:v>2014-10</x:v>
      </x:c>
      <x:c r="D1933" s="1" t="str">
        <x:v>2014-09-30</x:v>
      </x:c>
      <x:c r="E1933" s="5" t="n">
        <x:v>8080.35</x:v>
      </x:c>
      <x:c r="F1933" s="6" t="str">
        <x:v>2014-10-31</x:v>
      </x:c>
      <x:c r="G1933" s="5" t="n">
        <x:v>8225.61</x:v>
      </x:c>
      <x:c r="H1933" s="7" t="n">
        <x:f>G1933/E1933-1</x:f>
        <x:v>0.017976944068016865</x:v>
      </x:c>
      <x:c r="I1933" s="1" t="n">
        <x:v>1</x:v>
      </x:c>
      <x:c r="J1933" s="1" t="n">
        <x:v>1</x:v>
      </x:c>
      <x:c r="K1933" s="1" t="str">
        <x:v>搜狐/腾讯</x:v>
      </x:c>
    </x:row>
    <x:row r="1934" ht="25" customHeight="1">
      <x:c r="A1934" s="1" t="str">
        <x:v>sz399001</x:v>
      </x:c>
      <x:c r="B1934" s="1" t="str">
        <x:v>深证成指</x:v>
      </x:c>
      <x:c r="C1934" s="1" t="str">
        <x:v>2014-11</x:v>
      </x:c>
      <x:c r="D1934" s="1" t="str">
        <x:v>2014-10-31</x:v>
      </x:c>
      <x:c r="E1934" s="5" t="n">
        <x:v>8225.61</x:v>
      </x:c>
      <x:c r="F1934" s="6" t="str">
        <x:v>2014-11-28</x:v>
      </x:c>
      <x:c r="G1934" s="5" t="n">
        <x:v>9002.23</x:v>
      </x:c>
      <x:c r="H1934" s="7" t="n">
        <x:f>G1934/E1934-1</x:f>
        <x:v>0.0944148823005222</x:v>
      </x:c>
      <x:c r="I1934" s="1" t="n">
        <x:v>1</x:v>
      </x:c>
      <x:c r="J1934" s="1" t="n">
        <x:v>1</x:v>
      </x:c>
      <x:c r="K1934" s="1" t="str">
        <x:v>搜狐/腾讯</x:v>
      </x:c>
    </x:row>
    <x:row r="1935" ht="25" customHeight="1">
      <x:c r="A1935" s="1" t="str">
        <x:v>sz399001</x:v>
      </x:c>
      <x:c r="B1935" s="1" t="str">
        <x:v>深证成指</x:v>
      </x:c>
      <x:c r="C1935" s="1" t="str">
        <x:v>2014-12</x:v>
      </x:c>
      <x:c r="D1935" s="1" t="str">
        <x:v>2014-11-28</x:v>
      </x:c>
      <x:c r="E1935" s="5" t="n">
        <x:v>9002.23</x:v>
      </x:c>
      <x:c r="F1935" s="6" t="str">
        <x:v>2014-12-31</x:v>
      </x:c>
      <x:c r="G1935" s="5" t="n">
        <x:v>11014.62</x:v>
      </x:c>
      <x:c r="H1935" s="7" t="n">
        <x:f>G1935/E1935-1</x:f>
        <x:v>0.2235434997772776</x:v>
      </x:c>
      <x:c r="I1935" s="1" t="n">
        <x:v>1</x:v>
      </x:c>
      <x:c r="J1935" s="1" t="n">
        <x:v>1</x:v>
      </x:c>
      <x:c r="K1935" s="1" t="str">
        <x:v>搜狐/腾讯</x:v>
      </x:c>
    </x:row>
    <x:row r="1936" ht="25" customHeight="1">
      <x:c r="A1936" s="1" t="str">
        <x:v>sz399001</x:v>
      </x:c>
      <x:c r="B1936" s="1" t="str">
        <x:v>深证成指</x:v>
      </x:c>
      <x:c r="C1936" s="1" t="str">
        <x:v>2015-01</x:v>
      </x:c>
      <x:c r="D1936" s="1" t="str">
        <x:v>2014-12-31</x:v>
      </x:c>
      <x:c r="E1936" s="5" t="n">
        <x:v>11014.62</x:v>
      </x:c>
      <x:c r="F1936" s="6" t="str">
        <x:v>2015-01-30</x:v>
      </x:c>
      <x:c r="G1936" s="5" t="n">
        <x:v>11150.69</x:v>
      </x:c>
      <x:c r="H1936" s="7" t="n">
        <x:f>G1936/E1936-1</x:f>
        <x:v>0.012353580967841005</x:v>
      </x:c>
      <x:c r="I1936" s="1" t="n">
        <x:v>1</x:v>
      </x:c>
      <x:c r="J1936" s="1" t="n">
        <x:v>1</x:v>
      </x:c>
      <x:c r="K1936" s="1" t="str">
        <x:v>搜狐/腾讯</x:v>
      </x:c>
    </x:row>
    <x:row r="1937" ht="25" customHeight="1">
      <x:c r="A1937" s="1" t="str">
        <x:v>sz399001</x:v>
      </x:c>
      <x:c r="B1937" s="1" t="str">
        <x:v>深证成指</x:v>
      </x:c>
      <x:c r="C1937" s="1" t="str">
        <x:v>2015-02</x:v>
      </x:c>
      <x:c r="D1937" s="1" t="str">
        <x:v>2015-01-30</x:v>
      </x:c>
      <x:c r="E1937" s="5" t="n">
        <x:v>11150.69</x:v>
      </x:c>
      <x:c r="F1937" s="6" t="str">
        <x:v>2015-02-27</x:v>
      </x:c>
      <x:c r="G1937" s="5" t="n">
        <x:v>11757.68</x:v>
      </x:c>
      <x:c r="H1937" s="7" t="n">
        <x:f>G1937/E1937-1</x:f>
        <x:v>0.05443519638695005</x:v>
      </x:c>
      <x:c r="I1937" s="1" t="n">
        <x:v>1</x:v>
      </x:c>
      <x:c r="J1937" s="1" t="n">
        <x:v>1</x:v>
      </x:c>
      <x:c r="K1937" s="1" t="str">
        <x:v>搜狐/腾讯</x:v>
      </x:c>
    </x:row>
    <x:row r="1938" ht="25" customHeight="1">
      <x:c r="A1938" s="1" t="str">
        <x:v>sz399001</x:v>
      </x:c>
      <x:c r="B1938" s="1" t="str">
        <x:v>深证成指</x:v>
      </x:c>
      <x:c r="C1938" s="1" t="str">
        <x:v>2015-03</x:v>
      </x:c>
      <x:c r="D1938" s="1" t="str">
        <x:v>2015-02-27</x:v>
      </x:c>
      <x:c r="E1938" s="5" t="n">
        <x:v>11757.68</x:v>
      </x:c>
      <x:c r="F1938" s="6" t="str">
        <x:v>2015-03-31</x:v>
      </x:c>
      <x:c r="G1938" s="5" t="n">
        <x:v>13160.66</x:v>
      </x:c>
      <x:c r="H1938" s="7" t="n">
        <x:f>G1938/E1938-1</x:f>
        <x:v>0.11932456062760677</x:v>
      </x:c>
      <x:c r="I1938" s="1" t="n">
        <x:v>1</x:v>
      </x:c>
      <x:c r="J1938" s="1" t="n">
        <x:v>1</x:v>
      </x:c>
      <x:c r="K1938" s="1" t="str">
        <x:v>搜狐/腾讯</x:v>
      </x:c>
    </x:row>
    <x:row r="1939" ht="25" customHeight="1">
      <x:c r="A1939" s="1" t="str">
        <x:v>sz399001</x:v>
      </x:c>
      <x:c r="B1939" s="1" t="str">
        <x:v>深证成指</x:v>
      </x:c>
      <x:c r="C1939" s="1" t="str">
        <x:v>2015-04</x:v>
      </x:c>
      <x:c r="D1939" s="1" t="str">
        <x:v>2015-03-31</x:v>
      </x:c>
      <x:c r="E1939" s="5" t="n">
        <x:v>13160.66</x:v>
      </x:c>
      <x:c r="F1939" s="6" t="str">
        <x:v>2015-04-30</x:v>
      </x:c>
      <x:c r="G1939" s="5" t="n">
        <x:v>14818.64</x:v>
      </x:c>
      <x:c r="H1939" s="7" t="n">
        <x:f>G1939/E1939-1</x:f>
        <x:v>0.12598000404235044</x:v>
      </x:c>
      <x:c r="I1939" s="1" t="n">
        <x:v>1</x:v>
      </x:c>
      <x:c r="J1939" s="1" t="n">
        <x:v>1</x:v>
      </x:c>
      <x:c r="K1939" s="1" t="str">
        <x:v>搜狐/腾讯</x:v>
      </x:c>
    </x:row>
    <x:row r="1940" ht="25" customHeight="1">
      <x:c r="A1940" s="1" t="str">
        <x:v>sz399001</x:v>
      </x:c>
      <x:c r="B1940" s="1" t="str">
        <x:v>深证成指</x:v>
      </x:c>
      <x:c r="C1940" s="1" t="str">
        <x:v>2015-05</x:v>
      </x:c>
      <x:c r="D1940" s="1" t="str">
        <x:v>2015-04-30</x:v>
      </x:c>
      <x:c r="E1940" s="5" t="n">
        <x:v>14818.64</x:v>
      </x:c>
      <x:c r="F1940" s="6" t="str">
        <x:v>2015-05-29</x:v>
      </x:c>
      <x:c r="G1940" s="5" t="n">
        <x:v>16100.45</x:v>
      </x:c>
      <x:c r="H1940" s="7" t="n">
        <x:f>G1940/E1940-1</x:f>
        <x:v>0.08649984074112083</x:v>
      </x:c>
      <x:c r="I1940" s="1" t="n">
        <x:v>1</x:v>
      </x:c>
      <x:c r="J1940" s="1" t="n">
        <x:v>1</x:v>
      </x:c>
      <x:c r="K1940" s="1" t="str">
        <x:v>搜狐/腾讯</x:v>
      </x:c>
    </x:row>
    <x:row r="1941" ht="25" customHeight="1">
      <x:c r="A1941" s="1" t="str">
        <x:v>sz399001</x:v>
      </x:c>
      <x:c r="B1941" s="1" t="str">
        <x:v>深证成指</x:v>
      </x:c>
      <x:c r="C1941" s="1" t="str">
        <x:v>2015-06</x:v>
      </x:c>
      <x:c r="D1941" s="1" t="str">
        <x:v>2015-05-29</x:v>
      </x:c>
      <x:c r="E1941" s="5" t="n">
        <x:v>16100.45</x:v>
      </x:c>
      <x:c r="F1941" s="6" t="str">
        <x:v>2015-06-30</x:v>
      </x:c>
      <x:c r="G1941" s="5" t="n">
        <x:v>14337.97</x:v>
      </x:c>
      <x:c r="H1941" s="7" t="n">
        <x:f>G1941/E1941-1</x:f>
        <x:v>-0.1094677477958691</x:v>
      </x:c>
      <x:c r="I1941" s="1" t="n">
        <x:v>1</x:v>
      </x:c>
      <x:c r="J1941" s="1" t="n">
        <x:v>1</x:v>
      </x:c>
      <x:c r="K1941" s="1" t="str">
        <x:v>搜狐/腾讯</x:v>
      </x:c>
    </x:row>
    <x:row r="1942" ht="25" customHeight="1">
      <x:c r="A1942" s="1" t="str">
        <x:v>sz399001</x:v>
      </x:c>
      <x:c r="B1942" s="1" t="str">
        <x:v>深证成指</x:v>
      </x:c>
      <x:c r="C1942" s="1" t="str">
        <x:v>2015-07</x:v>
      </x:c>
      <x:c r="D1942" s="1" t="str">
        <x:v>2015-06-30</x:v>
      </x:c>
      <x:c r="E1942" s="5" t="n">
        <x:v>14337.97</x:v>
      </x:c>
      <x:c r="F1942" s="6" t="str">
        <x:v>2015-07-31</x:v>
      </x:c>
      <x:c r="G1942" s="5" t="n">
        <x:v>12374.25</x:v>
      </x:c>
      <x:c r="H1942" s="7" t="n">
        <x:f>G1942/E1942-1</x:f>
        <x:v>-0.13695941615165885</x:v>
      </x:c>
      <x:c r="I1942" s="1" t="n">
        <x:v>1</x:v>
      </x:c>
      <x:c r="J1942" s="1" t="n">
        <x:v>1</x:v>
      </x:c>
      <x:c r="K1942" s="1" t="str">
        <x:v>搜狐/腾讯</x:v>
      </x:c>
    </x:row>
    <x:row r="1943" ht="25" customHeight="1">
      <x:c r="A1943" s="1" t="str">
        <x:v>sz399001</x:v>
      </x:c>
      <x:c r="B1943" s="1" t="str">
        <x:v>深证成指</x:v>
      </x:c>
      <x:c r="C1943" s="1" t="str">
        <x:v>2015-08</x:v>
      </x:c>
      <x:c r="D1943" s="1" t="str">
        <x:v>2015-07-31</x:v>
      </x:c>
      <x:c r="E1943" s="5" t="n">
        <x:v>12374.25</x:v>
      </x:c>
      <x:c r="F1943" s="6" t="str">
        <x:v>2015-08-31</x:v>
      </x:c>
      <x:c r="G1943" s="5" t="n">
        <x:v>10549.16</x:v>
      </x:c>
      <x:c r="H1943" s="7" t="n">
        <x:f>G1943/E1943-1</x:f>
        <x:v>-0.14749095904802312</x:v>
      </x:c>
      <x:c r="I1943" s="1" t="n">
        <x:v>1</x:v>
      </x:c>
      <x:c r="J1943" s="1" t="n">
        <x:v>1</x:v>
      </x:c>
      <x:c r="K1943" s="1" t="str">
        <x:v>搜狐/腾讯</x:v>
      </x:c>
    </x:row>
    <x:row r="1944" ht="25" customHeight="1">
      <x:c r="A1944" s="1" t="str">
        <x:v>sz399001</x:v>
      </x:c>
      <x:c r="B1944" s="1" t="str">
        <x:v>深证成指</x:v>
      </x:c>
      <x:c r="C1944" s="1" t="str">
        <x:v>2015-09</x:v>
      </x:c>
      <x:c r="D1944" s="1" t="str">
        <x:v>2015-08-31</x:v>
      </x:c>
      <x:c r="E1944" s="5" t="n">
        <x:v>10549.16</x:v>
      </x:c>
      <x:c r="F1944" s="6" t="str">
        <x:v>2015-09-30</x:v>
      </x:c>
      <x:c r="G1944" s="5" t="n">
        <x:v>9988.25</x:v>
      </x:c>
      <x:c r="H1944" s="7" t="n">
        <x:f>G1944/E1944-1</x:f>
        <x:v>-0.05317105816956036</x:v>
      </x:c>
      <x:c r="I1944" s="1" t="n">
        <x:v>1</x:v>
      </x:c>
      <x:c r="J1944" s="1" t="n">
        <x:v>1</x:v>
      </x:c>
      <x:c r="K1944" s="1" t="str">
        <x:v>搜狐/腾讯</x:v>
      </x:c>
    </x:row>
    <x:row r="1945" ht="25" customHeight="1">
      <x:c r="A1945" s="1" t="str">
        <x:v>sz399001</x:v>
      </x:c>
      <x:c r="B1945" s="1" t="str">
        <x:v>深证成指</x:v>
      </x:c>
      <x:c r="C1945" s="1" t="str">
        <x:v>2015-10</x:v>
      </x:c>
      <x:c r="D1945" s="1" t="str">
        <x:v>2015-09-30</x:v>
      </x:c>
      <x:c r="E1945" s="5" t="n">
        <x:v>9988.25</x:v>
      </x:c>
      <x:c r="F1945" s="6" t="str">
        <x:v>2015-10-30</x:v>
      </x:c>
      <x:c r="G1945" s="5" t="n">
        <x:v>11546.05</x:v>
      </x:c>
      <x:c r="H1945" s="7" t="n">
        <x:f>G1945/E1945-1</x:f>
        <x:v>0.15596325682677148</x:v>
      </x:c>
      <x:c r="I1945" s="1" t="n">
        <x:v>1</x:v>
      </x:c>
      <x:c r="J1945" s="1" t="n">
        <x:v>1</x:v>
      </x:c>
      <x:c r="K1945" s="1" t="str">
        <x:v>搜狐/腾讯</x:v>
      </x:c>
    </x:row>
    <x:row r="1946" ht="25" customHeight="1">
      <x:c r="A1946" s="1" t="str">
        <x:v>sz399001</x:v>
      </x:c>
      <x:c r="B1946" s="1" t="str">
        <x:v>深证成指</x:v>
      </x:c>
      <x:c r="C1946" s="1" t="str">
        <x:v>2015-11</x:v>
      </x:c>
      <x:c r="D1946" s="1" t="str">
        <x:v>2015-10-30</x:v>
      </x:c>
      <x:c r="E1946" s="5" t="n">
        <x:v>11546.05</x:v>
      </x:c>
      <x:c r="F1946" s="6" t="str">
        <x:v>2015-11-30</x:v>
      </x:c>
      <x:c r="G1946" s="5" t="n">
        <x:v>12037.86</x:v>
      </x:c>
      <x:c r="H1946" s="7" t="n">
        <x:f>G1946/E1946-1</x:f>
        <x:v>0.042595519679890614</x:v>
      </x:c>
      <x:c r="I1946" s="1" t="n">
        <x:v>1</x:v>
      </x:c>
      <x:c r="J1946" s="1" t="n">
        <x:v>1</x:v>
      </x:c>
      <x:c r="K1946" s="1" t="str">
        <x:v>搜狐/腾讯</x:v>
      </x:c>
    </x:row>
    <x:row r="1947" ht="25" customHeight="1">
      <x:c r="A1947" s="1" t="str">
        <x:v>sz399001</x:v>
      </x:c>
      <x:c r="B1947" s="1" t="str">
        <x:v>深证成指</x:v>
      </x:c>
      <x:c r="C1947" s="1" t="str">
        <x:v>2015-12</x:v>
      </x:c>
      <x:c r="D1947" s="1" t="str">
        <x:v>2015-11-30</x:v>
      </x:c>
      <x:c r="E1947" s="5" t="n">
        <x:v>12037.86</x:v>
      </x:c>
      <x:c r="F1947" s="6" t="str">
        <x:v>2015-12-31</x:v>
      </x:c>
      <x:c r="G1947" s="5" t="n">
        <x:v>12664.89</x:v>
      </x:c>
      <x:c r="H1947" s="7" t="n">
        <x:f>G1947/E1947-1</x:f>
        <x:v>0.052088161849365155</x:v>
      </x:c>
      <x:c r="I1947" s="1" t="n">
        <x:v>1</x:v>
      </x:c>
      <x:c r="J1947" s="1" t="n">
        <x:v>1</x:v>
      </x:c>
      <x:c r="K1947" s="1" t="str">
        <x:v>搜狐/腾讯</x:v>
      </x:c>
    </x:row>
    <x:row r="1948" ht="25" customHeight="1">
      <x:c r="A1948" s="1" t="str">
        <x:v>sz399001</x:v>
      </x:c>
      <x:c r="B1948" s="1" t="str">
        <x:v>深证成指</x:v>
      </x:c>
      <x:c r="C1948" s="1" t="str">
        <x:v>2016-01</x:v>
      </x:c>
      <x:c r="D1948" s="1" t="str">
        <x:v>2015-12-31</x:v>
      </x:c>
      <x:c r="E1948" s="5" t="n">
        <x:v>12664.89</x:v>
      </x:c>
      <x:c r="F1948" s="6" t="str">
        <x:v>2016-01-29</x:v>
      </x:c>
      <x:c r="G1948" s="5" t="n">
        <x:v>9418.2</x:v>
      </x:c>
      <x:c r="H1948" s="7" t="n">
        <x:f>G1948/E1948-1</x:f>
        <x:v>-0.256353588542814</x:v>
      </x:c>
      <x:c r="I1948" s="1" t="n">
        <x:v>1</x:v>
      </x:c>
      <x:c r="J1948" s="1" t="n">
        <x:v>1</x:v>
      </x:c>
      <x:c r="K1948" s="1" t="str">
        <x:v>搜狐/腾讯</x:v>
      </x:c>
    </x:row>
    <x:row r="1949" ht="25" customHeight="1">
      <x:c r="A1949" s="1" t="str">
        <x:v>sz399001</x:v>
      </x:c>
      <x:c r="B1949" s="1" t="str">
        <x:v>深证成指</x:v>
      </x:c>
      <x:c r="C1949" s="1" t="str">
        <x:v>2016-02</x:v>
      </x:c>
      <x:c r="D1949" s="1" t="str">
        <x:v>2016-01-29</x:v>
      </x:c>
      <x:c r="E1949" s="5" t="n">
        <x:v>9418.2</x:v>
      </x:c>
      <x:c r="F1949" s="6" t="str">
        <x:v>2016-02-29</x:v>
      </x:c>
      <x:c r="G1949" s="5" t="n">
        <x:v>9097.36</x:v>
      </x:c>
      <x:c r="H1949" s="7" t="n">
        <x:f>G1949/E1949-1</x:f>
        <x:v>-0.034065957401626656</x:v>
      </x:c>
      <x:c r="I1949" s="1" t="n">
        <x:v>1</x:v>
      </x:c>
      <x:c r="J1949" s="1" t="n">
        <x:v>1</x:v>
      </x:c>
      <x:c r="K1949" s="1" t="str">
        <x:v>搜狐/腾讯</x:v>
      </x:c>
    </x:row>
    <x:row r="1950" ht="25" customHeight="1">
      <x:c r="A1950" s="1" t="str">
        <x:v>sz399001</x:v>
      </x:c>
      <x:c r="B1950" s="1" t="str">
        <x:v>深证成指</x:v>
      </x:c>
      <x:c r="C1950" s="1" t="str">
        <x:v>2016-03</x:v>
      </x:c>
      <x:c r="D1950" s="1" t="str">
        <x:v>2016-02-29</x:v>
      </x:c>
      <x:c r="E1950" s="5" t="n">
        <x:v>9097.36</x:v>
      </x:c>
      <x:c r="F1950" s="6" t="str">
        <x:v>2016-03-31</x:v>
      </x:c>
      <x:c r="G1950" s="5" t="n">
        <x:v>10455.37</x:v>
      </x:c>
      <x:c r="H1950" s="7" t="n">
        <x:f>G1950/E1950-1</x:f>
        <x:v>0.149275174336291</x:v>
      </x:c>
      <x:c r="I1950" s="1" t="n">
        <x:v>1</x:v>
      </x:c>
      <x:c r="J1950" s="1" t="n">
        <x:v>1</x:v>
      </x:c>
      <x:c r="K1950" s="1" t="str">
        <x:v>搜狐/腾讯</x:v>
      </x:c>
    </x:row>
    <x:row r="1951" ht="25" customHeight="1">
      <x:c r="A1951" s="1" t="str">
        <x:v>sz399001</x:v>
      </x:c>
      <x:c r="B1951" s="1" t="str">
        <x:v>深证成指</x:v>
      </x:c>
      <x:c r="C1951" s="1" t="str">
        <x:v>2016-04</x:v>
      </x:c>
      <x:c r="D1951" s="1" t="str">
        <x:v>2016-03-31</x:v>
      </x:c>
      <x:c r="E1951" s="5" t="n">
        <x:v>10455.37</x:v>
      </x:c>
      <x:c r="F1951" s="6" t="str">
        <x:v>2016-04-29</x:v>
      </x:c>
      <x:c r="G1951" s="5" t="n">
        <x:v>10141.54</x:v>
      </x:c>
      <x:c r="H1951" s="7" t="n">
        <x:f>G1951/E1951-1</x:f>
        <x:v>-0.030016154378085136</x:v>
      </x:c>
      <x:c r="I1951" s="1" t="n">
        <x:v>1</x:v>
      </x:c>
      <x:c r="J1951" s="1" t="n">
        <x:v>1</x:v>
      </x:c>
      <x:c r="K1951" s="1" t="str">
        <x:v>搜狐/腾讯</x:v>
      </x:c>
    </x:row>
    <x:row r="1952" ht="25" customHeight="1">
      <x:c r="A1952" s="1" t="str">
        <x:v>sz399001</x:v>
      </x:c>
      <x:c r="B1952" s="1" t="str">
        <x:v>深证成指</x:v>
      </x:c>
      <x:c r="C1952" s="1" t="str">
        <x:v>2016-05</x:v>
      </x:c>
      <x:c r="D1952" s="1" t="str">
        <x:v>2016-04-29</x:v>
      </x:c>
      <x:c r="E1952" s="5" t="n">
        <x:v>10141.54</x:v>
      </x:c>
      <x:c r="F1952" s="6" t="str">
        <x:v>2016-05-31</x:v>
      </x:c>
      <x:c r="G1952" s="5" t="n">
        <x:v>10159.93</x:v>
      </x:c>
      <x:c r="H1952" s="7" t="n">
        <x:f>G1952/E1952-1</x:f>
        <x:v>0.0018133340695791755</x:v>
      </x:c>
      <x:c r="I1952" s="1" t="n">
        <x:v>1</x:v>
      </x:c>
      <x:c r="J1952" s="1" t="n">
        <x:v>1</x:v>
      </x:c>
      <x:c r="K1952" s="1" t="str">
        <x:v>搜狐/腾讯</x:v>
      </x:c>
    </x:row>
    <x:row r="1953" ht="25" customHeight="1">
      <x:c r="A1953" s="1" t="str">
        <x:v>sz399001</x:v>
      </x:c>
      <x:c r="B1953" s="1" t="str">
        <x:v>深证成指</x:v>
      </x:c>
      <x:c r="C1953" s="1" t="str">
        <x:v>2016-06</x:v>
      </x:c>
      <x:c r="D1953" s="1" t="str">
        <x:v>2016-05-31</x:v>
      </x:c>
      <x:c r="E1953" s="5" t="n">
        <x:v>10159.93</x:v>
      </x:c>
      <x:c r="F1953" s="6" t="str">
        <x:v>2016-06-30</x:v>
      </x:c>
      <x:c r="G1953" s="5" t="n">
        <x:v>10489.99</x:v>
      </x:c>
      <x:c r="H1953" s="7" t="n">
        <x:f>G1953/E1953-1</x:f>
        <x:v>0.032486444296368155</x:v>
      </x:c>
      <x:c r="I1953" s="1" t="n">
        <x:v>1</x:v>
      </x:c>
      <x:c r="J1953" s="1" t="n">
        <x:v>1</x:v>
      </x:c>
      <x:c r="K1953" s="1" t="str">
        <x:v>搜狐/腾讯</x:v>
      </x:c>
    </x:row>
    <x:row r="1954" ht="25" customHeight="1">
      <x:c r="A1954" s="1" t="str">
        <x:v>sz399001</x:v>
      </x:c>
      <x:c r="B1954" s="1" t="str">
        <x:v>深证成指</x:v>
      </x:c>
      <x:c r="C1954" s="1" t="str">
        <x:v>2016-07</x:v>
      </x:c>
      <x:c r="D1954" s="1" t="str">
        <x:v>2016-06-30</x:v>
      </x:c>
      <x:c r="E1954" s="5" t="n">
        <x:v>10489.99</x:v>
      </x:c>
      <x:c r="F1954" s="6" t="str">
        <x:v>2016-07-29</x:v>
      </x:c>
      <x:c r="G1954" s="5" t="n">
        <x:v>10329.44</x:v>
      </x:c>
      <x:c r="H1954" s="7" t="n">
        <x:f>G1954/E1954-1</x:f>
        <x:v>-0.015305067021036178</x:v>
      </x:c>
      <x:c r="I1954" s="1" t="n">
        <x:v>1</x:v>
      </x:c>
      <x:c r="J1954" s="1" t="n">
        <x:v>1</x:v>
      </x:c>
      <x:c r="K1954" s="1" t="str">
        <x:v>搜狐/腾讯</x:v>
      </x:c>
    </x:row>
    <x:row r="1955" ht="25" customHeight="1">
      <x:c r="A1955" s="1" t="str">
        <x:v>sz399001</x:v>
      </x:c>
      <x:c r="B1955" s="1" t="str">
        <x:v>深证成指</x:v>
      </x:c>
      <x:c r="C1955" s="1" t="str">
        <x:v>2016-08</x:v>
      </x:c>
      <x:c r="D1955" s="1" t="str">
        <x:v>2016-07-29</x:v>
      </x:c>
      <x:c r="E1955" s="5" t="n">
        <x:v>10329.44</x:v>
      </x:c>
      <x:c r="F1955" s="6" t="str">
        <x:v>2016-08-31</x:v>
      </x:c>
      <x:c r="G1955" s="5" t="n">
        <x:v>10757.88</x:v>
      </x:c>
      <x:c r="H1955" s="7" t="n">
        <x:f>G1955/E1955-1</x:f>
        <x:v>0.04147756315928053</x:v>
      </x:c>
      <x:c r="I1955" s="1" t="n">
        <x:v>1</x:v>
      </x:c>
      <x:c r="J1955" s="1" t="n">
        <x:v>1</x:v>
      </x:c>
      <x:c r="K1955" s="1" t="str">
        <x:v>搜狐/腾讯</x:v>
      </x:c>
    </x:row>
    <x:row r="1956" ht="25" customHeight="1">
      <x:c r="A1956" s="1" t="str">
        <x:v>sz399001</x:v>
      </x:c>
      <x:c r="B1956" s="1" t="str">
        <x:v>深证成指</x:v>
      </x:c>
      <x:c r="C1956" s="1" t="str">
        <x:v>2016-09</x:v>
      </x:c>
      <x:c r="D1956" s="1" t="str">
        <x:v>2016-08-31</x:v>
      </x:c>
      <x:c r="E1956" s="5" t="n">
        <x:v>10757.88</x:v>
      </x:c>
      <x:c r="F1956" s="6" t="str">
        <x:v>2016-09-30</x:v>
      </x:c>
      <x:c r="G1956" s="5" t="n">
        <x:v>10567.58</x:v>
      </x:c>
      <x:c r="H1956" s="7" t="n">
        <x:f>G1956/E1956-1</x:f>
        <x:v>-0.017689358869963145</x:v>
      </x:c>
      <x:c r="I1956" s="1" t="n">
        <x:v>1</x:v>
      </x:c>
      <x:c r="J1956" s="1" t="n">
        <x:v>1</x:v>
      </x:c>
      <x:c r="K1956" s="1" t="str">
        <x:v>搜狐/腾讯</x:v>
      </x:c>
    </x:row>
    <x:row r="1957" ht="25" customHeight="1">
      <x:c r="A1957" s="1" t="str">
        <x:v>sz399001</x:v>
      </x:c>
      <x:c r="B1957" s="1" t="str">
        <x:v>深证成指</x:v>
      </x:c>
      <x:c r="C1957" s="1" t="str">
        <x:v>2016-10</x:v>
      </x:c>
      <x:c r="D1957" s="1" t="str">
        <x:v>2016-09-30</x:v>
      </x:c>
      <x:c r="E1957" s="5" t="n">
        <x:v>10567.58</x:v>
      </x:c>
      <x:c r="F1957" s="6" t="str">
        <x:v>2016-10-31</x:v>
      </x:c>
      <x:c r="G1957" s="5" t="n">
        <x:v>10704.3</x:v>
      </x:c>
      <x:c r="H1957" s="7" t="n">
        <x:f>G1957/E1957-1</x:f>
        <x:v>0.012937682988915178</x:v>
      </x:c>
      <x:c r="I1957" s="1" t="n">
        <x:v>1</x:v>
      </x:c>
      <x:c r="J1957" s="1" t="n">
        <x:v>1</x:v>
      </x:c>
      <x:c r="K1957" s="1" t="str">
        <x:v>搜狐/腾讯</x:v>
      </x:c>
    </x:row>
    <x:row r="1958" ht="25" customHeight="1">
      <x:c r="A1958" s="1" t="str">
        <x:v>sz399001</x:v>
      </x:c>
      <x:c r="B1958" s="1" t="str">
        <x:v>深证成指</x:v>
      </x:c>
      <x:c r="C1958" s="1" t="str">
        <x:v>2016-11</x:v>
      </x:c>
      <x:c r="D1958" s="1" t="str">
        <x:v>2016-10-31</x:v>
      </x:c>
      <x:c r="E1958" s="5" t="n">
        <x:v>10704.3</x:v>
      </x:c>
      <x:c r="F1958" s="6" t="str">
        <x:v>2016-11-30</x:v>
      </x:c>
      <x:c r="G1958" s="5" t="n">
        <x:v>11012.19</x:v>
      </x:c>
      <x:c r="H1958" s="7" t="n">
        <x:f>G1958/E1958-1</x:f>
        <x:v>0.028763207309212335</x:v>
      </x:c>
      <x:c r="I1958" s="1" t="n">
        <x:v>1</x:v>
      </x:c>
      <x:c r="J1958" s="1" t="n">
        <x:v>1</x:v>
      </x:c>
      <x:c r="K1958" s="1" t="str">
        <x:v>搜狐/腾讯</x:v>
      </x:c>
    </x:row>
    <x:row r="1959" ht="25" customHeight="1">
      <x:c r="A1959" s="1" t="str">
        <x:v>sz399001</x:v>
      </x:c>
      <x:c r="B1959" s="1" t="str">
        <x:v>深证成指</x:v>
      </x:c>
      <x:c r="C1959" s="1" t="str">
        <x:v>2016-12</x:v>
      </x:c>
      <x:c r="D1959" s="1" t="str">
        <x:v>2016-11-30</x:v>
      </x:c>
      <x:c r="E1959" s="5" t="n">
        <x:v>11012.19</x:v>
      </x:c>
      <x:c r="F1959" s="6" t="str">
        <x:v>2016-12-30</x:v>
      </x:c>
      <x:c r="G1959" s="5" t="n">
        <x:v>10177.14</x:v>
      </x:c>
      <x:c r="H1959" s="7" t="n">
        <x:f>G1959/E1959-1</x:f>
        <x:v>-0.0758296033758954</x:v>
      </x:c>
      <x:c r="I1959" s="1" t="n">
        <x:v>1</x:v>
      </x:c>
      <x:c r="J1959" s="1" t="n">
        <x:v>1</x:v>
      </x:c>
      <x:c r="K1959" s="1" t="str">
        <x:v>搜狐/腾讯</x:v>
      </x:c>
    </x:row>
    <x:row r="1960" ht="25" customHeight="1">
      <x:c r="A1960" s="1" t="str">
        <x:v>sz399001</x:v>
      </x:c>
      <x:c r="B1960" s="1" t="str">
        <x:v>深证成指</x:v>
      </x:c>
      <x:c r="C1960" s="1" t="str">
        <x:v>2017-01</x:v>
      </x:c>
      <x:c r="D1960" s="1" t="str">
        <x:v>2016-12-30</x:v>
      </x:c>
      <x:c r="E1960" s="5" t="n">
        <x:v>10177.14</x:v>
      </x:c>
      <x:c r="F1960" s="6" t="str">
        <x:v>2017-01-26</x:v>
      </x:c>
      <x:c r="G1960" s="5" t="n">
        <x:v>10052.05</x:v>
      </x:c>
      <x:c r="H1960" s="7" t="n">
        <x:f>G1960/E1960-1</x:f>
        <x:v>-0.012291272400694164</x:v>
      </x:c>
      <x:c r="I1960" s="1" t="n">
        <x:v>1</x:v>
      </x:c>
      <x:c r="J1960" s="1" t="n">
        <x:v>1</x:v>
      </x:c>
      <x:c r="K1960" s="1" t="str">
        <x:v>搜狐/腾讯</x:v>
      </x:c>
    </x:row>
    <x:row r="1961" ht="25" customHeight="1">
      <x:c r="A1961" s="1" t="str">
        <x:v>sz399001</x:v>
      </x:c>
      <x:c r="B1961" s="1" t="str">
        <x:v>深证成指</x:v>
      </x:c>
      <x:c r="C1961" s="1" t="str">
        <x:v>2017-02</x:v>
      </x:c>
      <x:c r="D1961" s="1" t="str">
        <x:v>2017-01-26</x:v>
      </x:c>
      <x:c r="E1961" s="5" t="n">
        <x:v>10052.05</x:v>
      </x:c>
      <x:c r="F1961" s="6" t="str">
        <x:v>2017-02-28</x:v>
      </x:c>
      <x:c r="G1961" s="5" t="n">
        <x:v>10391.34</x:v>
      </x:c>
      <x:c r="H1961" s="7" t="n">
        <x:f>G1961/E1961-1</x:f>
        <x:v>0.033753314000626755</x:v>
      </x:c>
      <x:c r="I1961" s="1" t="n">
        <x:v>1</x:v>
      </x:c>
      <x:c r="J1961" s="1" t="n">
        <x:v>1</x:v>
      </x:c>
      <x:c r="K1961" s="1" t="str">
        <x:v>搜狐/腾讯</x:v>
      </x:c>
    </x:row>
    <x:row r="1962" ht="25" customHeight="1">
      <x:c r="A1962" s="1" t="str">
        <x:v>sz399001</x:v>
      </x:c>
      <x:c r="B1962" s="1" t="str">
        <x:v>深证成指</x:v>
      </x:c>
      <x:c r="C1962" s="1" t="str">
        <x:v>2017-03</x:v>
      </x:c>
      <x:c r="D1962" s="1" t="str">
        <x:v>2017-02-28</x:v>
      </x:c>
      <x:c r="E1962" s="5" t="n">
        <x:v>10391.34</x:v>
      </x:c>
      <x:c r="F1962" s="6" t="str">
        <x:v>2017-03-31</x:v>
      </x:c>
      <x:c r="G1962" s="5" t="n">
        <x:v>10427.74</x:v>
      </x:c>
      <x:c r="H1962" s="7" t="n">
        <x:f>G1962/E1962-1</x:f>
        <x:v>0.0035029168519169485</x:v>
      </x:c>
      <x:c r="I1962" s="1" t="n">
        <x:v>1</x:v>
      </x:c>
      <x:c r="J1962" s="1" t="n">
        <x:v>1</x:v>
      </x:c>
      <x:c r="K1962" s="1" t="str">
        <x:v>搜狐/腾讯</x:v>
      </x:c>
    </x:row>
    <x:row r="1963" ht="25" customHeight="1">
      <x:c r="A1963" s="1" t="str">
        <x:v>sz399001</x:v>
      </x:c>
      <x:c r="B1963" s="1" t="str">
        <x:v>深证成指</x:v>
      </x:c>
      <x:c r="C1963" s="1" t="str">
        <x:v>2017-04</x:v>
      </x:c>
      <x:c r="D1963" s="1" t="str">
        <x:v>2017-03-31</x:v>
      </x:c>
      <x:c r="E1963" s="5" t="n">
        <x:v>10427.74</x:v>
      </x:c>
      <x:c r="F1963" s="6" t="str">
        <x:v>2017-04-28</x:v>
      </x:c>
      <x:c r="G1963" s="5" t="n">
        <x:v>10234.65</x:v>
      </x:c>
      <x:c r="H1963" s="7" t="n">
        <x:f>G1963/E1963-1</x:f>
        <x:v>-0.01851695573537504</x:v>
      </x:c>
      <x:c r="I1963" s="1" t="n">
        <x:v>1</x:v>
      </x:c>
      <x:c r="J1963" s="1" t="n">
        <x:v>1</x:v>
      </x:c>
      <x:c r="K1963" s="1" t="str">
        <x:v>搜狐/腾讯</x:v>
      </x:c>
    </x:row>
    <x:row r="1964" ht="25" customHeight="1">
      <x:c r="A1964" s="1" t="str">
        <x:v>sz399001</x:v>
      </x:c>
      <x:c r="B1964" s="1" t="str">
        <x:v>深证成指</x:v>
      </x:c>
      <x:c r="C1964" s="1" t="str">
        <x:v>2017-05</x:v>
      </x:c>
      <x:c r="D1964" s="1" t="str">
        <x:v>2017-04-28</x:v>
      </x:c>
      <x:c r="E1964" s="5" t="n">
        <x:v>10234.65</x:v>
      </x:c>
      <x:c r="F1964" s="6" t="str">
        <x:v>2017-05-31</x:v>
      </x:c>
      <x:c r="G1964" s="5" t="n">
        <x:v>9864.85</x:v>
      </x:c>
      <x:c r="H1964" s="7" t="n">
        <x:f>G1964/E1964-1</x:f>
        <x:v>-0.03613215889160837</x:v>
      </x:c>
      <x:c r="I1964" s="1" t="n">
        <x:v>1</x:v>
      </x:c>
      <x:c r="J1964" s="1" t="n">
        <x:v>1</x:v>
      </x:c>
      <x:c r="K1964" s="1" t="str">
        <x:v>搜狐/腾讯</x:v>
      </x:c>
    </x:row>
    <x:row r="1965" ht="25" customHeight="1">
      <x:c r="A1965" s="1" t="str">
        <x:v>sz399001</x:v>
      </x:c>
      <x:c r="B1965" s="1" t="str">
        <x:v>深证成指</x:v>
      </x:c>
      <x:c r="C1965" s="1" t="str">
        <x:v>2017-06</x:v>
      </x:c>
      <x:c r="D1965" s="1" t="str">
        <x:v>2017-05-31</x:v>
      </x:c>
      <x:c r="E1965" s="5" t="n">
        <x:v>9864.85</x:v>
      </x:c>
      <x:c r="F1965" s="6" t="str">
        <x:v>2017-06-30</x:v>
      </x:c>
      <x:c r="G1965" s="5" t="n">
        <x:v>10529.61</x:v>
      </x:c>
      <x:c r="H1965" s="7" t="n">
        <x:f>G1965/E1965-1</x:f>
        <x:v>0.06738673167863674</x:v>
      </x:c>
      <x:c r="I1965" s="1" t="n">
        <x:v>1</x:v>
      </x:c>
      <x:c r="J1965" s="1" t="n">
        <x:v>1</x:v>
      </x:c>
      <x:c r="K1965" s="1" t="str">
        <x:v>搜狐/腾讯</x:v>
      </x:c>
    </x:row>
    <x:row r="1966" ht="25" customHeight="1">
      <x:c r="A1966" s="1" t="str">
        <x:v>sz399001</x:v>
      </x:c>
      <x:c r="B1966" s="1" t="str">
        <x:v>深证成指</x:v>
      </x:c>
      <x:c r="C1966" s="1" t="str">
        <x:v>2017-07</x:v>
      </x:c>
      <x:c r="D1966" s="1" t="str">
        <x:v>2017-06-30</x:v>
      </x:c>
      <x:c r="E1966" s="5" t="n">
        <x:v>10529.61</x:v>
      </x:c>
      <x:c r="F1966" s="6" t="str">
        <x:v>2017-07-31</x:v>
      </x:c>
      <x:c r="G1966" s="5" t="n">
        <x:v>10505.04</x:v>
      </x:c>
      <x:c r="H1966" s="7" t="n">
        <x:f>G1966/E1966-1</x:f>
        <x:v>-0.0023334197562872028</x:v>
      </x:c>
      <x:c r="I1966" s="1" t="n">
        <x:v>1</x:v>
      </x:c>
      <x:c r="J1966" s="1" t="n">
        <x:v>1</x:v>
      </x:c>
      <x:c r="K1966" s="1" t="str">
        <x:v>搜狐/腾讯</x:v>
      </x:c>
    </x:row>
    <x:row r="1967" ht="25" customHeight="1">
      <x:c r="A1967" s="1" t="str">
        <x:v>sz399001</x:v>
      </x:c>
      <x:c r="B1967" s="1" t="str">
        <x:v>深证成指</x:v>
      </x:c>
      <x:c r="C1967" s="1" t="str">
        <x:v>2017-08</x:v>
      </x:c>
      <x:c r="D1967" s="1" t="str">
        <x:v>2017-07-31</x:v>
      </x:c>
      <x:c r="E1967" s="5" t="n">
        <x:v>10505.04</x:v>
      </x:c>
      <x:c r="F1967" s="6" t="str">
        <x:v>2017-08-31</x:v>
      </x:c>
      <x:c r="G1967" s="5" t="n">
        <x:v>10816.64</x:v>
      </x:c>
      <x:c r="H1967" s="7" t="n">
        <x:f>G1967/E1967-1</x:f>
        <x:v>0.02966195273887573</x:v>
      </x:c>
      <x:c r="I1967" s="1" t="n">
        <x:v>1</x:v>
      </x:c>
      <x:c r="J1967" s="1" t="n">
        <x:v>1</x:v>
      </x:c>
      <x:c r="K1967" s="1" t="str">
        <x:v>搜狐/腾讯</x:v>
      </x:c>
    </x:row>
    <x:row r="1968" ht="25" customHeight="1">
      <x:c r="A1968" s="1" t="str">
        <x:v>sz399001</x:v>
      </x:c>
      <x:c r="B1968" s="1" t="str">
        <x:v>深证成指</x:v>
      </x:c>
      <x:c r="C1968" s="1" t="str">
        <x:v>2017-09</x:v>
      </x:c>
      <x:c r="D1968" s="1" t="str">
        <x:v>2017-08-31</x:v>
      </x:c>
      <x:c r="E1968" s="5" t="n">
        <x:v>10816.64</x:v>
      </x:c>
      <x:c r="F1968" s="6" t="str">
        <x:v>2017-09-29</x:v>
      </x:c>
      <x:c r="G1968" s="5" t="n">
        <x:v>11087.19</x:v>
      </x:c>
      <x:c r="H1968" s="7" t="n">
        <x:f>G1968/E1968-1</x:f>
        <x:v>0.025012388320217793</x:v>
      </x:c>
      <x:c r="I1968" s="1" t="n">
        <x:v>1</x:v>
      </x:c>
      <x:c r="J1968" s="1" t="n">
        <x:v>1</x:v>
      </x:c>
      <x:c r="K1968" s="1" t="str">
        <x:v>搜狐/腾讯</x:v>
      </x:c>
    </x:row>
    <x:row r="1969" ht="25" customHeight="1">
      <x:c r="A1969" s="1" t="str">
        <x:v>sz399001</x:v>
      </x:c>
      <x:c r="B1969" s="1" t="str">
        <x:v>深证成指</x:v>
      </x:c>
      <x:c r="C1969" s="1" t="str">
        <x:v>2017-10</x:v>
      </x:c>
      <x:c r="D1969" s="1" t="str">
        <x:v>2017-09-29</x:v>
      </x:c>
      <x:c r="E1969" s="5" t="n">
        <x:v>11087.19</x:v>
      </x:c>
      <x:c r="F1969" s="6" t="str">
        <x:v>2017-10-31</x:v>
      </x:c>
      <x:c r="G1969" s="5" t="n">
        <x:v>11367.62</x:v>
      </x:c>
      <x:c r="H1969" s="7" t="n">
        <x:f>G1969/E1969-1</x:f>
        <x:v>0.025293153630451037</x:v>
      </x:c>
      <x:c r="I1969" s="1" t="n">
        <x:v>1</x:v>
      </x:c>
      <x:c r="J1969" s="1" t="n">
        <x:v>1</x:v>
      </x:c>
      <x:c r="K1969" s="1" t="str">
        <x:v>搜狐/腾讯</x:v>
      </x:c>
    </x:row>
    <x:row r="1970" ht="25" customHeight="1">
      <x:c r="A1970" s="1" t="str">
        <x:v>sz399001</x:v>
      </x:c>
      <x:c r="B1970" s="1" t="str">
        <x:v>深证成指</x:v>
      </x:c>
      <x:c r="C1970" s="1" t="str">
        <x:v>2017-11</x:v>
      </x:c>
      <x:c r="D1970" s="1" t="str">
        <x:v>2017-10-31</x:v>
      </x:c>
      <x:c r="E1970" s="5" t="n">
        <x:v>11367.62</x:v>
      </x:c>
      <x:c r="F1970" s="6" t="str">
        <x:v>2017-11-30</x:v>
      </x:c>
      <x:c r="G1970" s="5" t="n">
        <x:v>10944.1</x:v>
      </x:c>
      <x:c r="H1970" s="7" t="n">
        <x:f>G1970/E1970-1</x:f>
        <x:v>-0.03725669929149644</x:v>
      </x:c>
      <x:c r="I1970" s="1" t="n">
        <x:v>1</x:v>
      </x:c>
      <x:c r="J1970" s="1" t="n">
        <x:v>1</x:v>
      </x:c>
      <x:c r="K1970" s="1" t="str">
        <x:v>搜狐/腾讯</x:v>
      </x:c>
    </x:row>
    <x:row r="1971" ht="25" customHeight="1">
      <x:c r="A1971" s="1" t="str">
        <x:v>sz399001</x:v>
      </x:c>
      <x:c r="B1971" s="1" t="str">
        <x:v>深证成指</x:v>
      </x:c>
      <x:c r="C1971" s="1" t="str">
        <x:v>2017-12</x:v>
      </x:c>
      <x:c r="D1971" s="1" t="str">
        <x:v>2017-11-30</x:v>
      </x:c>
      <x:c r="E1971" s="5" t="n">
        <x:v>10944.1</x:v>
      </x:c>
      <x:c r="F1971" s="6" t="str">
        <x:v>2017-12-29</x:v>
      </x:c>
      <x:c r="G1971" s="5" t="n">
        <x:v>11040.45</x:v>
      </x:c>
      <x:c r="H1971" s="7" t="n">
        <x:f>G1971/E1971-1</x:f>
        <x:v>0.008803830374356947</x:v>
      </x:c>
      <x:c r="I1971" s="1" t="n">
        <x:v>1</x:v>
      </x:c>
      <x:c r="J1971" s="1" t="n">
        <x:v>1</x:v>
      </x:c>
      <x:c r="K1971" s="1" t="str">
        <x:v>搜狐/腾讯</x:v>
      </x:c>
    </x:row>
    <x:row r="1972" ht="25" customHeight="1">
      <x:c r="A1972" s="1" t="str">
        <x:v>sz399001</x:v>
      </x:c>
      <x:c r="B1972" s="1" t="str">
        <x:v>深证成指</x:v>
      </x:c>
      <x:c r="C1972" s="1" t="str">
        <x:v>2018-01</x:v>
      </x:c>
      <x:c r="D1972" s="1" t="str">
        <x:v>2017-12-29</x:v>
      </x:c>
      <x:c r="E1972" s="5" t="n">
        <x:v>11040.45</x:v>
      </x:c>
      <x:c r="F1972" s="6" t="str">
        <x:v>2018-01-31</x:v>
      </x:c>
      <x:c r="G1972" s="5" t="n">
        <x:v>11159.68</x:v>
      </x:c>
      <x:c r="H1972" s="7" t="n">
        <x:f>G1972/E1972-1</x:f>
        <x:v>0.010799378648515212</x:v>
      </x:c>
      <x:c r="I1972" s="1" t="n">
        <x:v>1</x:v>
      </x:c>
      <x:c r="J1972" s="1" t="n">
        <x:v>1</x:v>
      </x:c>
      <x:c r="K1972" s="1" t="str">
        <x:v>搜狐/腾讯</x:v>
      </x:c>
    </x:row>
    <x:row r="1973" ht="25" customHeight="1">
      <x:c r="A1973" s="1" t="str">
        <x:v>sz399001</x:v>
      </x:c>
      <x:c r="B1973" s="1" t="str">
        <x:v>深证成指</x:v>
      </x:c>
      <x:c r="C1973" s="1" t="str">
        <x:v>2018-02</x:v>
      </x:c>
      <x:c r="D1973" s="1" t="str">
        <x:v>2018-01-31</x:v>
      </x:c>
      <x:c r="E1973" s="5" t="n">
        <x:v>11159.68</x:v>
      </x:c>
      <x:c r="F1973" s="6" t="str">
        <x:v>2018-02-28</x:v>
      </x:c>
      <x:c r="G1973" s="5" t="n">
        <x:v>10828.73</x:v>
      </x:c>
      <x:c r="H1973" s="7" t="n">
        <x:f>G1973/E1973-1</x:f>
        <x:v>-0.029655868268624208</x:v>
      </x:c>
      <x:c r="I1973" s="1" t="n">
        <x:v>1</x:v>
      </x:c>
      <x:c r="J1973" s="1" t="n">
        <x:v>1</x:v>
      </x:c>
      <x:c r="K1973" s="1" t="str">
        <x:v>搜狐/腾讯</x:v>
      </x:c>
    </x:row>
    <x:row r="1974" ht="25" customHeight="1">
      <x:c r="A1974" s="1" t="str">
        <x:v>sz399001</x:v>
      </x:c>
      <x:c r="B1974" s="1" t="str">
        <x:v>深证成指</x:v>
      </x:c>
      <x:c r="C1974" s="1" t="str">
        <x:v>2018-03</x:v>
      </x:c>
      <x:c r="D1974" s="1" t="str">
        <x:v>2018-02-28</x:v>
      </x:c>
      <x:c r="E1974" s="5" t="n">
        <x:v>10828.73</x:v>
      </x:c>
      <x:c r="F1974" s="6" t="str">
        <x:v>2018-03-30</x:v>
      </x:c>
      <x:c r="G1974" s="5" t="n">
        <x:v>10868.66</x:v>
      </x:c>
      <x:c r="H1974" s="7" t="n">
        <x:f>G1974/E1974-1</x:f>
        <x:v>0.0036874130207329436</x:v>
      </x:c>
      <x:c r="I1974" s="1" t="n">
        <x:v>1</x:v>
      </x:c>
      <x:c r="J1974" s="1" t="n">
        <x:v>1</x:v>
      </x:c>
      <x:c r="K1974" s="1" t="str">
        <x:v>搜狐/腾讯</x:v>
      </x:c>
    </x:row>
    <x:row r="1975" ht="25" customHeight="1">
      <x:c r="A1975" s="1" t="str">
        <x:v>sz399001</x:v>
      </x:c>
      <x:c r="B1975" s="1" t="str">
        <x:v>深证成指</x:v>
      </x:c>
      <x:c r="C1975" s="1" t="str">
        <x:v>2018-04</x:v>
      </x:c>
      <x:c r="D1975" s="1" t="str">
        <x:v>2018-03-30</x:v>
      </x:c>
      <x:c r="E1975" s="5" t="n">
        <x:v>10868.66</x:v>
      </x:c>
      <x:c r="F1975" s="6" t="str">
        <x:v>2018-04-27</x:v>
      </x:c>
      <x:c r="G1975" s="5" t="n">
        <x:v>10324.47</x:v>
      </x:c>
      <x:c r="H1975" s="7" t="n">
        <x:f>G1975/E1975-1</x:f>
        <x:v>-0.05006964980043538</x:v>
      </x:c>
      <x:c r="I1975" s="1" t="n">
        <x:v>1</x:v>
      </x:c>
      <x:c r="J1975" s="1" t="n">
        <x:v>1</x:v>
      </x:c>
      <x:c r="K1975" s="1" t="str">
        <x:v>搜狐/腾讯</x:v>
      </x:c>
    </x:row>
    <x:row r="1976" ht="25" customHeight="1">
      <x:c r="A1976" s="1" t="str">
        <x:v>sz399001</x:v>
      </x:c>
      <x:c r="B1976" s="1" t="str">
        <x:v>深证成指</x:v>
      </x:c>
      <x:c r="C1976" s="1" t="str">
        <x:v>2018-05</x:v>
      </x:c>
      <x:c r="D1976" s="1" t="str">
        <x:v>2018-04-27</x:v>
      </x:c>
      <x:c r="E1976" s="5" t="n">
        <x:v>10324.47</x:v>
      </x:c>
      <x:c r="F1976" s="6" t="str">
        <x:v>2018-05-31</x:v>
      </x:c>
      <x:c r="G1976" s="5" t="n">
        <x:v>10295.73</x:v>
      </x:c>
      <x:c r="H1976" s="7" t="n">
        <x:f>G1976/E1976-1</x:f>
        <x:v>-0.002783677999936063</x:v>
      </x:c>
      <x:c r="I1976" s="1" t="n">
        <x:v>1</x:v>
      </x:c>
      <x:c r="J1976" s="1" t="n">
        <x:v>1</x:v>
      </x:c>
      <x:c r="K1976" s="1" t="str">
        <x:v>搜狐/腾讯</x:v>
      </x:c>
    </x:row>
    <x:row r="1977" ht="25" customHeight="1">
      <x:c r="A1977" s="1" t="str">
        <x:v>sz399001</x:v>
      </x:c>
      <x:c r="B1977" s="1" t="str">
        <x:v>深证成指</x:v>
      </x:c>
      <x:c r="C1977" s="1" t="str">
        <x:v>2018-06</x:v>
      </x:c>
      <x:c r="D1977" s="1" t="str">
        <x:v>2018-05-31</x:v>
      </x:c>
      <x:c r="E1977" s="5" t="n">
        <x:v>10295.73</x:v>
      </x:c>
      <x:c r="F1977" s="6" t="str">
        <x:v>2018-06-29</x:v>
      </x:c>
      <x:c r="G1977" s="5" t="n">
        <x:v>9379.48</x:v>
      </x:c>
      <x:c r="H1977" s="7" t="n">
        <x:f>G1977/E1977-1</x:f>
        <x:v>-0.08899320397873678</x:v>
      </x:c>
      <x:c r="I1977" s="1" t="n">
        <x:v>1</x:v>
      </x:c>
      <x:c r="J1977" s="1" t="n">
        <x:v>1</x:v>
      </x:c>
      <x:c r="K1977" s="1" t="str">
        <x:v>搜狐/腾讯</x:v>
      </x:c>
    </x:row>
    <x:row r="1978" ht="25" customHeight="1">
      <x:c r="A1978" s="1" t="str">
        <x:v>sz399001</x:v>
      </x:c>
      <x:c r="B1978" s="1" t="str">
        <x:v>深证成指</x:v>
      </x:c>
      <x:c r="C1978" s="1" t="str">
        <x:v>2018-07</x:v>
      </x:c>
      <x:c r="D1978" s="1" t="str">
        <x:v>2018-06-29</x:v>
      </x:c>
      <x:c r="E1978" s="5" t="n">
        <x:v>9379.48</x:v>
      </x:c>
      <x:c r="F1978" s="6" t="str">
        <x:v>2018-07-31</x:v>
      </x:c>
      <x:c r="G1978" s="5" t="n">
        <x:v>9178.78</x:v>
      </x:c>
      <x:c r="H1978" s="7" t="n">
        <x:f>G1978/E1978-1</x:f>
        <x:v>-0.021397774716721885</x:v>
      </x:c>
      <x:c r="I1978" s="1" t="n">
        <x:v>1</x:v>
      </x:c>
      <x:c r="J1978" s="1" t="n">
        <x:v>1</x:v>
      </x:c>
      <x:c r="K1978" s="1" t="str">
        <x:v>搜狐/腾讯</x:v>
      </x:c>
    </x:row>
    <x:row r="1979" ht="25" customHeight="1">
      <x:c r="A1979" s="1" t="str">
        <x:v>sz399001</x:v>
      </x:c>
      <x:c r="B1979" s="1" t="str">
        <x:v>深证成指</x:v>
      </x:c>
      <x:c r="C1979" s="1" t="str">
        <x:v>2018-08</x:v>
      </x:c>
      <x:c r="D1979" s="1" t="str">
        <x:v>2018-07-31</x:v>
      </x:c>
      <x:c r="E1979" s="5" t="n">
        <x:v>9178.78</x:v>
      </x:c>
      <x:c r="F1979" s="6" t="str">
        <x:v>2018-08-31</x:v>
      </x:c>
      <x:c r="G1979" s="5" t="n">
        <x:v>8465.47</x:v>
      </x:c>
      <x:c r="H1979" s="7" t="n">
        <x:f>G1979/E1979-1</x:f>
        <x:v>-0.07771294224286907</x:v>
      </x:c>
      <x:c r="I1979" s="1" t="n">
        <x:v>1</x:v>
      </x:c>
      <x:c r="J1979" s="1" t="n">
        <x:v>1</x:v>
      </x:c>
      <x:c r="K1979" s="1" t="str">
        <x:v>搜狐/腾讯</x:v>
      </x:c>
    </x:row>
    <x:row r="1980" ht="25" customHeight="1">
      <x:c r="A1980" s="1" t="str">
        <x:v>sz399001</x:v>
      </x:c>
      <x:c r="B1980" s="1" t="str">
        <x:v>深证成指</x:v>
      </x:c>
      <x:c r="C1980" s="1" t="str">
        <x:v>2018-09</x:v>
      </x:c>
      <x:c r="D1980" s="1" t="str">
        <x:v>2018-08-31</x:v>
      </x:c>
      <x:c r="E1980" s="5" t="n">
        <x:v>8465.47</x:v>
      </x:c>
      <x:c r="F1980" s="6" t="str">
        <x:v>2018-09-28</x:v>
      </x:c>
      <x:c r="G1980" s="5" t="n">
        <x:v>8401.09</x:v>
      </x:c>
      <x:c r="H1980" s="7" t="n">
        <x:f>G1980/E1980-1</x:f>
        <x:v>-0.007605011889475599</x:v>
      </x:c>
      <x:c r="I1980" s="1" t="n">
        <x:v>1</x:v>
      </x:c>
      <x:c r="J1980" s="1" t="n">
        <x:v>1</x:v>
      </x:c>
      <x:c r="K1980" s="1" t="str">
        <x:v>搜狐/腾讯</x:v>
      </x:c>
    </x:row>
    <x:row r="1981" ht="25" customHeight="1">
      <x:c r="A1981" s="1" t="str">
        <x:v>sz399001</x:v>
      </x:c>
      <x:c r="B1981" s="1" t="str">
        <x:v>深证成指</x:v>
      </x:c>
      <x:c r="C1981" s="1" t="str">
        <x:v>2018-10</x:v>
      </x:c>
      <x:c r="D1981" s="1" t="str">
        <x:v>2018-09-28</x:v>
      </x:c>
      <x:c r="E1981" s="5" t="n">
        <x:v>8401.09</x:v>
      </x:c>
      <x:c r="F1981" s="6" t="str">
        <x:v>2018-10-31</x:v>
      </x:c>
      <x:c r="G1981" s="5" t="n">
        <x:v>7482.83</x:v>
      </x:c>
      <x:c r="H1981" s="7" t="n">
        <x:f>G1981/E1981-1</x:f>
        <x:v>-0.10930248336822967</x:v>
      </x:c>
      <x:c r="I1981" s="1" t="n">
        <x:v>1</x:v>
      </x:c>
      <x:c r="J1981" s="1" t="n">
        <x:v>1</x:v>
      </x:c>
      <x:c r="K1981" s="1" t="str">
        <x:v>搜狐/腾讯</x:v>
      </x:c>
    </x:row>
    <x:row r="1982" ht="25" customHeight="1">
      <x:c r="A1982" s="1" t="str">
        <x:v>sz399001</x:v>
      </x:c>
      <x:c r="B1982" s="1" t="str">
        <x:v>深证成指</x:v>
      </x:c>
      <x:c r="C1982" s="1" t="str">
        <x:v>2018-11</x:v>
      </x:c>
      <x:c r="D1982" s="1" t="str">
        <x:v>2018-10-31</x:v>
      </x:c>
      <x:c r="E1982" s="5" t="n">
        <x:v>7482.83</x:v>
      </x:c>
      <x:c r="F1982" s="6" t="str">
        <x:v>2018-11-30</x:v>
      </x:c>
      <x:c r="G1982" s="5" t="n">
        <x:v>7681.75</x:v>
      </x:c>
      <x:c r="H1982" s="7" t="n">
        <x:f>G1982/E1982-1</x:f>
        <x:v>0.02658352521706364</x:v>
      </x:c>
      <x:c r="I1982" s="1" t="n">
        <x:v>1</x:v>
      </x:c>
      <x:c r="J1982" s="1" t="n">
        <x:v>1</x:v>
      </x:c>
      <x:c r="K1982" s="1" t="str">
        <x:v>搜狐/腾讯</x:v>
      </x:c>
    </x:row>
    <x:row r="1983" ht="25" customHeight="1">
      <x:c r="A1983" s="1" t="str">
        <x:v>sz399001</x:v>
      </x:c>
      <x:c r="B1983" s="1" t="str">
        <x:v>深证成指</x:v>
      </x:c>
      <x:c r="C1983" s="1" t="str">
        <x:v>2018-12</x:v>
      </x:c>
      <x:c r="D1983" s="1" t="str">
        <x:v>2018-11-30</x:v>
      </x:c>
      <x:c r="E1983" s="5" t="n">
        <x:v>7681.75</x:v>
      </x:c>
      <x:c r="F1983" s="6" t="str">
        <x:v>2018-12-28</x:v>
      </x:c>
      <x:c r="G1983" s="5" t="n">
        <x:v>7239.79</x:v>
      </x:c>
      <x:c r="H1983" s="7" t="n">
        <x:f>G1983/E1983-1</x:f>
        <x:v>-0.05753376509258956</x:v>
      </x:c>
      <x:c r="I1983" s="1" t="n">
        <x:v>1</x:v>
      </x:c>
      <x:c r="J1983" s="1" t="n">
        <x:v>1</x:v>
      </x:c>
      <x:c r="K1983" s="1" t="str">
        <x:v>搜狐/腾讯</x:v>
      </x:c>
    </x:row>
    <x:row r="1984" ht="25" customHeight="1">
      <x:c r="A1984" s="1" t="str">
        <x:v>sz399001</x:v>
      </x:c>
      <x:c r="B1984" s="1" t="str">
        <x:v>深证成指</x:v>
      </x:c>
      <x:c r="C1984" s="1" t="str">
        <x:v>2019-01</x:v>
      </x:c>
      <x:c r="D1984" s="1" t="str">
        <x:v>2018-12-28</x:v>
      </x:c>
      <x:c r="E1984" s="5" t="n">
        <x:v>7239.79</x:v>
      </x:c>
      <x:c r="F1984" s="6" t="str">
        <x:v>2019-01-31</x:v>
      </x:c>
      <x:c r="G1984" s="5" t="n">
        <x:v>7479.22</x:v>
      </x:c>
      <x:c r="H1984" s="7" t="n">
        <x:f>G1984/E1984-1</x:f>
        <x:v>0.033071401242301235</x:v>
      </x:c>
      <x:c r="I1984" s="1" t="n">
        <x:v>1</x:v>
      </x:c>
      <x:c r="J1984" s="1" t="n">
        <x:v>1</x:v>
      </x:c>
      <x:c r="K1984" s="1" t="str">
        <x:v>搜狐/腾讯</x:v>
      </x:c>
    </x:row>
    <x:row r="1985" ht="25" customHeight="1">
      <x:c r="A1985" s="1" t="str">
        <x:v>sz399001</x:v>
      </x:c>
      <x:c r="B1985" s="1" t="str">
        <x:v>深证成指</x:v>
      </x:c>
      <x:c r="C1985" s="1" t="str">
        <x:v>2019-02</x:v>
      </x:c>
      <x:c r="D1985" s="1" t="str">
        <x:v>2019-01-31</x:v>
      </x:c>
      <x:c r="E1985" s="5" t="n">
        <x:v>7479.22</x:v>
      </x:c>
      <x:c r="F1985" s="6" t="str">
        <x:v>2019-02-28</x:v>
      </x:c>
      <x:c r="G1985" s="5" t="n">
        <x:v>9031.93</x:v>
      </x:c>
      <x:c r="H1985" s="7" t="n">
        <x:f>G1985/E1985-1</x:f>
        <x:v>0.20760319926409432</x:v>
      </x:c>
      <x:c r="I1985" s="1" t="n">
        <x:v>1</x:v>
      </x:c>
      <x:c r="J1985" s="1" t="n">
        <x:v>1</x:v>
      </x:c>
      <x:c r="K1985" s="1" t="str">
        <x:v>搜狐/腾讯</x:v>
      </x:c>
    </x:row>
    <x:row r="1986" ht="25" customHeight="1">
      <x:c r="A1986" s="1" t="str">
        <x:v>sz399001</x:v>
      </x:c>
      <x:c r="B1986" s="1" t="str">
        <x:v>深证成指</x:v>
      </x:c>
      <x:c r="C1986" s="1" t="str">
        <x:v>2019-03</x:v>
      </x:c>
      <x:c r="D1986" s="1" t="str">
        <x:v>2019-02-28</x:v>
      </x:c>
      <x:c r="E1986" s="5" t="n">
        <x:v>9031.93</x:v>
      </x:c>
      <x:c r="F1986" s="6" t="str">
        <x:v>2019-03-29</x:v>
      </x:c>
      <x:c r="G1986" s="5" t="n">
        <x:v>9906.86</x:v>
      </x:c>
      <x:c r="H1986" s="7" t="n">
        <x:f>G1986/E1986-1</x:f>
        <x:v>0.09687076848469811</x:v>
      </x:c>
      <x:c r="I1986" s="1" t="n">
        <x:v>1</x:v>
      </x:c>
      <x:c r="J1986" s="1" t="n">
        <x:v>1</x:v>
      </x:c>
      <x:c r="K1986" s="1" t="str">
        <x:v>搜狐/腾讯</x:v>
      </x:c>
    </x:row>
    <x:row r="1987" ht="25" customHeight="1">
      <x:c r="A1987" s="1" t="str">
        <x:v>sz399001</x:v>
      </x:c>
      <x:c r="B1987" s="1" t="str">
        <x:v>深证成指</x:v>
      </x:c>
      <x:c r="C1987" s="1" t="str">
        <x:v>2019-04</x:v>
      </x:c>
      <x:c r="D1987" s="1" t="str">
        <x:v>2019-03-29</x:v>
      </x:c>
      <x:c r="E1987" s="5" t="n">
        <x:v>9906.86</x:v>
      </x:c>
      <x:c r="F1987" s="6" t="str">
        <x:v>2019-04-30</x:v>
      </x:c>
      <x:c r="G1987" s="5" t="n">
        <x:v>9674.54</x:v>
      </x:c>
      <x:c r="H1987" s="7" t="n">
        <x:f>G1987/E1987-1</x:f>
        <x:v>-0.023450417185667316</x:v>
      </x:c>
      <x:c r="I1987" s="1" t="n">
        <x:v>1</x:v>
      </x:c>
      <x:c r="J1987" s="1" t="n">
        <x:v>1</x:v>
      </x:c>
      <x:c r="K1987" s="1" t="str">
        <x:v>搜狐/腾讯</x:v>
      </x:c>
    </x:row>
    <x:row r="1988" ht="25" customHeight="1">
      <x:c r="A1988" s="1" t="str">
        <x:v>sz399001</x:v>
      </x:c>
      <x:c r="B1988" s="1" t="str">
        <x:v>深证成指</x:v>
      </x:c>
      <x:c r="C1988" s="1" t="str">
        <x:v>2019-05</x:v>
      </x:c>
      <x:c r="D1988" s="1" t="str">
        <x:v>2019-04-30</x:v>
      </x:c>
      <x:c r="E1988" s="5" t="n">
        <x:v>9674.54</x:v>
      </x:c>
      <x:c r="F1988" s="6" t="str">
        <x:v>2019-05-31</x:v>
      </x:c>
      <x:c r="G1988" s="5" t="n">
        <x:v>8922.7</x:v>
      </x:c>
      <x:c r="H1988" s="7" t="n">
        <x:f>G1988/E1988-1</x:f>
        <x:v>-0.07771325561732134</x:v>
      </x:c>
      <x:c r="I1988" s="1" t="n">
        <x:v>1</x:v>
      </x:c>
      <x:c r="J1988" s="1" t="n">
        <x:v>1</x:v>
      </x:c>
      <x:c r="K1988" s="1" t="str">
        <x:v>搜狐/腾讯</x:v>
      </x:c>
    </x:row>
    <x:row r="1989" ht="25" customHeight="1">
      <x:c r="A1989" s="1" t="str">
        <x:v>sz399001</x:v>
      </x:c>
      <x:c r="B1989" s="1" t="str">
        <x:v>深证成指</x:v>
      </x:c>
      <x:c r="C1989" s="1" t="str">
        <x:v>2019-06</x:v>
      </x:c>
      <x:c r="D1989" s="1" t="str">
        <x:v>2019-05-31</x:v>
      </x:c>
      <x:c r="E1989" s="5" t="n">
        <x:v>8922.7</x:v>
      </x:c>
      <x:c r="F1989" s="6" t="str">
        <x:v>2019-06-28</x:v>
      </x:c>
      <x:c r="G1989" s="5" t="n">
        <x:v>9178.31</x:v>
      </x:c>
      <x:c r="H1989" s="7" t="n">
        <x:f>G1989/E1989-1</x:f>
        <x:v>0.028647158371344794</x:v>
      </x:c>
      <x:c r="I1989" s="1" t="n">
        <x:v>1</x:v>
      </x:c>
      <x:c r="J1989" s="1" t="n">
        <x:v>1</x:v>
      </x:c>
      <x:c r="K1989" s="1" t="str">
        <x:v>搜狐/腾讯</x:v>
      </x:c>
    </x:row>
    <x:row r="1990" ht="25" customHeight="1">
      <x:c r="A1990" s="1" t="str">
        <x:v>sz399001</x:v>
      </x:c>
      <x:c r="B1990" s="1" t="str">
        <x:v>深证成指</x:v>
      </x:c>
      <x:c r="C1990" s="1" t="str">
        <x:v>2019-07</x:v>
      </x:c>
      <x:c r="D1990" s="1" t="str">
        <x:v>2019-06-28</x:v>
      </x:c>
      <x:c r="E1990" s="5" t="n">
        <x:v>9178.31</x:v>
      </x:c>
      <x:c r="F1990" s="6" t="str">
        <x:v>2019-07-31</x:v>
      </x:c>
      <x:c r="G1990" s="5" t="n">
        <x:v>9326.62</x:v>
      </x:c>
      <x:c r="H1990" s="7" t="n">
        <x:f>G1990/E1990-1</x:f>
        <x:v>0.01615874817913121</x:v>
      </x:c>
      <x:c r="I1990" s="1" t="n">
        <x:v>1</x:v>
      </x:c>
      <x:c r="J1990" s="1" t="n">
        <x:v>1</x:v>
      </x:c>
      <x:c r="K1990" s="1" t="str">
        <x:v>搜狐/腾讯</x:v>
      </x:c>
    </x:row>
    <x:row r="1991" ht="25" customHeight="1">
      <x:c r="A1991" s="1" t="str">
        <x:v>sz399001</x:v>
      </x:c>
      <x:c r="B1991" s="1" t="str">
        <x:v>深证成指</x:v>
      </x:c>
      <x:c r="C1991" s="1" t="str">
        <x:v>2019-08</x:v>
      </x:c>
      <x:c r="D1991" s="1" t="str">
        <x:v>2019-07-31</x:v>
      </x:c>
      <x:c r="E1991" s="5" t="n">
        <x:v>9326.62</x:v>
      </x:c>
      <x:c r="F1991" s="6" t="str">
        <x:v>2019-08-30</x:v>
      </x:c>
      <x:c r="G1991" s="5" t="n">
        <x:v>9365.68</x:v>
      </x:c>
      <x:c r="H1991" s="7" t="n">
        <x:f>G1991/E1991-1</x:f>
        <x:v>0.004188012377474237</x:v>
      </x:c>
      <x:c r="I1991" s="1" t="n">
        <x:v>1</x:v>
      </x:c>
      <x:c r="J1991" s="1" t="n">
        <x:v>1</x:v>
      </x:c>
      <x:c r="K1991" s="1" t="str">
        <x:v>搜狐/腾讯</x:v>
      </x:c>
    </x:row>
    <x:row r="1992" ht="25" customHeight="1">
      <x:c r="A1992" s="1" t="str">
        <x:v>sz399001</x:v>
      </x:c>
      <x:c r="B1992" s="1" t="str">
        <x:v>深证成指</x:v>
      </x:c>
      <x:c r="C1992" s="1" t="str">
        <x:v>2019-09</x:v>
      </x:c>
      <x:c r="D1992" s="1" t="str">
        <x:v>2019-08-30</x:v>
      </x:c>
      <x:c r="E1992" s="5" t="n">
        <x:v>9365.68</x:v>
      </x:c>
      <x:c r="F1992" s="6" t="str">
        <x:v>2019-09-30</x:v>
      </x:c>
      <x:c r="G1992" s="5" t="n">
        <x:v>9446.24</x:v>
      </x:c>
      <x:c r="H1992" s="7" t="n">
        <x:f>G1992/E1992-1</x:f>
        <x:v>0.008601617821663687</x:v>
      </x:c>
      <x:c r="I1992" s="1" t="n">
        <x:v>1</x:v>
      </x:c>
      <x:c r="J1992" s="1" t="n">
        <x:v>1</x:v>
      </x:c>
      <x:c r="K1992" s="1" t="str">
        <x:v>搜狐/腾讯</x:v>
      </x:c>
    </x:row>
    <x:row r="1993" ht="25" customHeight="1">
      <x:c r="A1993" s="1" t="str">
        <x:v>sz399001</x:v>
      </x:c>
      <x:c r="B1993" s="1" t="str">
        <x:v>深证成指</x:v>
      </x:c>
      <x:c r="C1993" s="1" t="str">
        <x:v>2019-10</x:v>
      </x:c>
      <x:c r="D1993" s="1" t="str">
        <x:v>2019-09-30</x:v>
      </x:c>
      <x:c r="E1993" s="5" t="n">
        <x:v>9446.24</x:v>
      </x:c>
      <x:c r="F1993" s="6" t="str">
        <x:v>2019-10-31</x:v>
      </x:c>
      <x:c r="G1993" s="5" t="n">
        <x:v>9635.33</x:v>
      </x:c>
      <x:c r="H1993" s="7" t="n">
        <x:f>G1993/E1993-1</x:f>
        <x:v>0.020017488439844966</x:v>
      </x:c>
      <x:c r="I1993" s="1" t="n">
        <x:v>1</x:v>
      </x:c>
      <x:c r="J1993" s="1" t="n">
        <x:v>1</x:v>
      </x:c>
      <x:c r="K1993" s="1" t="str">
        <x:v>搜狐/腾讯</x:v>
      </x:c>
    </x:row>
    <x:row r="1994" ht="25" customHeight="1">
      <x:c r="A1994" s="1" t="str">
        <x:v>sz399001</x:v>
      </x:c>
      <x:c r="B1994" s="1" t="str">
        <x:v>深证成指</x:v>
      </x:c>
      <x:c r="C1994" s="1" t="str">
        <x:v>2019-11</x:v>
      </x:c>
      <x:c r="D1994" s="1" t="str">
        <x:v>2019-10-31</x:v>
      </x:c>
      <x:c r="E1994" s="5" t="n">
        <x:v>9635.33</x:v>
      </x:c>
      <x:c r="F1994" s="6" t="str">
        <x:v>2019-11-29</x:v>
      </x:c>
      <x:c r="G1994" s="5" t="n">
        <x:v>9582.16</x:v>
      </x:c>
      <x:c r="H1994" s="7" t="n">
        <x:f>G1994/E1994-1</x:f>
        <x:v>-0.00551823341805624</x:v>
      </x:c>
      <x:c r="I1994" s="1" t="n">
        <x:v>1</x:v>
      </x:c>
      <x:c r="J1994" s="1" t="n">
        <x:v>1</x:v>
      </x:c>
      <x:c r="K1994" s="1" t="str">
        <x:v>搜狐/腾讯</x:v>
      </x:c>
    </x:row>
    <x:row r="1995" ht="25" customHeight="1">
      <x:c r="A1995" s="1" t="str">
        <x:v>sz399001</x:v>
      </x:c>
      <x:c r="B1995" s="1" t="str">
        <x:v>深证成指</x:v>
      </x:c>
      <x:c r="C1995" s="1" t="str">
        <x:v>2019-12</x:v>
      </x:c>
      <x:c r="D1995" s="1" t="str">
        <x:v>2019-11-29</x:v>
      </x:c>
      <x:c r="E1995" s="5" t="n">
        <x:v>9582.16</x:v>
      </x:c>
      <x:c r="F1995" s="6" t="str">
        <x:v>2019-12-31</x:v>
      </x:c>
      <x:c r="G1995" s="5" t="n">
        <x:v>10430.77</x:v>
      </x:c>
      <x:c r="H1995" s="7" t="n">
        <x:f>G1995/E1995-1</x:f>
        <x:v>0.08856145169773844</x:v>
      </x:c>
      <x:c r="I1995" s="1" t="n">
        <x:v>1</x:v>
      </x:c>
      <x:c r="J1995" s="1" t="n">
        <x:v>1</x:v>
      </x:c>
      <x:c r="K1995" s="1" t="str">
        <x:v>搜狐/腾讯</x:v>
      </x:c>
    </x:row>
    <x:row r="1996" ht="25" customHeight="1">
      <x:c r="A1996" s="1" t="str">
        <x:v>sz399001</x:v>
      </x:c>
      <x:c r="B1996" s="1" t="str">
        <x:v>深证成指</x:v>
      </x:c>
      <x:c r="C1996" s="1" t="str">
        <x:v>2020-01</x:v>
      </x:c>
      <x:c r="D1996" s="1" t="str">
        <x:v>2019-12-31</x:v>
      </x:c>
      <x:c r="E1996" s="5" t="n">
        <x:v>10430.77</x:v>
      </x:c>
      <x:c r="F1996" s="6" t="str">
        <x:v>2020-01-23</x:v>
      </x:c>
      <x:c r="G1996" s="5" t="n">
        <x:v>10681.9</x:v>
      </x:c>
      <x:c r="H1996" s="7" t="n">
        <x:f>G1996/E1996-1</x:f>
        <x:v>0.02407588318024456</x:v>
      </x:c>
      <x:c r="I1996" s="1" t="n">
        <x:v>1</x:v>
      </x:c>
      <x:c r="J1996" s="1" t="n">
        <x:v>1</x:v>
      </x:c>
      <x:c r="K1996" s="1" t="str">
        <x:v>搜狐/腾讯</x:v>
      </x:c>
    </x:row>
    <x:row r="1997" ht="25" customHeight="1">
      <x:c r="A1997" s="1" t="str">
        <x:v>sz399001</x:v>
      </x:c>
      <x:c r="B1997" s="1" t="str">
        <x:v>深证成指</x:v>
      </x:c>
      <x:c r="C1997" s="1" t="str">
        <x:v>2020-02</x:v>
      </x:c>
      <x:c r="D1997" s="1" t="str">
        <x:v>2020-01-23</x:v>
      </x:c>
      <x:c r="E1997" s="5" t="n">
        <x:v>10681.9</x:v>
      </x:c>
      <x:c r="F1997" s="6" t="str">
        <x:v>2020-02-28</x:v>
      </x:c>
      <x:c r="G1997" s="5" t="n">
        <x:v>10980.78</x:v>
      </x:c>
      <x:c r="H1997" s="7" t="n">
        <x:f>G1997/E1997-1</x:f>
        <x:v>0.027980041003941247</x:v>
      </x:c>
      <x:c r="I1997" s="1" t="n">
        <x:v>1</x:v>
      </x:c>
      <x:c r="J1997" s="1" t="n">
        <x:v>1</x:v>
      </x:c>
      <x:c r="K1997" s="1" t="str">
        <x:v>搜狐/腾讯</x:v>
      </x:c>
    </x:row>
    <x:row r="1998" ht="25" customHeight="1">
      <x:c r="A1998" s="1" t="str">
        <x:v>sz399001</x:v>
      </x:c>
      <x:c r="B1998" s="1" t="str">
        <x:v>深证成指</x:v>
      </x:c>
      <x:c r="C1998" s="1" t="str">
        <x:v>2020-03</x:v>
      </x:c>
      <x:c r="D1998" s="1" t="str">
        <x:v>2020-02-28</x:v>
      </x:c>
      <x:c r="E1998" s="5" t="n">
        <x:v>10980.78</x:v>
      </x:c>
      <x:c r="F1998" s="6" t="str">
        <x:v>2020-03-31</x:v>
      </x:c>
      <x:c r="G1998" s="5" t="n">
        <x:v>9962.31</x:v>
      </x:c>
      <x:c r="H1998" s="7" t="n">
        <x:f>G1998/E1998-1</x:f>
        <x:v>-0.0927502417861027</x:v>
      </x:c>
      <x:c r="I1998" s="1" t="n">
        <x:v>1</x:v>
      </x:c>
      <x:c r="J1998" s="1" t="n">
        <x:v>1</x:v>
      </x:c>
      <x:c r="K1998" s="1" t="str">
        <x:v>搜狐/腾讯</x:v>
      </x:c>
    </x:row>
    <x:row r="1999" ht="25" customHeight="1">
      <x:c r="A1999" s="1" t="str">
        <x:v>sz399001</x:v>
      </x:c>
      <x:c r="B1999" s="1" t="str">
        <x:v>深证成指</x:v>
      </x:c>
      <x:c r="C1999" s="1" t="str">
        <x:v>2020-04</x:v>
      </x:c>
      <x:c r="D1999" s="1" t="str">
        <x:v>2020-03-31</x:v>
      </x:c>
      <x:c r="E1999" s="5" t="n">
        <x:v>9962.31</x:v>
      </x:c>
      <x:c r="F1999" s="6" t="str">
        <x:v>2020-04-30</x:v>
      </x:c>
      <x:c r="G1999" s="5" t="n">
        <x:v>10721.78</x:v>
      </x:c>
      <x:c r="H1999" s="7" t="n">
        <x:f>G1999/E1999-1</x:f>
        <x:v>0.07623432717913836</x:v>
      </x:c>
      <x:c r="I1999" s="1" t="n">
        <x:v>1</x:v>
      </x:c>
      <x:c r="J1999" s="1" t="n">
        <x:v>1</x:v>
      </x:c>
      <x:c r="K1999" s="1" t="str">
        <x:v>搜狐/腾讯</x:v>
      </x:c>
    </x:row>
    <x:row r="2000" ht="25" customHeight="1">
      <x:c r="A2000" s="1" t="str">
        <x:v>sz399001</x:v>
      </x:c>
      <x:c r="B2000" s="1" t="str">
        <x:v>深证成指</x:v>
      </x:c>
      <x:c r="C2000" s="1" t="str">
        <x:v>2020-05</x:v>
      </x:c>
      <x:c r="D2000" s="1" t="str">
        <x:v>2020-04-30</x:v>
      </x:c>
      <x:c r="E2000" s="5" t="n">
        <x:v>10721.78</x:v>
      </x:c>
      <x:c r="F2000" s="6" t="str">
        <x:v>2020-05-29</x:v>
      </x:c>
      <x:c r="G2000" s="5" t="n">
        <x:v>10746.08</x:v>
      </x:c>
      <x:c r="H2000" s="7" t="n">
        <x:f>G2000/E2000-1</x:f>
        <x:v>0.0022664147184514594</x:v>
      </x:c>
      <x:c r="I2000" s="1" t="n">
        <x:v>1</x:v>
      </x:c>
      <x:c r="J2000" s="1" t="n">
        <x:v>1</x:v>
      </x:c>
      <x:c r="K2000" s="1" t="str">
        <x:v>搜狐/腾讯</x:v>
      </x:c>
    </x:row>
    <x:row r="2001" ht="25" customHeight="1">
      <x:c r="A2001" s="1" t="str">
        <x:v>sz399001</x:v>
      </x:c>
      <x:c r="B2001" s="1" t="str">
        <x:v>深证成指</x:v>
      </x:c>
      <x:c r="C2001" s="1" t="str">
        <x:v>2020-06</x:v>
      </x:c>
      <x:c r="D2001" s="1" t="str">
        <x:v>2020-05-29</x:v>
      </x:c>
      <x:c r="E2001" s="5" t="n">
        <x:v>10746.08</x:v>
      </x:c>
      <x:c r="F2001" s="6" t="str">
        <x:v>2020-06-30</x:v>
      </x:c>
      <x:c r="G2001" s="5" t="n">
        <x:v>11992.35</x:v>
      </x:c>
      <x:c r="H2001" s="7" t="n">
        <x:f>G2001/E2001-1</x:f>
        <x:v>0.11597438321694975</x:v>
      </x:c>
      <x:c r="I2001" s="1" t="n">
        <x:v>1</x:v>
      </x:c>
      <x:c r="J2001" s="1" t="n">
        <x:v>1</x:v>
      </x:c>
      <x:c r="K2001" s="1" t="str">
        <x:v>搜狐/腾讯</x:v>
      </x:c>
    </x:row>
    <x:row r="2002" ht="25" customHeight="1">
      <x:c r="A2002" s="1" t="str">
        <x:v>sz399001</x:v>
      </x:c>
      <x:c r="B2002" s="1" t="str">
        <x:v>深证成指</x:v>
      </x:c>
      <x:c r="C2002" s="1" t="str">
        <x:v>2020-07</x:v>
      </x:c>
      <x:c r="D2002" s="1" t="str">
        <x:v>2020-06-30</x:v>
      </x:c>
      <x:c r="E2002" s="5" t="n">
        <x:v>11992.35</x:v>
      </x:c>
      <x:c r="F2002" s="6" t="str">
        <x:v>2020-07-31</x:v>
      </x:c>
      <x:c r="G2002" s="5" t="n">
        <x:v>13637.88</x:v>
      </x:c>
      <x:c r="H2002" s="7" t="n">
        <x:f>G2002/E2002-1</x:f>
        <x:v>0.13721497454627318</x:v>
      </x:c>
      <x:c r="I2002" s="1" t="n">
        <x:v>1</x:v>
      </x:c>
      <x:c r="J2002" s="1" t="n">
        <x:v>1</x:v>
      </x:c>
      <x:c r="K2002" s="1" t="str">
        <x:v>搜狐/腾讯</x:v>
      </x:c>
    </x:row>
    <x:row r="2003" ht="25" customHeight="1">
      <x:c r="A2003" s="1" t="str">
        <x:v>sz399001</x:v>
      </x:c>
      <x:c r="B2003" s="1" t="str">
        <x:v>深证成指</x:v>
      </x:c>
      <x:c r="C2003" s="1" t="str">
        <x:v>2020-08</x:v>
      </x:c>
      <x:c r="D2003" s="1" t="str">
        <x:v>2020-07-31</x:v>
      </x:c>
      <x:c r="E2003" s="5" t="n">
        <x:v>13637.88</x:v>
      </x:c>
      <x:c r="F2003" s="6" t="str">
        <x:v>2020-08-31</x:v>
      </x:c>
      <x:c r="G2003" s="5" t="n">
        <x:v>13758.23</x:v>
      </x:c>
      <x:c r="H2003" s="7" t="n">
        <x:f>G2003/E2003-1</x:f>
        <x:v>0.008824685361654483</x:v>
      </x:c>
      <x:c r="I2003" s="1" t="n">
        <x:v>1</x:v>
      </x:c>
      <x:c r="J2003" s="1" t="n">
        <x:v>1</x:v>
      </x:c>
      <x:c r="K2003" s="1" t="str">
        <x:v>搜狐/腾讯</x:v>
      </x:c>
    </x:row>
    <x:row r="2004" ht="25" customHeight="1">
      <x:c r="A2004" s="1" t="str">
        <x:v>sz399001</x:v>
      </x:c>
      <x:c r="B2004" s="1" t="str">
        <x:v>深证成指</x:v>
      </x:c>
      <x:c r="C2004" s="1" t="str">
        <x:v>2020-09</x:v>
      </x:c>
      <x:c r="D2004" s="1" t="str">
        <x:v>2020-08-31</x:v>
      </x:c>
      <x:c r="E2004" s="5" t="n">
        <x:v>13758.23</x:v>
      </x:c>
      <x:c r="F2004" s="6" t="str">
        <x:v>2020-09-30</x:v>
      </x:c>
      <x:c r="G2004" s="5" t="n">
        <x:v>12907.45</x:v>
      </x:c>
      <x:c r="H2004" s="7" t="n">
        <x:f>G2004/E2004-1</x:f>
        <x:v>-0.06183789629916048</x:v>
      </x:c>
      <x:c r="I2004" s="1" t="n">
        <x:v>1</x:v>
      </x:c>
      <x:c r="J2004" s="1" t="n">
        <x:v>1</x:v>
      </x:c>
      <x:c r="K2004" s="1" t="str">
        <x:v>搜狐/腾讯</x:v>
      </x:c>
    </x:row>
    <x:row r="2005" ht="25" customHeight="1">
      <x:c r="A2005" s="1" t="str">
        <x:v>sz399001</x:v>
      </x:c>
      <x:c r="B2005" s="1" t="str">
        <x:v>深证成指</x:v>
      </x:c>
      <x:c r="C2005" s="1" t="str">
        <x:v>2020-10</x:v>
      </x:c>
      <x:c r="D2005" s="1" t="str">
        <x:v>2020-09-30</x:v>
      </x:c>
      <x:c r="E2005" s="5" t="n">
        <x:v>12907.45</x:v>
      </x:c>
      <x:c r="F2005" s="6" t="str">
        <x:v>2020-10-30</x:v>
      </x:c>
      <x:c r="G2005" s="5" t="n">
        <x:v>13236.6</x:v>
      </x:c>
      <x:c r="H2005" s="7" t="n">
        <x:f>G2005/E2005-1</x:f>
        <x:v>0.02550077668323336</x:v>
      </x:c>
      <x:c r="I2005" s="1" t="n">
        <x:v>1</x:v>
      </x:c>
      <x:c r="J2005" s="1" t="n">
        <x:v>1</x:v>
      </x:c>
      <x:c r="K2005" s="1" t="str">
        <x:v>搜狐/腾讯</x:v>
      </x:c>
    </x:row>
    <x:row r="2006" ht="25" customHeight="1">
      <x:c r="A2006" s="1" t="str">
        <x:v>sz399001</x:v>
      </x:c>
      <x:c r="B2006" s="1" t="str">
        <x:v>深证成指</x:v>
      </x:c>
      <x:c r="C2006" s="1" t="str">
        <x:v>2020-11</x:v>
      </x:c>
      <x:c r="D2006" s="1" t="str">
        <x:v>2020-10-30</x:v>
      </x:c>
      <x:c r="E2006" s="5" t="n">
        <x:v>13236.6</x:v>
      </x:c>
      <x:c r="F2006" s="6" t="str">
        <x:v>2020-11-30</x:v>
      </x:c>
      <x:c r="G2006" s="5" t="n">
        <x:v>13670.11</x:v>
      </x:c>
      <x:c r="H2006" s="7" t="n">
        <x:f>G2006/E2006-1</x:f>
        <x:v>0.032750857470951855</x:v>
      </x:c>
      <x:c r="I2006" s="1" t="n">
        <x:v>1</x:v>
      </x:c>
      <x:c r="J2006" s="1" t="n">
        <x:v>1</x:v>
      </x:c>
      <x:c r="K2006" s="1" t="str">
        <x:v>搜狐/腾讯</x:v>
      </x:c>
    </x:row>
    <x:row r="2007" ht="25" customHeight="1">
      <x:c r="A2007" s="1" t="str">
        <x:v>sz399001</x:v>
      </x:c>
      <x:c r="B2007" s="1" t="str">
        <x:v>深证成指</x:v>
      </x:c>
      <x:c r="C2007" s="1" t="str">
        <x:v>2020-12</x:v>
      </x:c>
      <x:c r="D2007" s="1" t="str">
        <x:v>2020-11-30</x:v>
      </x:c>
      <x:c r="E2007" s="5" t="n">
        <x:v>13670.11</x:v>
      </x:c>
      <x:c r="F2007" s="6" t="str">
        <x:v>2020-12-31</x:v>
      </x:c>
      <x:c r="G2007" s="5" t="n">
        <x:v>14470.68</x:v>
      </x:c>
      <x:c r="H2007" s="7" t="n">
        <x:f>G2007/E2007-1</x:f>
        <x:v>0.05856353752822763</x:v>
      </x:c>
      <x:c r="I2007" s="1" t="n">
        <x:v>1</x:v>
      </x:c>
      <x:c r="J2007" s="1" t="n">
        <x:v>1</x:v>
      </x:c>
      <x:c r="K2007" s="1" t="str">
        <x:v>搜狐/腾讯</x:v>
      </x:c>
    </x:row>
    <x:row r="2008" ht="25" customHeight="1">
      <x:c r="A2008" s="1" t="str">
        <x:v>sz399001</x:v>
      </x:c>
      <x:c r="B2008" s="1" t="str">
        <x:v>深证成指</x:v>
      </x:c>
      <x:c r="C2008" s="1" t="str">
        <x:v>2021-01</x:v>
      </x:c>
      <x:c r="D2008" s="1" t="str">
        <x:v>2020-12-31</x:v>
      </x:c>
      <x:c r="E2008" s="5" t="n">
        <x:v>14470.68</x:v>
      </x:c>
      <x:c r="F2008" s="6" t="str">
        <x:v>2021-01-29</x:v>
      </x:c>
      <x:c r="G2008" s="5" t="n">
        <x:v>14822</x:v>
      </x:c>
      <x:c r="H2008" s="7" t="n">
        <x:f>G2008/E2008-1</x:f>
        <x:v>0.024278057423700927</x:v>
      </x:c>
      <x:c r="I2008" s="1" t="n">
        <x:v>1</x:v>
      </x:c>
      <x:c r="J2008" s="1" t="n">
        <x:v>1</x:v>
      </x:c>
      <x:c r="K2008" s="1" t="str">
        <x:v>搜狐/腾讯</x:v>
      </x:c>
    </x:row>
    <x:row r="2009" ht="25" customHeight="1">
      <x:c r="A2009" s="1" t="str">
        <x:v>sz399001</x:v>
      </x:c>
      <x:c r="B2009" s="1" t="str">
        <x:v>深证成指</x:v>
      </x:c>
      <x:c r="C2009" s="1" t="str">
        <x:v>2021-02</x:v>
      </x:c>
      <x:c r="D2009" s="1" t="str">
        <x:v>2021-01-29</x:v>
      </x:c>
      <x:c r="E2009" s="5" t="n">
        <x:v>14822</x:v>
      </x:c>
      <x:c r="F2009" s="6" t="str">
        <x:v>2021-02-26</x:v>
      </x:c>
      <x:c r="G2009" s="5" t="n">
        <x:v>14507.45</x:v>
      </x:c>
      <x:c r="H2009" s="7" t="n">
        <x:f>G2009/E2009-1</x:f>
        <x:v>-0.021221832411280506</x:v>
      </x:c>
      <x:c r="I2009" s="1" t="n">
        <x:v>1</x:v>
      </x:c>
      <x:c r="J2009" s="1" t="n">
        <x:v>1</x:v>
      </x:c>
      <x:c r="K2009" s="1" t="str">
        <x:v>搜狐/腾讯</x:v>
      </x:c>
    </x:row>
    <x:row r="2010" ht="25" customHeight="1">
      <x:c r="A2010" s="1" t="str">
        <x:v>sz399001</x:v>
      </x:c>
      <x:c r="B2010" s="1" t="str">
        <x:v>深证成指</x:v>
      </x:c>
      <x:c r="C2010" s="1" t="str">
        <x:v>2021-03</x:v>
      </x:c>
      <x:c r="D2010" s="1" t="str">
        <x:v>2021-02-26</x:v>
      </x:c>
      <x:c r="E2010" s="5" t="n">
        <x:v>14507.45</x:v>
      </x:c>
      <x:c r="F2010" s="6" t="str">
        <x:v>2021-03-31</x:v>
      </x:c>
      <x:c r="G2010" s="5" t="n">
        <x:v>13778.67</x:v>
      </x:c>
      <x:c r="H2010" s="7" t="n">
        <x:f>G2010/E2010-1</x:f>
        <x:v>-0.05023487932062498</x:v>
      </x:c>
      <x:c r="I2010" s="1" t="n">
        <x:v>1</x:v>
      </x:c>
      <x:c r="J2010" s="1" t="n">
        <x:v>1</x:v>
      </x:c>
      <x:c r="K2010" s="1" t="str">
        <x:v>搜狐/腾讯</x:v>
      </x:c>
    </x:row>
    <x:row r="2011" ht="25" customHeight="1">
      <x:c r="A2011" s="1" t="str">
        <x:v>sz399001</x:v>
      </x:c>
      <x:c r="B2011" s="1" t="str">
        <x:v>深证成指</x:v>
      </x:c>
      <x:c r="C2011" s="1" t="str">
        <x:v>2021-04</x:v>
      </x:c>
      <x:c r="D2011" s="1" t="str">
        <x:v>2021-03-31</x:v>
      </x:c>
      <x:c r="E2011" s="5" t="n">
        <x:v>13778.67</x:v>
      </x:c>
      <x:c r="F2011" s="6" t="str">
        <x:v>2021-04-30</x:v>
      </x:c>
      <x:c r="G2011" s="5" t="n">
        <x:v>14438.57</x:v>
      </x:c>
      <x:c r="H2011" s="7" t="n">
        <x:f>G2011/E2011-1</x:f>
        <x:v>0.04789286629261014</x:v>
      </x:c>
      <x:c r="I2011" s="1" t="n">
        <x:v>1</x:v>
      </x:c>
      <x:c r="J2011" s="1" t="n">
        <x:v>1</x:v>
      </x:c>
      <x:c r="K2011" s="1" t="str">
        <x:v>搜狐/腾讯</x:v>
      </x:c>
    </x:row>
    <x:row r="2012" ht="25" customHeight="1">
      <x:c r="A2012" s="1" t="str">
        <x:v>sz399001</x:v>
      </x:c>
      <x:c r="B2012" s="1" t="str">
        <x:v>深证成指</x:v>
      </x:c>
      <x:c r="C2012" s="1" t="str">
        <x:v>2021-05</x:v>
      </x:c>
      <x:c r="D2012" s="1" t="str">
        <x:v>2021-04-30</x:v>
      </x:c>
      <x:c r="E2012" s="5" t="n">
        <x:v>14438.57</x:v>
      </x:c>
      <x:c r="F2012" s="6" t="str">
        <x:v>2021-05-31</x:v>
      </x:c>
      <x:c r="G2012" s="5" t="n">
        <x:v>14996.38</x:v>
      </x:c>
      <x:c r="H2012" s="7" t="n">
        <x:f>G2012/E2012-1</x:f>
        <x:v>0.038633327261633266</x:v>
      </x:c>
      <x:c r="I2012" s="1" t="n">
        <x:v>1</x:v>
      </x:c>
      <x:c r="J2012" s="1" t="n">
        <x:v>1</x:v>
      </x:c>
      <x:c r="K2012" s="1" t="str">
        <x:v>搜狐/腾讯</x:v>
      </x:c>
    </x:row>
    <x:row r="2013" ht="25" customHeight="1">
      <x:c r="A2013" s="1" t="str">
        <x:v>sz399001</x:v>
      </x:c>
      <x:c r="B2013" s="1" t="str">
        <x:v>深证成指</x:v>
      </x:c>
      <x:c r="C2013" s="1" t="str">
        <x:v>2021-06</x:v>
      </x:c>
      <x:c r="D2013" s="1" t="str">
        <x:v>2021-05-31</x:v>
      </x:c>
      <x:c r="E2013" s="5" t="n">
        <x:v>14996.38</x:v>
      </x:c>
      <x:c r="F2013" s="6" t="str">
        <x:v>2021-06-30</x:v>
      </x:c>
      <x:c r="G2013" s="5" t="n">
        <x:v>15161.7</x:v>
      </x:c>
      <x:c r="H2013" s="7" t="n">
        <x:f>G2013/E2013-1</x:f>
        <x:v>0.011023993790501452</x:v>
      </x:c>
      <x:c r="I2013" s="1" t="n">
        <x:v>1</x:v>
      </x:c>
      <x:c r="J2013" s="1" t="n">
        <x:v>1</x:v>
      </x:c>
      <x:c r="K2013" s="1" t="str">
        <x:v>搜狐/腾讯</x:v>
      </x:c>
    </x:row>
    <x:row r="2014" ht="25" customHeight="1">
      <x:c r="A2014" s="1" t="str">
        <x:v>sz399001</x:v>
      </x:c>
      <x:c r="B2014" s="1" t="str">
        <x:v>深证成指</x:v>
      </x:c>
      <x:c r="C2014" s="1" t="str">
        <x:v>2021-07</x:v>
      </x:c>
      <x:c r="D2014" s="1" t="str">
        <x:v>2021-06-30</x:v>
      </x:c>
      <x:c r="E2014" s="5" t="n">
        <x:v>15161.7</x:v>
      </x:c>
      <x:c r="F2014" s="6" t="str">
        <x:v>2021-07-30</x:v>
      </x:c>
      <x:c r="G2014" s="5" t="n">
        <x:v>14473.21</x:v>
      </x:c>
      <x:c r="H2014" s="7" t="n">
        <x:f>G2014/E2014-1</x:f>
        <x:v>-0.04540981552200618</x:v>
      </x:c>
      <x:c r="I2014" s="1" t="n">
        <x:v>1</x:v>
      </x:c>
      <x:c r="J2014" s="1" t="n">
        <x:v>1</x:v>
      </x:c>
      <x:c r="K2014" s="1" t="str">
        <x:v>搜狐/腾讯</x:v>
      </x:c>
    </x:row>
    <x:row r="2015" ht="25" customHeight="1">
      <x:c r="A2015" s="1" t="str">
        <x:v>sz399001</x:v>
      </x:c>
      <x:c r="B2015" s="1" t="str">
        <x:v>深证成指</x:v>
      </x:c>
      <x:c r="C2015" s="1" t="str">
        <x:v>2021-08</x:v>
      </x:c>
      <x:c r="D2015" s="1" t="str">
        <x:v>2021-07-30</x:v>
      </x:c>
      <x:c r="E2015" s="5" t="n">
        <x:v>14473.21</x:v>
      </x:c>
      <x:c r="F2015" s="6" t="str">
        <x:v>2021-08-31</x:v>
      </x:c>
      <x:c r="G2015" s="5" t="n">
        <x:v>14328.38</x:v>
      </x:c>
      <x:c r="H2015" s="7" t="n">
        <x:f>G2015/E2015-1</x:f>
        <x:v>-0.010006764221620501</x:v>
      </x:c>
      <x:c r="I2015" s="1" t="n">
        <x:v>1</x:v>
      </x:c>
      <x:c r="J2015" s="1" t="n">
        <x:v>1</x:v>
      </x:c>
      <x:c r="K2015" s="1" t="str">
        <x:v>搜狐/腾讯</x:v>
      </x:c>
    </x:row>
    <x:row r="2016" ht="25" customHeight="1">
      <x:c r="A2016" s="1" t="str">
        <x:v>sz399001</x:v>
      </x:c>
      <x:c r="B2016" s="1" t="str">
        <x:v>深证成指</x:v>
      </x:c>
      <x:c r="C2016" s="1" t="str">
        <x:v>2021-09</x:v>
      </x:c>
      <x:c r="D2016" s="1" t="str">
        <x:v>2021-08-31</x:v>
      </x:c>
      <x:c r="E2016" s="5" t="n">
        <x:v>14328.38</x:v>
      </x:c>
      <x:c r="F2016" s="6" t="str">
        <x:v>2021-09-30</x:v>
      </x:c>
      <x:c r="G2016" s="5" t="n">
        <x:v>14309.01</x:v>
      </x:c>
      <x:c r="H2016" s="7" t="n">
        <x:f>G2016/E2016-1</x:f>
        <x:v>-0.0013518625273756246</x:v>
      </x:c>
      <x:c r="I2016" s="1" t="n">
        <x:v>1</x:v>
      </x:c>
      <x:c r="J2016" s="1" t="n">
        <x:v>1</x:v>
      </x:c>
      <x:c r="K2016" s="1" t="str">
        <x:v>搜狐/腾讯</x:v>
      </x:c>
    </x:row>
    <x:row r="2017" ht="25" customHeight="1">
      <x:c r="A2017" s="1" t="str">
        <x:v>sz399001</x:v>
      </x:c>
      <x:c r="B2017" s="1" t="str">
        <x:v>深证成指</x:v>
      </x:c>
      <x:c r="C2017" s="1" t="str">
        <x:v>2021-10</x:v>
      </x:c>
      <x:c r="D2017" s="1" t="str">
        <x:v>2021-09-30</x:v>
      </x:c>
      <x:c r="E2017" s="5" t="n">
        <x:v>14309.01</x:v>
      </x:c>
      <x:c r="F2017" s="6" t="str">
        <x:v>2021-10-29</x:v>
      </x:c>
      <x:c r="G2017" s="5" t="n">
        <x:v>14451.38</x:v>
      </x:c>
      <x:c r="H2017" s="7" t="n">
        <x:f>G2017/E2017-1</x:f>
        <x:v>0.009949675064871544</x:v>
      </x:c>
      <x:c r="I2017" s="1" t="n">
        <x:v>1</x:v>
      </x:c>
      <x:c r="J2017" s="1" t="n">
        <x:v>1</x:v>
      </x:c>
      <x:c r="K2017" s="1" t="str">
        <x:v>搜狐/腾讯</x:v>
      </x:c>
    </x:row>
    <x:row r="2018" ht="25" customHeight="1">
      <x:c r="A2018" s="1" t="str">
        <x:v>sz399001</x:v>
      </x:c>
      <x:c r="B2018" s="1" t="str">
        <x:v>深证成指</x:v>
      </x:c>
      <x:c r="C2018" s="1" t="str">
        <x:v>2021-11</x:v>
      </x:c>
      <x:c r="D2018" s="1" t="str">
        <x:v>2021-10-29</x:v>
      </x:c>
      <x:c r="E2018" s="5" t="n">
        <x:v>14451.38</x:v>
      </x:c>
      <x:c r="F2018" s="6" t="str">
        <x:v>2021-11-30</x:v>
      </x:c>
      <x:c r="G2018" s="5" t="n">
        <x:v>14795.73</x:v>
      </x:c>
      <x:c r="H2018" s="7" t="n">
        <x:f>G2018/E2018-1</x:f>
        <x:v>0.023828174195128726</x:v>
      </x:c>
      <x:c r="I2018" s="1" t="n">
        <x:v>1</x:v>
      </x:c>
      <x:c r="J2018" s="1" t="n">
        <x:v>1</x:v>
      </x:c>
      <x:c r="K2018" s="1" t="str">
        <x:v>搜狐/腾讯</x:v>
      </x:c>
    </x:row>
    <x:row r="2019" ht="25" customHeight="1">
      <x:c r="A2019" s="1" t="str">
        <x:v>sz399001</x:v>
      </x:c>
      <x:c r="B2019" s="1" t="str">
        <x:v>深证成指</x:v>
      </x:c>
      <x:c r="C2019" s="1" t="str">
        <x:v>2021-12</x:v>
      </x:c>
      <x:c r="D2019" s="1" t="str">
        <x:v>2021-11-30</x:v>
      </x:c>
      <x:c r="E2019" s="5" t="n">
        <x:v>14795.73</x:v>
      </x:c>
      <x:c r="F2019" s="6" t="str">
        <x:v>2021-12-31</x:v>
      </x:c>
      <x:c r="G2019" s="5" t="n">
        <x:v>14857.35</x:v>
      </x:c>
      <x:c r="H2019" s="7" t="n">
        <x:f>G2019/E2019-1</x:f>
        <x:v>0.004164715090096971</x:v>
      </x:c>
      <x:c r="I2019" s="1" t="n">
        <x:v>1</x:v>
      </x:c>
      <x:c r="J2019" s="1" t="n">
        <x:v>1</x:v>
      </x:c>
      <x:c r="K2019" s="1" t="str">
        <x:v>搜狐/腾讯</x:v>
      </x:c>
    </x:row>
    <x:row r="2020" ht="25" customHeight="1">
      <x:c r="A2020" s="1" t="str">
        <x:v>sz399001</x:v>
      </x:c>
      <x:c r="B2020" s="1" t="str">
        <x:v>深证成指</x:v>
      </x:c>
      <x:c r="C2020" s="1" t="str">
        <x:v>2022-01</x:v>
      </x:c>
      <x:c r="D2020" s="1" t="str">
        <x:v>2021-12-31</x:v>
      </x:c>
      <x:c r="E2020" s="5" t="n">
        <x:v>14857.35</x:v>
      </x:c>
      <x:c r="F2020" s="6" t="str">
        <x:v>2022-01-28</x:v>
      </x:c>
      <x:c r="G2020" s="5" t="n">
        <x:v>13328.06</x:v>
      </x:c>
      <x:c r="H2020" s="7" t="n">
        <x:f>G2020/E2020-1</x:f>
        <x:v>-0.10293154566594986</x:v>
      </x:c>
      <x:c r="I2020" s="1" t="n">
        <x:v>1</x:v>
      </x:c>
      <x:c r="J2020" s="1" t="n">
        <x:v>1</x:v>
      </x:c>
      <x:c r="K2020" s="1" t="str">
        <x:v>搜狐/腾讯</x:v>
      </x:c>
    </x:row>
    <x:row r="2021" ht="25" customHeight="1">
      <x:c r="A2021" s="1" t="str">
        <x:v>sz399001</x:v>
      </x:c>
      <x:c r="B2021" s="1" t="str">
        <x:v>深证成指</x:v>
      </x:c>
      <x:c r="C2021" s="1" t="str">
        <x:v>2022-02</x:v>
      </x:c>
      <x:c r="D2021" s="1" t="str">
        <x:v>2022-01-28</x:v>
      </x:c>
      <x:c r="E2021" s="5" t="n">
        <x:v>13328.06</x:v>
      </x:c>
      <x:c r="F2021" s="6" t="str">
        <x:v>2022-02-28</x:v>
      </x:c>
      <x:c r="G2021" s="5" t="n">
        <x:v>13455.73</x:v>
      </x:c>
      <x:c r="H2021" s="7" t="n">
        <x:f>G2021/E2021-1</x:f>
        <x:v>0.00957903850973052</x:v>
      </x:c>
      <x:c r="I2021" s="1" t="n">
        <x:v>1</x:v>
      </x:c>
      <x:c r="J2021" s="1" t="n">
        <x:v>1</x:v>
      </x:c>
      <x:c r="K2021" s="1" t="str">
        <x:v>搜狐/腾讯</x:v>
      </x:c>
    </x:row>
    <x:row r="2022" ht="25" customHeight="1">
      <x:c r="A2022" s="1" t="str">
        <x:v>sz399001</x:v>
      </x:c>
      <x:c r="B2022" s="1" t="str">
        <x:v>深证成指</x:v>
      </x:c>
      <x:c r="C2022" s="1" t="str">
        <x:v>2022-03</x:v>
      </x:c>
      <x:c r="D2022" s="1" t="str">
        <x:v>2022-02-28</x:v>
      </x:c>
      <x:c r="E2022" s="5" t="n">
        <x:v>13455.73</x:v>
      </x:c>
      <x:c r="F2022" s="6" t="str">
        <x:v>2022-03-31</x:v>
      </x:c>
      <x:c r="G2022" s="5" t="n">
        <x:v>12118.25</x:v>
      </x:c>
      <x:c r="H2022" s="7" t="n">
        <x:f>G2022/E2022-1</x:f>
        <x:v>-0.09939854619556132</x:v>
      </x:c>
      <x:c r="I2022" s="1" t="n">
        <x:v>1</x:v>
      </x:c>
      <x:c r="J2022" s="1" t="n">
        <x:v>1</x:v>
      </x:c>
      <x:c r="K2022" s="1" t="str">
        <x:v>搜狐/腾讯</x:v>
      </x:c>
    </x:row>
    <x:row r="2023" ht="25" customHeight="1">
      <x:c r="A2023" s="1" t="str">
        <x:v>sz399001</x:v>
      </x:c>
      <x:c r="B2023" s="1" t="str">
        <x:v>深证成指</x:v>
      </x:c>
      <x:c r="C2023" s="1" t="str">
        <x:v>2022-04</x:v>
      </x:c>
      <x:c r="D2023" s="1" t="str">
        <x:v>2022-03-31</x:v>
      </x:c>
      <x:c r="E2023" s="5" t="n">
        <x:v>12118.25</x:v>
      </x:c>
      <x:c r="F2023" s="6" t="str">
        <x:v>2022-04-29</x:v>
      </x:c>
      <x:c r="G2023" s="5" t="n">
        <x:v>11021.44</x:v>
      </x:c>
      <x:c r="H2023" s="7" t="n">
        <x:f>G2023/E2023-1</x:f>
        <x:v>-0.09050894312297564</x:v>
      </x:c>
      <x:c r="I2023" s="1" t="n">
        <x:v>1</x:v>
      </x:c>
      <x:c r="J2023" s="1" t="n">
        <x:v>1</x:v>
      </x:c>
      <x:c r="K2023" s="1" t="str">
        <x:v>搜狐/腾讯</x:v>
      </x:c>
    </x:row>
    <x:row r="2024" ht="25" customHeight="1">
      <x:c r="A2024" s="1" t="str">
        <x:v>sz399001</x:v>
      </x:c>
      <x:c r="B2024" s="1" t="str">
        <x:v>深证成指</x:v>
      </x:c>
      <x:c r="C2024" s="1" t="str">
        <x:v>2022-05</x:v>
      </x:c>
      <x:c r="D2024" s="1" t="str">
        <x:v>2022-04-29</x:v>
      </x:c>
      <x:c r="E2024" s="5" t="n">
        <x:v>11021.44</x:v>
      </x:c>
      <x:c r="F2024" s="6" t="str">
        <x:v>2022-05-31</x:v>
      </x:c>
      <x:c r="G2024" s="5" t="n">
        <x:v>11527.62</x:v>
      </x:c>
      <x:c r="H2024" s="7" t="n">
        <x:f>G2024/E2024-1</x:f>
        <x:v>0.04592684803437663</x:v>
      </x:c>
      <x:c r="I2024" s="1" t="n">
        <x:v>1</x:v>
      </x:c>
      <x:c r="J2024" s="1" t="n">
        <x:v>1</x:v>
      </x:c>
      <x:c r="K2024" s="1" t="str">
        <x:v>搜狐/腾讯</x:v>
      </x:c>
    </x:row>
    <x:row r="2025" ht="25" customHeight="1">
      <x:c r="A2025" s="1" t="str">
        <x:v>sz399001</x:v>
      </x:c>
      <x:c r="B2025" s="1" t="str">
        <x:v>深证成指</x:v>
      </x:c>
      <x:c r="C2025" s="1" t="str">
        <x:v>2022-06</x:v>
      </x:c>
      <x:c r="D2025" s="1" t="str">
        <x:v>2022-05-31</x:v>
      </x:c>
      <x:c r="E2025" s="5" t="n">
        <x:v>11527.62</x:v>
      </x:c>
      <x:c r="F2025" s="6" t="str">
        <x:v>2022-06-30</x:v>
      </x:c>
      <x:c r="G2025" s="5" t="n">
        <x:v>12896.2</x:v>
      </x:c>
      <x:c r="H2025" s="7" t="n">
        <x:f>G2025/E2025-1</x:f>
        <x:v>0.11872181768656498</x:v>
      </x:c>
      <x:c r="I2025" s="1" t="n">
        <x:v>1</x:v>
      </x:c>
      <x:c r="J2025" s="1" t="n">
        <x:v>1</x:v>
      </x:c>
      <x:c r="K2025" s="1" t="str">
        <x:v>搜狐/腾讯</x:v>
      </x:c>
    </x:row>
    <x:row r="2026" ht="25" customHeight="1">
      <x:c r="A2026" s="1" t="str">
        <x:v>sz399001</x:v>
      </x:c>
      <x:c r="B2026" s="1" t="str">
        <x:v>深证成指</x:v>
      </x:c>
      <x:c r="C2026" s="1" t="str">
        <x:v>2022-07</x:v>
      </x:c>
      <x:c r="D2026" s="1" t="str">
        <x:v>2022-06-30</x:v>
      </x:c>
      <x:c r="E2026" s="5" t="n">
        <x:v>12896.2</x:v>
      </x:c>
      <x:c r="F2026" s="6" t="str">
        <x:v>2022-07-29</x:v>
      </x:c>
      <x:c r="G2026" s="5" t="n">
        <x:v>12266.92</x:v>
      </x:c>
      <x:c r="H2026" s="7" t="n">
        <x:f>G2026/E2026-1</x:f>
        <x:v>-0.04879576929638196</x:v>
      </x:c>
      <x:c r="I2026" s="1" t="n">
        <x:v>1</x:v>
      </x:c>
      <x:c r="J2026" s="1" t="n">
        <x:v>1</x:v>
      </x:c>
      <x:c r="K2026" s="1" t="str">
        <x:v>搜狐/腾讯</x:v>
      </x:c>
    </x:row>
    <x:row r="2027" ht="25" customHeight="1">
      <x:c r="A2027" s="1" t="str">
        <x:v>sz399001</x:v>
      </x:c>
      <x:c r="B2027" s="1" t="str">
        <x:v>深证成指</x:v>
      </x:c>
      <x:c r="C2027" s="1" t="str">
        <x:v>2022-08</x:v>
      </x:c>
      <x:c r="D2027" s="1" t="str">
        <x:v>2022-07-29</x:v>
      </x:c>
      <x:c r="E2027" s="5" t="n">
        <x:v>12266.92</x:v>
      </x:c>
      <x:c r="F2027" s="6" t="str">
        <x:v>2022-08-31</x:v>
      </x:c>
      <x:c r="G2027" s="5" t="n">
        <x:v>11815.79</x:v>
      </x:c>
      <x:c r="H2027" s="7" t="n">
        <x:f>G2027/E2027-1</x:f>
        <x:v>-0.03677614266661877</x:v>
      </x:c>
      <x:c r="I2027" s="1" t="n">
        <x:v>1</x:v>
      </x:c>
      <x:c r="J2027" s="1" t="n">
        <x:v>1</x:v>
      </x:c>
      <x:c r="K2027" s="1" t="str">
        <x:v>搜狐/腾讯</x:v>
      </x:c>
    </x:row>
    <x:row r="2028" ht="25" customHeight="1">
      <x:c r="A2028" s="1" t="str">
        <x:v>sz399001</x:v>
      </x:c>
      <x:c r="B2028" s="1" t="str">
        <x:v>深证成指</x:v>
      </x:c>
      <x:c r="C2028" s="1" t="str">
        <x:v>2022-09</x:v>
      </x:c>
      <x:c r="D2028" s="1" t="str">
        <x:v>2022-08-31</x:v>
      </x:c>
      <x:c r="E2028" s="5" t="n">
        <x:v>11815.79</x:v>
      </x:c>
      <x:c r="F2028" s="6" t="str">
        <x:v>2022-09-30</x:v>
      </x:c>
      <x:c r="G2028" s="5" t="n">
        <x:v>10778.62</x:v>
      </x:c>
      <x:c r="H2028" s="7" t="n">
        <x:f>G2028/E2028-1</x:f>
        <x:v>-0.08777830343971926</x:v>
      </x:c>
      <x:c r="I2028" s="1" t="n">
        <x:v>1</x:v>
      </x:c>
      <x:c r="J2028" s="1" t="n">
        <x:v>1</x:v>
      </x:c>
      <x:c r="K2028" s="1" t="str">
        <x:v>搜狐/腾讯</x:v>
      </x:c>
    </x:row>
    <x:row r="2029" ht="25" customHeight="1">
      <x:c r="A2029" s="1" t="str">
        <x:v>sz399001</x:v>
      </x:c>
      <x:c r="B2029" s="1" t="str">
        <x:v>深证成指</x:v>
      </x:c>
      <x:c r="C2029" s="1" t="str">
        <x:v>2022-10</x:v>
      </x:c>
      <x:c r="D2029" s="1" t="str">
        <x:v>2022-09-30</x:v>
      </x:c>
      <x:c r="E2029" s="5" t="n">
        <x:v>10778.62</x:v>
      </x:c>
      <x:c r="F2029" s="6" t="str">
        <x:v>2022-10-31</x:v>
      </x:c>
      <x:c r="G2029" s="5" t="n">
        <x:v>10397.04</x:v>
      </x:c>
      <x:c r="H2029" s="7" t="n">
        <x:f>G2029/E2029-1</x:f>
        <x:v>-0.03540156346545287</x:v>
      </x:c>
      <x:c r="I2029" s="1" t="n">
        <x:v>1</x:v>
      </x:c>
      <x:c r="J2029" s="1" t="n">
        <x:v>1</x:v>
      </x:c>
      <x:c r="K2029" s="1" t="str">
        <x:v>搜狐/腾讯</x:v>
      </x:c>
    </x:row>
    <x:row r="2030" ht="25" customHeight="1">
      <x:c r="A2030" s="1" t="str">
        <x:v>sz399001</x:v>
      </x:c>
      <x:c r="B2030" s="1" t="str">
        <x:v>深证成指</x:v>
      </x:c>
      <x:c r="C2030" s="1" t="str">
        <x:v>2022-11</x:v>
      </x:c>
      <x:c r="D2030" s="1" t="str">
        <x:v>2022-10-31</x:v>
      </x:c>
      <x:c r="E2030" s="5" t="n">
        <x:v>10397.04</x:v>
      </x:c>
      <x:c r="F2030" s="6" t="str">
        <x:v>2022-11-30</x:v>
      </x:c>
      <x:c r="G2030" s="5" t="n">
        <x:v>11108.5</x:v>
      </x:c>
      <x:c r="H2030" s="7" t="n">
        <x:f>G2030/E2030-1</x:f>
        <x:v>0.06842909135677067</x:v>
      </x:c>
      <x:c r="I2030" s="1" t="n">
        <x:v>1</x:v>
      </x:c>
      <x:c r="J2030" s="1" t="n">
        <x:v>1</x:v>
      </x:c>
      <x:c r="K2030" s="1" t="str">
        <x:v>搜狐/腾讯</x:v>
      </x:c>
    </x:row>
    <x:row r="2031" ht="25" customHeight="1">
      <x:c r="A2031" s="1" t="str">
        <x:v>sz399001</x:v>
      </x:c>
      <x:c r="B2031" s="1" t="str">
        <x:v>深证成指</x:v>
      </x:c>
      <x:c r="C2031" s="1" t="str">
        <x:v>2022-12</x:v>
      </x:c>
      <x:c r="D2031" s="1" t="str">
        <x:v>2022-11-30</x:v>
      </x:c>
      <x:c r="E2031" s="5" t="n">
        <x:v>11108.5</x:v>
      </x:c>
      <x:c r="F2031" s="6" t="str">
        <x:v>2022-12-30</x:v>
      </x:c>
      <x:c r="G2031" s="5" t="n">
        <x:v>11015.99</x:v>
      </x:c>
      <x:c r="H2031" s="7" t="n">
        <x:f>G2031/E2031-1</x:f>
        <x:v>-0.008327857046405929</x:v>
      </x:c>
      <x:c r="I2031" s="1" t="n">
        <x:v>1</x:v>
      </x:c>
      <x:c r="J2031" s="1" t="n">
        <x:v>1</x:v>
      </x:c>
      <x:c r="K2031" s="1" t="str">
        <x:v>搜狐/腾讯</x:v>
      </x:c>
    </x:row>
    <x:row r="2032" ht="25" customHeight="1">
      <x:c r="A2032" s="1" t="str">
        <x:v>sz399001</x:v>
      </x:c>
      <x:c r="B2032" s="1" t="str">
        <x:v>深证成指</x:v>
      </x:c>
      <x:c r="C2032" s="1" t="str">
        <x:v>2023-01</x:v>
      </x:c>
      <x:c r="D2032" s="1" t="str">
        <x:v>2022-12-30</x:v>
      </x:c>
      <x:c r="E2032" s="5" t="n">
        <x:v>11015.99</x:v>
      </x:c>
      <x:c r="F2032" s="6" t="str">
        <x:v>2023-01-31</x:v>
      </x:c>
      <x:c r="G2032" s="5" t="n">
        <x:v>12001.27</x:v>
      </x:c>
      <x:c r="H2032" s="7" t="n">
        <x:f>G2032/E2032-1</x:f>
        <x:v>0.08944089455418891</x:v>
      </x:c>
      <x:c r="I2032" s="1" t="n">
        <x:v>1</x:v>
      </x:c>
      <x:c r="J2032" s="1" t="n">
        <x:v>1</x:v>
      </x:c>
      <x:c r="K2032" s="1" t="str">
        <x:v>搜狐/腾讯</x:v>
      </x:c>
    </x:row>
    <x:row r="2033" ht="25" customHeight="1">
      <x:c r="A2033" s="1" t="str">
        <x:v>sz399001</x:v>
      </x:c>
      <x:c r="B2033" s="1" t="str">
        <x:v>深证成指</x:v>
      </x:c>
      <x:c r="C2033" s="1" t="str">
        <x:v>2023-02</x:v>
      </x:c>
      <x:c r="D2033" s="1" t="str">
        <x:v>2023-01-31</x:v>
      </x:c>
      <x:c r="E2033" s="5" t="n">
        <x:v>12001.27</x:v>
      </x:c>
      <x:c r="F2033" s="6" t="str">
        <x:v>2023-02-28</x:v>
      </x:c>
      <x:c r="G2033" s="5" t="n">
        <x:v>11783.8</x:v>
      </x:c>
      <x:c r="H2033" s="7" t="n">
        <x:f>G2033/E2033-1</x:f>
        <x:v>-0.018120582238379868</x:v>
      </x:c>
      <x:c r="I2033" s="1" t="n">
        <x:v>1</x:v>
      </x:c>
      <x:c r="J2033" s="1" t="n">
        <x:v>1</x:v>
      </x:c>
      <x:c r="K2033" s="1" t="str">
        <x:v>搜狐/腾讯</x:v>
      </x:c>
    </x:row>
    <x:row r="2034" ht="25" customHeight="1">
      <x:c r="A2034" s="1" t="str">
        <x:v>sz399001</x:v>
      </x:c>
      <x:c r="B2034" s="1" t="str">
        <x:v>深证成指</x:v>
      </x:c>
      <x:c r="C2034" s="1" t="str">
        <x:v>2023-03</x:v>
      </x:c>
      <x:c r="D2034" s="1" t="str">
        <x:v>2023-02-28</x:v>
      </x:c>
      <x:c r="E2034" s="5" t="n">
        <x:v>11783.8</x:v>
      </x:c>
      <x:c r="F2034" s="6" t="str">
        <x:v>2023-03-31</x:v>
      </x:c>
      <x:c r="G2034" s="5" t="n">
        <x:v>11726.4</x:v>
      </x:c>
      <x:c r="H2034" s="7" t="n">
        <x:f>G2034/E2034-1</x:f>
        <x:v>-0.004871094214090488</x:v>
      </x:c>
      <x:c r="I2034" s="1" t="n">
        <x:v>1</x:v>
      </x:c>
      <x:c r="J2034" s="1" t="n">
        <x:v>1</x:v>
      </x:c>
      <x:c r="K2034" s="1" t="str">
        <x:v>搜狐/腾讯</x:v>
      </x:c>
    </x:row>
    <x:row r="2035" ht="25" customHeight="1">
      <x:c r="A2035" s="1" t="str">
        <x:v>sz399001</x:v>
      </x:c>
      <x:c r="B2035" s="1" t="str">
        <x:v>深证成指</x:v>
      </x:c>
      <x:c r="C2035" s="1" t="str">
        <x:v>2023-04</x:v>
      </x:c>
      <x:c r="D2035" s="1" t="str">
        <x:v>2023-03-31</x:v>
      </x:c>
      <x:c r="E2035" s="5" t="n">
        <x:v>11726.4</x:v>
      </x:c>
      <x:c r="F2035" s="6" t="str">
        <x:v>2023-04-28</x:v>
      </x:c>
      <x:c r="G2035" s="5" t="n">
        <x:v>11338.67</x:v>
      </x:c>
      <x:c r="H2035" s="7" t="n">
        <x:f>G2035/E2035-1</x:f>
        <x:v>-0.03306470869149947</x:v>
      </x:c>
      <x:c r="I2035" s="1" t="n">
        <x:v>1</x:v>
      </x:c>
      <x:c r="J2035" s="1" t="n">
        <x:v>1</x:v>
      </x:c>
      <x:c r="K2035" s="1" t="str">
        <x:v>搜狐/腾讯</x:v>
      </x:c>
    </x:row>
    <x:row r="2036" ht="25" customHeight="1">
      <x:c r="A2036" s="1" t="str">
        <x:v>sz399001</x:v>
      </x:c>
      <x:c r="B2036" s="1" t="str">
        <x:v>深证成指</x:v>
      </x:c>
      <x:c r="C2036" s="1" t="str">
        <x:v>2023-05</x:v>
      </x:c>
      <x:c r="D2036" s="1" t="str">
        <x:v>2023-04-28</x:v>
      </x:c>
      <x:c r="E2036" s="5" t="n">
        <x:v>11338.67</x:v>
      </x:c>
      <x:c r="F2036" s="6" t="str">
        <x:v>2023-05-31</x:v>
      </x:c>
      <x:c r="G2036" s="5" t="n">
        <x:v>10793.85</x:v>
      </x:c>
      <x:c r="H2036" s="7" t="n">
        <x:f>G2036/E2036-1</x:f>
        <x:v>-0.048049727172587264</x:v>
      </x:c>
      <x:c r="I2036" s="1" t="n">
        <x:v>1</x:v>
      </x:c>
      <x:c r="J2036" s="1" t="n">
        <x:v>1</x:v>
      </x:c>
      <x:c r="K2036" s="1" t="str">
        <x:v>搜狐/腾讯</x:v>
      </x:c>
    </x:row>
    <x:row r="2037" ht="25" customHeight="1">
      <x:c r="A2037" s="1" t="str">
        <x:v>sz399001</x:v>
      </x:c>
      <x:c r="B2037" s="1" t="str">
        <x:v>深证成指</x:v>
      </x:c>
      <x:c r="C2037" s="1" t="str">
        <x:v>2023-06</x:v>
      </x:c>
      <x:c r="D2037" s="1" t="str">
        <x:v>2023-05-31</x:v>
      </x:c>
      <x:c r="E2037" s="5" t="n">
        <x:v>10793.85</x:v>
      </x:c>
      <x:c r="F2037" s="6" t="str">
        <x:v>2023-06-30</x:v>
      </x:c>
      <x:c r="G2037" s="5" t="n">
        <x:v>11026.59</x:v>
      </x:c>
      <x:c r="H2037" s="7" t="n">
        <x:f>G2037/E2037-1</x:f>
        <x:v>0.021562278519712486</x:v>
      </x:c>
      <x:c r="I2037" s="1" t="n">
        <x:v>1</x:v>
      </x:c>
      <x:c r="J2037" s="1" t="n">
        <x:v>1</x:v>
      </x:c>
      <x:c r="K2037" s="1" t="str">
        <x:v>搜狐/腾讯</x:v>
      </x:c>
    </x:row>
    <x:row r="2038" ht="25" customHeight="1">
      <x:c r="A2038" s="1" t="str">
        <x:v>sz399001</x:v>
      </x:c>
      <x:c r="B2038" s="1" t="str">
        <x:v>深证成指</x:v>
      </x:c>
      <x:c r="C2038" s="1" t="str">
        <x:v>2023-07</x:v>
      </x:c>
      <x:c r="D2038" s="1" t="str">
        <x:v>2023-06-30</x:v>
      </x:c>
      <x:c r="E2038" s="5" t="n">
        <x:v>11026.59</x:v>
      </x:c>
      <x:c r="F2038" s="6" t="str">
        <x:v>2023-07-31</x:v>
      </x:c>
      <x:c r="G2038" s="5" t="n">
        <x:v>11183.91</x:v>
      </x:c>
      <x:c r="H2038" s="7" t="n">
        <x:f>G2038/E2038-1</x:f>
        <x:v>0.014267330153746594</x:v>
      </x:c>
      <x:c r="I2038" s="1" t="n">
        <x:v>1</x:v>
      </x:c>
      <x:c r="J2038" s="1" t="n">
        <x:v>1</x:v>
      </x:c>
      <x:c r="K2038" s="1" t="str">
        <x:v>搜狐/腾讯</x:v>
      </x:c>
    </x:row>
    <x:row r="2039" ht="25" customHeight="1">
      <x:c r="A2039" s="1" t="str">
        <x:v>sz399001</x:v>
      </x:c>
      <x:c r="B2039" s="1" t="str">
        <x:v>深证成指</x:v>
      </x:c>
      <x:c r="C2039" s="1" t="str">
        <x:v>2023-08</x:v>
      </x:c>
      <x:c r="D2039" s="1" t="str">
        <x:v>2023-07-31</x:v>
      </x:c>
      <x:c r="E2039" s="5" t="n">
        <x:v>11183.91</x:v>
      </x:c>
      <x:c r="F2039" s="6" t="str">
        <x:v>2023-08-31</x:v>
      </x:c>
      <x:c r="G2039" s="5" t="n">
        <x:v>10418.21</x:v>
      </x:c>
      <x:c r="H2039" s="7" t="n">
        <x:f>G2039/E2039-1</x:f>
        <x:v>-0.0684644279147455</x:v>
      </x:c>
      <x:c r="I2039" s="1" t="n">
        <x:v>1</x:v>
      </x:c>
      <x:c r="J2039" s="1" t="n">
        <x:v>1</x:v>
      </x:c>
      <x:c r="K2039" s="1" t="str">
        <x:v>搜狐/腾讯</x:v>
      </x:c>
    </x:row>
    <x:row r="2040" ht="25" customHeight="1">
      <x:c r="A2040" s="1" t="str">
        <x:v>sz399001</x:v>
      </x:c>
      <x:c r="B2040" s="1" t="str">
        <x:v>深证成指</x:v>
      </x:c>
      <x:c r="C2040" s="1" t="str">
        <x:v>2023-09</x:v>
      </x:c>
      <x:c r="D2040" s="1" t="str">
        <x:v>2023-08-31</x:v>
      </x:c>
      <x:c r="E2040" s="5" t="n">
        <x:v>10418.21</x:v>
      </x:c>
      <x:c r="F2040" s="6" t="str">
        <x:v>2023-09-28</x:v>
      </x:c>
      <x:c r="G2040" s="5" t="n">
        <x:v>10109.53</x:v>
      </x:c>
      <x:c r="H2040" s="7" t="n">
        <x:f>G2040/E2040-1</x:f>
        <x:v>-0.02962889018363024</x:v>
      </x:c>
      <x:c r="I2040" s="1" t="n">
        <x:v>1</x:v>
      </x:c>
      <x:c r="J2040" s="1" t="n">
        <x:v>1</x:v>
      </x:c>
      <x:c r="K2040" s="1" t="str">
        <x:v>搜狐/腾讯</x:v>
      </x:c>
    </x:row>
    <x:row r="2041" ht="25" customHeight="1">
      <x:c r="A2041" s="1" t="str">
        <x:v>sz399001</x:v>
      </x:c>
      <x:c r="B2041" s="1" t="str">
        <x:v>深证成指</x:v>
      </x:c>
      <x:c r="C2041" s="1" t="str">
        <x:v>2023-10</x:v>
      </x:c>
      <x:c r="D2041" s="1" t="str">
        <x:v>2023-09-28</x:v>
      </x:c>
      <x:c r="E2041" s="5" t="n">
        <x:v>10109.53</x:v>
      </x:c>
      <x:c r="F2041" s="6" t="str">
        <x:v>2023-10-31</x:v>
      </x:c>
      <x:c r="G2041" s="5" t="n">
        <x:v>9863.8</x:v>
      </x:c>
      <x:c r="H2041" s="7" t="n">
        <x:f>G2041/E2041-1</x:f>
        <x:v>-0.024306767970420085</x:v>
      </x:c>
      <x:c r="I2041" s="1" t="n">
        <x:v>1</x:v>
      </x:c>
      <x:c r="J2041" s="1" t="n">
        <x:v>1</x:v>
      </x:c>
      <x:c r="K2041" s="1" t="str">
        <x:v>搜狐/腾讯</x:v>
      </x:c>
    </x:row>
    <x:row r="2042" ht="25" customHeight="1">
      <x:c r="A2042" s="1" t="str">
        <x:v>sz399001</x:v>
      </x:c>
      <x:c r="B2042" s="1" t="str">
        <x:v>深证成指</x:v>
      </x:c>
      <x:c r="C2042" s="1" t="str">
        <x:v>2023-11</x:v>
      </x:c>
      <x:c r="D2042" s="1" t="str">
        <x:v>2023-10-31</x:v>
      </x:c>
      <x:c r="E2042" s="5" t="n">
        <x:v>9863.8</x:v>
      </x:c>
      <x:c r="F2042" s="6" t="str">
        <x:v>2023-11-30</x:v>
      </x:c>
      <x:c r="G2042" s="5" t="n">
        <x:v>9726.92</x:v>
      </x:c>
      <x:c r="H2042" s="7" t="n">
        <x:f>G2042/E2042-1</x:f>
        <x:v>-0.013877004805450177</x:v>
      </x:c>
      <x:c r="I2042" s="1" t="n">
        <x:v>1</x:v>
      </x:c>
      <x:c r="J2042" s="1" t="n">
        <x:v>1</x:v>
      </x:c>
      <x:c r="K2042" s="1" t="str">
        <x:v>搜狐/腾讯</x:v>
      </x:c>
    </x:row>
    <x:row r="2043" ht="25" customHeight="1">
      <x:c r="A2043" s="1" t="str">
        <x:v>sz399001</x:v>
      </x:c>
      <x:c r="B2043" s="1" t="str">
        <x:v>深证成指</x:v>
      </x:c>
      <x:c r="C2043" s="1" t="str">
        <x:v>2023-12</x:v>
      </x:c>
      <x:c r="D2043" s="1" t="str">
        <x:v>2023-11-30</x:v>
      </x:c>
      <x:c r="E2043" s="5" t="n">
        <x:v>9726.92</x:v>
      </x:c>
      <x:c r="F2043" s="6" t="str">
        <x:v>2023-12-29</x:v>
      </x:c>
      <x:c r="G2043" s="5" t="n">
        <x:v>9524.69</x:v>
      </x:c>
      <x:c r="H2043" s="7" t="n">
        <x:f>G2043/E2043-1</x:f>
        <x:v>-0.02079075390771179</x:v>
      </x:c>
      <x:c r="I2043" s="1" t="n">
        <x:v>1</x:v>
      </x:c>
      <x:c r="J2043" s="1" t="n">
        <x:v>1</x:v>
      </x:c>
      <x:c r="K2043" s="1" t="str">
        <x:v>搜狐/腾讯</x:v>
      </x:c>
    </x:row>
    <x:row r="2044" ht="25" customHeight="1">
      <x:c r="A2044" s="1" t="str">
        <x:v>sz399001</x:v>
      </x:c>
      <x:c r="B2044" s="1" t="str">
        <x:v>深证成指</x:v>
      </x:c>
      <x:c r="C2044" s="1" t="str">
        <x:v>2024-01</x:v>
      </x:c>
      <x:c r="D2044" s="1" t="str">
        <x:v>2023-12-29</x:v>
      </x:c>
      <x:c r="E2044" s="5" t="n">
        <x:v>9524.69</x:v>
      </x:c>
      <x:c r="F2044" s="6" t="str">
        <x:v>2024-01-31</x:v>
      </x:c>
      <x:c r="G2044" s="5" t="n">
        <x:v>8212.85</x:v>
      </x:c>
      <x:c r="H2044" s="7" t="n">
        <x:f>G2044/E2044-1</x:f>
        <x:v>-0.13773046681834267</x:v>
      </x:c>
      <x:c r="I2044" s="1" t="n">
        <x:v>1</x:v>
      </x:c>
      <x:c r="J2044" s="1" t="n">
        <x:v>1</x:v>
      </x:c>
      <x:c r="K2044" s="1" t="str">
        <x:v>搜狐/腾讯</x:v>
      </x:c>
    </x:row>
    <x:row r="2045" ht="25" customHeight="1">
      <x:c r="A2045" s="1" t="str">
        <x:v>sz399001</x:v>
      </x:c>
      <x:c r="B2045" s="1" t="str">
        <x:v>深证成指</x:v>
      </x:c>
      <x:c r="C2045" s="1" t="str">
        <x:v>2024-02</x:v>
      </x:c>
      <x:c r="D2045" s="1" t="str">
        <x:v>2024-01-31</x:v>
      </x:c>
      <x:c r="E2045" s="5" t="n">
        <x:v>8212.85</x:v>
      </x:c>
      <x:c r="F2045" s="6" t="str">
        <x:v>2024-02-29</x:v>
      </x:c>
      <x:c r="G2045" s="5" t="n">
        <x:v>9330.44</x:v>
      </x:c>
      <x:c r="H2045" s="7" t="n">
        <x:f>G2045/E2045-1</x:f>
        <x:v>0.13607821888869265</x:v>
      </x:c>
      <x:c r="I2045" s="1" t="n">
        <x:v>1</x:v>
      </x:c>
      <x:c r="J2045" s="1" t="n">
        <x:v>1</x:v>
      </x:c>
      <x:c r="K2045" s="1" t="str">
        <x:v>搜狐/腾讯</x:v>
      </x:c>
    </x:row>
    <x:row r="2046" ht="25" customHeight="1">
      <x:c r="A2046" s="1" t="str">
        <x:v>sz399001</x:v>
      </x:c>
      <x:c r="B2046" s="1" t="str">
        <x:v>深证成指</x:v>
      </x:c>
      <x:c r="C2046" s="1" t="str">
        <x:v>2024-03</x:v>
      </x:c>
      <x:c r="D2046" s="1" t="str">
        <x:v>2024-02-29</x:v>
      </x:c>
      <x:c r="E2046" s="5" t="n">
        <x:v>9330.44</x:v>
      </x:c>
      <x:c r="F2046" s="6" t="str">
        <x:v>2024-03-29</x:v>
      </x:c>
      <x:c r="G2046" s="5" t="n">
        <x:v>9400.85</x:v>
      </x:c>
      <x:c r="H2046" s="7" t="n">
        <x:f>G2046/E2046-1</x:f>
        <x:v>0.0075462679144819855</x:v>
      </x:c>
      <x:c r="I2046" s="1" t="n">
        <x:v>1</x:v>
      </x:c>
      <x:c r="J2046" s="1" t="n">
        <x:v>1</x:v>
      </x:c>
      <x:c r="K2046" s="1" t="str">
        <x:v>搜狐/腾讯</x:v>
      </x:c>
    </x:row>
    <x:row r="2047" ht="25" customHeight="1">
      <x:c r="A2047" s="1" t="str">
        <x:v>sz399001</x:v>
      </x:c>
      <x:c r="B2047" s="1" t="str">
        <x:v>深证成指</x:v>
      </x:c>
      <x:c r="C2047" s="1" t="str">
        <x:v>2024-04</x:v>
      </x:c>
      <x:c r="D2047" s="1" t="str">
        <x:v>2024-03-29</x:v>
      </x:c>
      <x:c r="E2047" s="5" t="n">
        <x:v>9400.85</x:v>
      </x:c>
      <x:c r="F2047" s="6" t="str">
        <x:v>2024-04-30</x:v>
      </x:c>
      <x:c r="G2047" s="5" t="n">
        <x:v>9587.13</x:v>
      </x:c>
      <x:c r="H2047" s="7" t="n">
        <x:f>G2047/E2047-1</x:f>
        <x:v>0.01981522947393044</x:v>
      </x:c>
      <x:c r="I2047" s="1" t="n">
        <x:v>1</x:v>
      </x:c>
      <x:c r="J2047" s="1" t="n">
        <x:v>1</x:v>
      </x:c>
      <x:c r="K2047" s="1" t="str">
        <x:v>搜狐/腾讯</x:v>
      </x:c>
    </x:row>
    <x:row r="2048" ht="25" customHeight="1">
      <x:c r="A2048" s="1" t="str">
        <x:v>sz399001</x:v>
      </x:c>
      <x:c r="B2048" s="1" t="str">
        <x:v>深证成指</x:v>
      </x:c>
      <x:c r="C2048" s="1" t="str">
        <x:v>2024-05</x:v>
      </x:c>
      <x:c r="D2048" s="1" t="str">
        <x:v>2024-04-30</x:v>
      </x:c>
      <x:c r="E2048" s="5" t="n">
        <x:v>9587.13</x:v>
      </x:c>
      <x:c r="F2048" s="6" t="str">
        <x:v>2024-05-31</x:v>
      </x:c>
      <x:c r="G2048" s="5" t="n">
        <x:v>9364.38</x:v>
      </x:c>
      <x:c r="H2048" s="7" t="n">
        <x:f>G2048/E2048-1</x:f>
        <x:v>-0.023234273447841014</x:v>
      </x:c>
      <x:c r="I2048" s="1" t="n">
        <x:v>1</x:v>
      </x:c>
      <x:c r="J2048" s="1" t="n">
        <x:v>1</x:v>
      </x:c>
      <x:c r="K2048" s="1" t="str">
        <x:v>搜狐/腾讯</x:v>
      </x:c>
    </x:row>
    <x:row r="2049" ht="25" customHeight="1">
      <x:c r="A2049" s="1" t="str">
        <x:v>sz399001</x:v>
      </x:c>
      <x:c r="B2049" s="1" t="str">
        <x:v>深证成指</x:v>
      </x:c>
      <x:c r="C2049" s="1" t="str">
        <x:v>2024-06</x:v>
      </x:c>
      <x:c r="D2049" s="1" t="str">
        <x:v>2024-05-31</x:v>
      </x:c>
      <x:c r="E2049" s="5" t="n">
        <x:v>9364.38</x:v>
      </x:c>
      <x:c r="F2049" s="6" t="str">
        <x:v>2024-06-28</x:v>
      </x:c>
      <x:c r="G2049" s="5" t="n">
        <x:v>8848.7</x:v>
      </x:c>
      <x:c r="H2049" s="7" t="n">
        <x:f>G2049/E2049-1</x:f>
        <x:v>-0.05506824797797594</x:v>
      </x:c>
      <x:c r="I2049" s="1" t="n">
        <x:v>1</x:v>
      </x:c>
      <x:c r="J2049" s="1" t="n">
        <x:v>1</x:v>
      </x:c>
      <x:c r="K2049" s="1" t="str">
        <x:v>搜狐/腾讯</x:v>
      </x:c>
    </x:row>
    <x:row r="2050" ht="25" customHeight="1">
      <x:c r="A2050" s="1" t="str">
        <x:v>sz399001</x:v>
      </x:c>
      <x:c r="B2050" s="1" t="str">
        <x:v>深证成指</x:v>
      </x:c>
      <x:c r="C2050" s="1" t="str">
        <x:v>2024-07</x:v>
      </x:c>
      <x:c r="D2050" s="1" t="str">
        <x:v>2024-06-28</x:v>
      </x:c>
      <x:c r="E2050" s="5" t="n">
        <x:v>8848.7</x:v>
      </x:c>
      <x:c r="F2050" s="6" t="str">
        <x:v>2024-07-31</x:v>
      </x:c>
      <x:c r="G2050" s="5" t="n">
        <x:v>8754.09</x:v>
      </x:c>
      <x:c r="H2050" s="7" t="n">
        <x:f>G2050/E2050-1</x:f>
        <x:v>-0.01069196605151046</x:v>
      </x:c>
      <x:c r="I2050" s="1" t="n">
        <x:v>1</x:v>
      </x:c>
      <x:c r="J2050" s="1" t="n">
        <x:v>1</x:v>
      </x:c>
      <x:c r="K2050" s="1" t="str">
        <x:v>搜狐/腾讯</x:v>
      </x:c>
    </x:row>
    <x:row r="2051" ht="25" customHeight="1">
      <x:c r="A2051" s="1" t="str">
        <x:v>sz399001</x:v>
      </x:c>
      <x:c r="B2051" s="1" t="str">
        <x:v>深证成指</x:v>
      </x:c>
      <x:c r="C2051" s="1" t="str">
        <x:v>2024-08</x:v>
      </x:c>
      <x:c r="D2051" s="1" t="str">
        <x:v>2024-07-31</x:v>
      </x:c>
      <x:c r="E2051" s="5" t="n">
        <x:v>8754.09</x:v>
      </x:c>
      <x:c r="F2051" s="6" t="str">
        <x:v>2024-08-30</x:v>
      </x:c>
      <x:c r="G2051" s="5" t="n">
        <x:v>8348.48</x:v>
      </x:c>
      <x:c r="H2051" s="7" t="n">
        <x:f>G2051/E2051-1</x:f>
        <x:v>-0.04633377084311452</x:v>
      </x:c>
      <x:c r="I2051" s="1" t="n">
        <x:v>1</x:v>
      </x:c>
      <x:c r="J2051" s="1" t="n">
        <x:v>1</x:v>
      </x:c>
      <x:c r="K2051" s="1" t="str">
        <x:v>搜狐/腾讯</x:v>
      </x:c>
    </x:row>
    <x:row r="2052" ht="25" customHeight="1">
      <x:c r="A2052" s="1" t="str">
        <x:v>sz399001</x:v>
      </x:c>
      <x:c r="B2052" s="1" t="str">
        <x:v>深证成指</x:v>
      </x:c>
      <x:c r="C2052" s="1" t="str">
        <x:v>2024-09</x:v>
      </x:c>
      <x:c r="D2052" s="1" t="str">
        <x:v>2024-08-30</x:v>
      </x:c>
      <x:c r="E2052" s="5" t="n">
        <x:v>8348.48</x:v>
      </x:c>
      <x:c r="F2052" s="6" t="str">
        <x:v>2024-09-30</x:v>
      </x:c>
      <x:c r="G2052" s="5" t="n">
        <x:v>10529.76</x:v>
      </x:c>
      <x:c r="H2052" s="7" t="n">
        <x:f>G2052/E2052-1</x:f>
        <x:v>0.2612786998351797</x:v>
      </x:c>
      <x:c r="I2052" s="1" t="n">
        <x:v>1</x:v>
      </x:c>
      <x:c r="J2052" s="1" t="n">
        <x:v>1</x:v>
      </x:c>
      <x:c r="K2052" s="1" t="str">
        <x:v>搜狐/腾讯</x:v>
      </x:c>
    </x:row>
    <x:row r="2053" ht="25" customHeight="1">
      <x:c r="A2053" s="1" t="str">
        <x:v>sz399001</x:v>
      </x:c>
      <x:c r="B2053" s="1" t="str">
        <x:v>深证成指</x:v>
      </x:c>
      <x:c r="C2053" s="1" t="str">
        <x:v>2024-10</x:v>
      </x:c>
      <x:c r="D2053" s="1" t="str">
        <x:v>2024-09-30</x:v>
      </x:c>
      <x:c r="E2053" s="5" t="n">
        <x:v>10529.76</x:v>
      </x:c>
      <x:c r="F2053" s="6" t="str">
        <x:v>2024-10-31</x:v>
      </x:c>
      <x:c r="G2053" s="5" t="n">
        <x:v>10591.22</x:v>
      </x:c>
      <x:c r="H2053" s="7" t="n">
        <x:f>G2053/E2053-1</x:f>
        <x:v>0.005836790202245812</x:v>
      </x:c>
      <x:c r="I2053" s="1" t="n">
        <x:v>1</x:v>
      </x:c>
      <x:c r="J2053" s="1" t="n">
        <x:v>1</x:v>
      </x:c>
      <x:c r="K2053" s="1" t="str">
        <x:v>搜狐/腾讯</x:v>
      </x:c>
    </x:row>
    <x:row r="2054" ht="25" customHeight="1">
      <x:c r="A2054" s="1" t="str">
        <x:v>sz399001</x:v>
      </x:c>
      <x:c r="B2054" s="1" t="str">
        <x:v>深证成指</x:v>
      </x:c>
      <x:c r="C2054" s="1" t="str">
        <x:v>2024-11</x:v>
      </x:c>
      <x:c r="D2054" s="1" t="str">
        <x:v>2024-10-31</x:v>
      </x:c>
      <x:c r="E2054" s="5" t="n">
        <x:v>10591.22</x:v>
      </x:c>
      <x:c r="F2054" s="6" t="str">
        <x:v>2024-11-29</x:v>
      </x:c>
      <x:c r="G2054" s="5" t="n">
        <x:v>10611.72</x:v>
      </x:c>
      <x:c r="H2054" s="7" t="n">
        <x:f>G2054/E2054-1</x:f>
        <x:v>0.0019355654967039282</x:v>
      </x:c>
      <x:c r="I2054" s="1" t="n">
        <x:v>1</x:v>
      </x:c>
      <x:c r="J2054" s="1" t="n">
        <x:v>1</x:v>
      </x:c>
      <x:c r="K2054" s="1" t="str">
        <x:v>搜狐/腾讯</x:v>
      </x:c>
    </x:row>
    <x:row r="2055" ht="25" customHeight="1">
      <x:c r="A2055" s="1" t="str">
        <x:v>sz399001</x:v>
      </x:c>
      <x:c r="B2055" s="1" t="str">
        <x:v>深证成指</x:v>
      </x:c>
      <x:c r="C2055" s="1" t="str">
        <x:v>2024-12</x:v>
      </x:c>
      <x:c r="D2055" s="1" t="str">
        <x:v>2024-11-29</x:v>
      </x:c>
      <x:c r="E2055" s="5" t="n">
        <x:v>10611.72</x:v>
      </x:c>
      <x:c r="F2055" s="6" t="str">
        <x:v>2024-12-31</x:v>
      </x:c>
      <x:c r="G2055" s="5" t="n">
        <x:v>10414.61</x:v>
      </x:c>
      <x:c r="H2055" s="7" t="n">
        <x:f>G2055/E2055-1</x:f>
        <x:v>-0.018574745658573644</x:v>
      </x:c>
      <x:c r="I2055" s="1" t="n">
        <x:v>1</x:v>
      </x:c>
      <x:c r="J2055" s="1" t="n">
        <x:v>1</x:v>
      </x:c>
      <x:c r="K2055" s="1" t="str">
        <x:v>搜狐/腾讯</x:v>
      </x:c>
    </x:row>
    <x:row r="2056" ht="25" customHeight="1">
      <x:c r="A2056" s="1" t="str">
        <x:v>sz399001</x:v>
      </x:c>
      <x:c r="B2056" s="1" t="str">
        <x:v>深证成指</x:v>
      </x:c>
      <x:c r="C2056" s="1" t="str">
        <x:v>2025-01</x:v>
      </x:c>
      <x:c r="D2056" s="1" t="str">
        <x:v>2024-12-31</x:v>
      </x:c>
      <x:c r="E2056" s="5" t="n">
        <x:v>10414.61</x:v>
      </x:c>
      <x:c r="F2056" s="6" t="str">
        <x:v>2025-01-27</x:v>
      </x:c>
      <x:c r="G2056" s="5" t="n">
        <x:v>10156.07</x:v>
      </x:c>
      <x:c r="H2056" s="7" t="n">
        <x:f>G2056/E2056-1</x:f>
        <x:v>-0.024824741396941463</x:v>
      </x:c>
      <x:c r="I2056" s="1" t="n">
        <x:v>1</x:v>
      </x:c>
      <x:c r="J2056" s="1" t="n">
        <x:v>1</x:v>
      </x:c>
      <x:c r="K2056" s="1" t="str">
        <x:v>搜狐/腾讯</x:v>
      </x:c>
    </x:row>
    <x:row r="2057" ht="25" customHeight="1">
      <x:c r="A2057" s="1" t="str">
        <x:v>sz399001</x:v>
      </x:c>
      <x:c r="B2057" s="1" t="str">
        <x:v>深证成指</x:v>
      </x:c>
      <x:c r="C2057" s="1" t="str">
        <x:v>2025-02</x:v>
      </x:c>
      <x:c r="D2057" s="1" t="str">
        <x:v>2025-01-27</x:v>
      </x:c>
      <x:c r="E2057" s="5" t="n">
        <x:v>10156.07</x:v>
      </x:c>
      <x:c r="F2057" s="6" t="str">
        <x:v>2025-02-28</x:v>
      </x:c>
      <x:c r="G2057" s="5" t="n">
        <x:v>10611.24</x:v>
      </x:c>
      <x:c r="H2057" s="7" t="n">
        <x:f>G2057/E2057-1</x:f>
        <x:v>0.044817532766119106</x:v>
      </x:c>
      <x:c r="I2057" s="1" t="n">
        <x:v>1</x:v>
      </x:c>
      <x:c r="J2057" s="1" t="n">
        <x:v>1</x:v>
      </x:c>
      <x:c r="K2057" s="1" t="str">
        <x:v>搜狐/腾讯</x:v>
      </x:c>
    </x:row>
    <x:row r="2058" ht="25" customHeight="1">
      <x:c r="A2058" s="1" t="str">
        <x:v>sz399001</x:v>
      </x:c>
      <x:c r="B2058" s="1" t="str">
        <x:v>深证成指</x:v>
      </x:c>
      <x:c r="C2058" s="1" t="str">
        <x:v>2025-03</x:v>
      </x:c>
      <x:c r="D2058" s="1" t="str">
        <x:v>2025-02-28</x:v>
      </x:c>
      <x:c r="E2058" s="5" t="n">
        <x:v>10611.24</x:v>
      </x:c>
      <x:c r="F2058" s="6" t="str">
        <x:v>2025-03-31</x:v>
      </x:c>
      <x:c r="G2058" s="5" t="n">
        <x:v>10504.33</x:v>
      </x:c>
      <x:c r="H2058" s="7" t="n">
        <x:f>G2058/E2058-1</x:f>
        <x:v>-0.010075165579140566</x:v>
      </x:c>
      <x:c r="I2058" s="1" t="n">
        <x:v>1</x:v>
      </x:c>
      <x:c r="J2058" s="1" t="n">
        <x:v>1</x:v>
      </x:c>
      <x:c r="K2058" s="1" t="str">
        <x:v>搜狐/腾讯</x:v>
      </x:c>
    </x:row>
    <x:row r="2059" ht="25" customHeight="1">
      <x:c r="A2059" s="1" t="str">
        <x:v>sz399001</x:v>
      </x:c>
      <x:c r="B2059" s="1" t="str">
        <x:v>深证成指</x:v>
      </x:c>
      <x:c r="C2059" s="1" t="str">
        <x:v>2025-04</x:v>
      </x:c>
      <x:c r="D2059" s="1" t="str">
        <x:v>2025-03-31</x:v>
      </x:c>
      <x:c r="E2059" s="5" t="n">
        <x:v>10504.33</x:v>
      </x:c>
      <x:c r="F2059" s="6" t="str">
        <x:v>2025-04-30</x:v>
      </x:c>
      <x:c r="G2059" s="5" t="n">
        <x:v>9899.82</x:v>
      </x:c>
      <x:c r="H2059" s="7" t="n">
        <x:f>G2059/E2059-1</x:f>
        <x:v>-0.057548648985704</x:v>
      </x:c>
      <x:c r="I2059" s="1" t="n">
        <x:v>1</x:v>
      </x:c>
      <x:c r="J2059" s="1" t="n">
        <x:v>1</x:v>
      </x:c>
      <x:c r="K2059" s="1" t="str">
        <x:v>搜狐/腾讯</x:v>
      </x:c>
    </x:row>
    <x:row r="2060" ht="25" customHeight="1">
      <x:c r="A2060" s="1" t="str">
        <x:v>sz399001</x:v>
      </x:c>
      <x:c r="B2060" s="1" t="str">
        <x:v>深证成指</x:v>
      </x:c>
      <x:c r="C2060" s="1" t="str">
        <x:v>2025-05</x:v>
      </x:c>
      <x:c r="D2060" s="1" t="str">
        <x:v>2025-04-30</x:v>
      </x:c>
      <x:c r="E2060" s="5" t="n">
        <x:v>9899.82</x:v>
      </x:c>
      <x:c r="F2060" s="6" t="str">
        <x:v>2025-05-30</x:v>
      </x:c>
      <x:c r="G2060" s="5" t="n">
        <x:v>10040.63</x:v>
      </x:c>
      <x:c r="H2060" s="7" t="n">
        <x:f>G2060/E2060-1</x:f>
        <x:v>0.014223490932158356</x:v>
      </x:c>
      <x:c r="I2060" s="1" t="n">
        <x:v>1</x:v>
      </x:c>
      <x:c r="J2060" s="1" t="n">
        <x:v>1</x:v>
      </x:c>
      <x:c r="K2060" s="1" t="str">
        <x:v>搜狐/腾讯</x:v>
      </x:c>
    </x:row>
    <x:row r="2061" ht="25" customHeight="1">
      <x:c r="A2061" s="1" t="str">
        <x:v>sz399001</x:v>
      </x:c>
      <x:c r="B2061" s="1" t="str">
        <x:v>深证成指</x:v>
      </x:c>
      <x:c r="C2061" s="1" t="str">
        <x:v>2025-06</x:v>
      </x:c>
      <x:c r="D2061" s="1" t="str">
        <x:v>2025-05-30</x:v>
      </x:c>
      <x:c r="E2061" s="5" t="n">
        <x:v>10040.63</x:v>
      </x:c>
      <x:c r="F2061" s="6" t="str">
        <x:v>2025-06-30</x:v>
      </x:c>
      <x:c r="G2061" s="5" t="n">
        <x:v>10465.12</x:v>
      </x:c>
      <x:c r="H2061" s="7" t="n">
        <x:f>G2061/E2061-1</x:f>
        <x:v>0.042277227624163194</x:v>
      </x:c>
      <x:c r="I2061" s="1" t="n">
        <x:v>1</x:v>
      </x:c>
      <x:c r="J2061" s="1" t="n">
        <x:v>1</x:v>
      </x:c>
      <x:c r="K2061" s="1" t="str">
        <x:v>搜狐/腾讯</x:v>
      </x:c>
    </x:row>
    <x:row r="2062" ht="25" customHeight="1">
      <x:c r="A2062" s="1" t="str">
        <x:v>sz399001</x:v>
      </x:c>
      <x:c r="B2062" s="1" t="str">
        <x:v>深证成指</x:v>
      </x:c>
      <x:c r="C2062" s="1" t="str">
        <x:v>2025-07</x:v>
      </x:c>
      <x:c r="D2062" s="1" t="str">
        <x:v>2025-06-30</x:v>
      </x:c>
      <x:c r="E2062" s="5" t="n">
        <x:v>10465.12</x:v>
      </x:c>
      <x:c r="F2062" s="6" t="str">
        <x:v>2025-07-31</x:v>
      </x:c>
      <x:c r="G2062" s="5" t="n">
        <x:v>11009.77</x:v>
      </x:c>
      <x:c r="H2062" s="7" t="n">
        <x:f>G2062/E2062-1</x:f>
        <x:v>0.05204431482868799</x:v>
      </x:c>
      <x:c r="I2062" s="1" t="n">
        <x:v>1</x:v>
      </x:c>
      <x:c r="J2062" s="1" t="n">
        <x:v>1</x:v>
      </x:c>
      <x:c r="K2062" s="1" t="str">
        <x:v>搜狐/腾讯</x:v>
      </x:c>
    </x:row>
    <x:row r="2063" ht="25" customHeight="1">
      <x:c r="A2063" s="1" t="str">
        <x:v>sz399001</x:v>
      </x:c>
      <x:c r="B2063" s="1" t="str">
        <x:v>深证成指</x:v>
      </x:c>
      <x:c r="C2063" s="1" t="str">
        <x:v>2025-08</x:v>
      </x:c>
      <x:c r="D2063" s="1" t="str">
        <x:v>2025-07-31</x:v>
      </x:c>
      <x:c r="E2063" s="5" t="n">
        <x:v>11009.77</x:v>
      </x:c>
      <x:c r="F2063" s="6" t="str">
        <x:v>2025-08-29</x:v>
      </x:c>
      <x:c r="G2063" s="5" t="n">
        <x:v>12696.15</x:v>
      </x:c>
      <x:c r="H2063" s="7" t="n">
        <x:f>G2063/E2063-1</x:f>
        <x:v>0.15317122882676015</x:v>
      </x:c>
      <x:c r="I2063" s="1" t="n">
        <x:v>1</x:v>
      </x:c>
      <x:c r="J2063" s="1" t="n">
        <x:v>1</x:v>
      </x:c>
      <x:c r="K2063" s="1" t="str">
        <x:v>搜狐/腾讯</x:v>
      </x:c>
    </x:row>
    <x:row r="2064" ht="25" customHeight="1">
      <x:c r="A2064" s="1" t="str">
        <x:v>sz399001</x:v>
      </x:c>
      <x:c r="B2064" s="1" t="str">
        <x:v>深证成指</x:v>
      </x:c>
      <x:c r="C2064" s="1" t="str">
        <x:v>2025-09</x:v>
      </x:c>
      <x:c r="D2064" s="1" t="str">
        <x:v>2025-08-29</x:v>
      </x:c>
      <x:c r="E2064" s="5" t="n">
        <x:v>12696.15</x:v>
      </x:c>
      <x:c r="F2064" s="6" t="str">
        <x:v>2025-09-30</x:v>
      </x:c>
      <x:c r="G2064" s="5" t="n">
        <x:v>13526.51</x:v>
      </x:c>
      <x:c r="H2064" s="7" t="n">
        <x:f>G2064/E2064-1</x:f>
        <x:v>0.0654025039086652</x:v>
      </x:c>
      <x:c r="I2064" s="1" t="n">
        <x:v>1</x:v>
      </x:c>
      <x:c r="J2064" s="1" t="n">
        <x:v>1</x:v>
      </x:c>
      <x:c r="K2064" s="1" t="str">
        <x:v>搜狐/腾讯</x:v>
      </x:c>
    </x:row>
    <x:row r="2065" ht="25" customHeight="1">
      <x:c r="A2065" s="1" t="str">
        <x:v>sz399001</x:v>
      </x:c>
      <x:c r="B2065" s="1" t="str">
        <x:v>深证成指</x:v>
      </x:c>
      <x:c r="C2065" s="1" t="str">
        <x:v>2025-10</x:v>
      </x:c>
      <x:c r="D2065" s="1" t="str">
        <x:v>2025-09-30</x:v>
      </x:c>
      <x:c r="E2065" s="5" t="n">
        <x:v>13526.51</x:v>
      </x:c>
      <x:c r="F2065" s="6" t="str">
        <x:v>2025-10-31</x:v>
      </x:c>
      <x:c r="G2065" s="5" t="n">
        <x:v>13378.21</x:v>
      </x:c>
      <x:c r="H2065" s="7" t="n">
        <x:f>G2065/E2065-1</x:f>
        <x:v>-0.01096365581365788</x:v>
      </x:c>
      <x:c r="I2065" s="1" t="n">
        <x:v>1</x:v>
      </x:c>
      <x:c r="J2065" s="1" t="n">
        <x:v>1</x:v>
      </x:c>
      <x:c r="K2065" s="1" t="str">
        <x:v>搜狐/腾讯</x:v>
      </x:c>
    </x:row>
    <x:row r="2066" ht="25" customHeight="1">
      <x:c r="A2066" s="1" t="str">
        <x:v>sz399001</x:v>
      </x:c>
      <x:c r="B2066" s="1" t="str">
        <x:v>深证成指</x:v>
      </x:c>
      <x:c r="C2066" s="1" t="str">
        <x:v>2025-11</x:v>
      </x:c>
      <x:c r="D2066" s="1" t="str">
        <x:v>2025-10-31</x:v>
      </x:c>
      <x:c r="E2066" s="5" t="n">
        <x:v>13378.21</x:v>
      </x:c>
      <x:c r="F2066" s="6" t="str">
        <x:v>2025-11-28</x:v>
      </x:c>
      <x:c r="G2066" s="5" t="n">
        <x:v>12984.08</x:v>
      </x:c>
      <x:c r="H2066" s="7" t="n">
        <x:f>G2066/E2066-1</x:f>
        <x:v>-0.02946059300907966</x:v>
      </x:c>
      <x:c r="I2066" s="1" t="n">
        <x:v>1</x:v>
      </x:c>
      <x:c r="J2066" s="1" t="n">
        <x:v>1</x:v>
      </x:c>
      <x:c r="K2066" s="1" t="str">
        <x:v>搜狐/腾讯</x:v>
      </x:c>
    </x:row>
    <x:row r="2067" ht="25" customHeight="1">
      <x:c r="A2067" s="1" t="str">
        <x:v>sz399001</x:v>
      </x:c>
      <x:c r="B2067" s="1" t="str">
        <x:v>深证成指</x:v>
      </x:c>
      <x:c r="C2067" s="1" t="str">
        <x:v>2025-12</x:v>
      </x:c>
      <x:c r="D2067" s="1" t="str">
        <x:v>2025-11-28</x:v>
      </x:c>
      <x:c r="E2067" s="5" t="n">
        <x:v>12984.08</x:v>
      </x:c>
      <x:c r="F2067" s="6" t="str">
        <x:v>2025-12-31</x:v>
      </x:c>
      <x:c r="G2067" s="5" t="n">
        <x:v>13525.02</x:v>
      </x:c>
      <x:c r="H2067" s="7" t="n">
        <x:f>G2067/E2067-1</x:f>
        <x:v>0.04166178889840477</x:v>
      </x:c>
      <x:c r="I2067" s="1" t="n">
        <x:v>1</x:v>
      </x:c>
      <x:c r="J2067" s="1" t="n">
        <x:v>1</x:v>
      </x:c>
      <x:c r="K2067" s="1" t="str">
        <x:v>搜狐/腾讯</x:v>
      </x:c>
    </x:row>
    <x:row r="2068" ht="25" customHeight="1">
      <x:c r="A2068" s="1" t="str">
        <x:v>sz399001</x:v>
      </x:c>
      <x:c r="B2068" s="1" t="str">
        <x:v>深证成指</x:v>
      </x:c>
      <x:c r="C2068" s="1" t="str">
        <x:v>2026-01</x:v>
      </x:c>
      <x:c r="D2068" s="1" t="str">
        <x:v>2025-12-31</x:v>
      </x:c>
      <x:c r="E2068" s="5" t="n">
        <x:v>13525.02</x:v>
      </x:c>
      <x:c r="F2068" s="6" t="str">
        <x:v>2026-01-30</x:v>
      </x:c>
      <x:c r="G2068" s="5" t="n">
        <x:v>14205.89</x:v>
      </x:c>
      <x:c r="H2068" s="7" t="n">
        <x:f>G2068/E2068-1</x:f>
        <x:v>0.05034151520663177</x:v>
      </x:c>
      <x:c r="I2068" s="1" t="n">
        <x:v>1</x:v>
      </x:c>
      <x:c r="J2068" s="1" t="n">
        <x:v>1</x:v>
      </x:c>
      <x:c r="K2068" s="1" t="str">
        <x:v>搜狐/腾讯</x:v>
      </x:c>
    </x:row>
    <x:row r="2069" ht="25" customHeight="1">
      <x:c r="A2069" s="1" t="str">
        <x:v>sz399001</x:v>
      </x:c>
      <x:c r="B2069" s="1" t="str">
        <x:v>深证成指</x:v>
      </x:c>
      <x:c r="C2069" s="1" t="str">
        <x:v>2026-02</x:v>
      </x:c>
      <x:c r="D2069" s="1" t="str">
        <x:v>2026-01-30</x:v>
      </x:c>
      <x:c r="E2069" s="5" t="n">
        <x:v>14205.89</x:v>
      </x:c>
      <x:c r="F2069" s="6" t="str">
        <x:v>2026-02-27</x:v>
      </x:c>
      <x:c r="G2069" s="5" t="n">
        <x:v>14495.09</x:v>
      </x:c>
      <x:c r="H2069" s="7" t="n">
        <x:f>G2069/E2069-1</x:f>
        <x:v>0.020357753016530422</x:v>
      </x:c>
      <x:c r="I2069" s="1" t="n">
        <x:v>1</x:v>
      </x:c>
      <x:c r="J2069" s="1" t="n">
        <x:v>1</x:v>
      </x:c>
      <x:c r="K2069" s="1" t="str">
        <x:v>搜狐/腾讯</x:v>
      </x:c>
    </x:row>
    <x:row r="2070" ht="25" customHeight="1">
      <x:c r="A2070" s="1" t="str">
        <x:v>sz399001</x:v>
      </x:c>
      <x:c r="B2070" s="1" t="str">
        <x:v>深证成指</x:v>
      </x:c>
      <x:c r="C2070" s="1" t="str">
        <x:v>2026-03</x:v>
      </x:c>
      <x:c r="D2070" s="1" t="str">
        <x:v>2026-02-27</x:v>
      </x:c>
      <x:c r="E2070" s="5" t="n">
        <x:v>14495.09</x:v>
      </x:c>
      <x:c r="F2070" s="6" t="str">
        <x:v>2026-03-31</x:v>
      </x:c>
      <x:c r="G2070" s="5" t="n">
        <x:v>13478.06</x:v>
      </x:c>
      <x:c r="H2070" s="7" t="n">
        <x:f>G2070/E2070-1</x:f>
        <x:v>-0.0701637589004277</x:v>
      </x:c>
      <x:c r="I2070" s="1" t="n">
        <x:v>1</x:v>
      </x:c>
      <x:c r="J2070" s="1" t="n">
        <x:v>1</x:v>
      </x:c>
      <x:c r="K2070" s="1" t="str">
        <x:v>搜狐/腾讯</x:v>
      </x:c>
    </x:row>
    <x:row r="2071" ht="25" customHeight="1">
      <x:c r="A2071" s="1" t="str">
        <x:v>sz399001</x:v>
      </x:c>
      <x:c r="B2071" s="1" t="str">
        <x:v>深证成指</x:v>
      </x:c>
      <x:c r="C2071" s="1" t="str">
        <x:v>2026-04</x:v>
      </x:c>
      <x:c r="D2071" s="1" t="str">
        <x:v>2026-03-31</x:v>
      </x:c>
      <x:c r="E2071" s="5" t="n">
        <x:v>13478.06</x:v>
      </x:c>
      <x:c r="F2071" s="6" t="str">
        <x:v>2026-04-30</x:v>
      </x:c>
      <x:c r="G2071" s="5" t="n">
        <x:v>15107.55</x:v>
      </x:c>
      <x:c r="H2071" s="7" t="n">
        <x:f>G2071/E2071-1</x:f>
        <x:v>0.12089944695304822</x:v>
      </x:c>
      <x:c r="I2071" s="1" t="n">
        <x:v>1</x:v>
      </x:c>
      <x:c r="J2071" s="1" t="n">
        <x:v>1</x:v>
      </x:c>
      <x:c r="K2071" s="1" t="str">
        <x:v>搜狐/腾讯</x:v>
      </x:c>
    </x:row>
    <x:row r="2072" ht="25" customHeight="1">
      <x:c r="A2072" s="1" t="str">
        <x:v>sz399001</x:v>
      </x:c>
      <x:c r="B2072" s="1" t="str">
        <x:v>深证成指</x:v>
      </x:c>
      <x:c r="C2072" s="1" t="str">
        <x:v>2026-05</x:v>
      </x:c>
      <x:c r="D2072" s="1" t="str">
        <x:v>2026-04-30</x:v>
      </x:c>
      <x:c r="E2072" s="5" t="n">
        <x:v>15107.55</x:v>
      </x:c>
      <x:c r="F2072" s="6" t="str">
        <x:v>2026-05-29</x:v>
      </x:c>
      <x:c r="G2072" s="5" t="n">
        <x:v>15575.13</x:v>
      </x:c>
      <x:c r="H2072" s="7" t="n">
        <x:f>G2072/E2072-1</x:f>
        <x:v>0.03095008786997222</x:v>
      </x:c>
      <x:c r="I2072" s="1" t="n">
        <x:v>1</x:v>
      </x:c>
      <x:c r="J2072" s="1" t="n">
        <x:v>1</x:v>
      </x:c>
      <x:c r="K2072" s="1" t="str">
        <x:v>搜狐/腾讯</x:v>
      </x:c>
    </x:row>
    <x:row r="2073" ht="25" customHeight="1">
      <x:c r="A2073" s="1" t="str">
        <x:v>sz399001</x:v>
      </x:c>
      <x:c r="B2073" s="1" t="str">
        <x:v>深证成指</x:v>
      </x:c>
      <x:c r="C2073" s="1" t="str">
        <x:v>2026-06</x:v>
      </x:c>
      <x:c r="D2073" s="1" t="str">
        <x:v>2026-05-29</x:v>
      </x:c>
      <x:c r="E2073" s="5" t="n">
        <x:v>15575.13</x:v>
      </x:c>
      <x:c r="F2073" s="6" t="str">
        <x:v>2026-06-30</x:v>
      </x:c>
      <x:c r="G2073" s="5" t="n">
        <x:v>16205.56</x:v>
      </x:c>
      <x:c r="H2073" s="7" t="n">
        <x:f>G2073/E2073-1</x:f>
        <x:v>0.040476708701628894</x:v>
      </x:c>
      <x:c r="I2073" s="1" t="n">
        <x:v>1</x:v>
      </x:c>
      <x:c r="J2073" s="1" t="n">
        <x:v>1</x:v>
      </x:c>
      <x:c r="K2073" s="1" t="str">
        <x:v>搜狐/腾讯</x:v>
      </x:c>
    </x:row>
    <x:row r="2074" ht="25" customHeight="1">
      <x:c r="A2074" s="1" t="str">
        <x:v>sz399001</x:v>
      </x:c>
      <x:c r="B2074" s="1" t="str">
        <x:v>深证成指</x:v>
      </x:c>
      <x:c r="C2074" s="1" t="str">
        <x:v>2026-07</x:v>
      </x:c>
      <x:c r="D2074" s="1" t="str">
        <x:v>2026-06-30</x:v>
      </x:c>
      <x:c r="E2074" s="5" t="n">
        <x:v>16205.56</x:v>
      </x:c>
      <x:c r="F2074" s="6" t="str">
        <x:v>2026-07-31</x:v>
      </x:c>
      <x:c r="G2074" s="5" t="n">
        <x:v>13578.93</x:v>
      </x:c>
      <x:c r="H2074" s="7" t="n">
        <x:f>G2074/E2074-1</x:f>
        <x:v>-0.1620820261687963</x:v>
      </x:c>
      <x:c r="I2074" s="1" t="n">
        <x:v>1</x:v>
      </x:c>
      <x:c r="J2074" s="1" t="n">
        <x:v>1</x:v>
      </x:c>
      <x:c r="K2074" s="1" t="str">
        <x:v>搜狐/腾讯</x:v>
      </x:c>
    </x:row>
    <x:row r="2075" ht="25" customHeight="1">
      <x:c r="A2075" s="1" t="str">
        <x:v>sz399001</x:v>
      </x:c>
      <x:c r="B2075" s="1" t="str">
        <x:v>深证成指</x:v>
      </x:c>
      <x:c r="C2075" s="1" t="str">
        <x:v>2026-08</x:v>
      </x:c>
      <x:c r="D2075" s="1" t="str">
        <x:v>2026-07-31</x:v>
      </x:c>
      <x:c r="E2075" s="5" t="n">
        <x:v>13578.93</x:v>
      </x:c>
      <x:c r="F2075" s="6" t="str">
        <x:v>2026-08-31</x:v>
      </x:c>
      <x:c r="G2075" s="5" t="n">
        <x:v>14015</x:v>
      </x:c>
      <x:c r="H2075" s="7" t="n">
        <x:f>G2075/E2075-1</x:f>
        <x:v>0.03211372324623518</x:v>
      </x:c>
      <x:c r="I2075" s="1" t="n">
        <x:v>1</x:v>
      </x:c>
      <x:c r="J2075" s="1" t="n">
        <x:v>1</x:v>
      </x:c>
      <x:c r="K2075" s="1" t="str">
        <x:v>搜狐/腾讯</x:v>
      </x:c>
    </x:row>
    <x:row r="2076" ht="25" customHeight="1">
      <x:c r="A2076" s="1" t="str">
        <x:v>sz399001</x:v>
      </x:c>
      <x:c r="B2076" s="1" t="str">
        <x:v>深证成指</x:v>
      </x:c>
      <x:c r="C2076" s="1" t="str">
        <x:v>2026-09</x:v>
      </x:c>
      <x:c r="D2076" s="1" t="str">
        <x:v>2026-08-31</x:v>
      </x:c>
      <x:c r="E2076" s="5" t="n">
        <x:v>14015</x:v>
      </x:c>
      <x:c r="F2076" s="6" t="str">
        <x:v>2026-09-30</x:v>
      </x:c>
      <x:c r="G2076" s="5" t="n">
        <x:v>12887.62</x:v>
      </x:c>
      <x:c r="H2076" s="7" t="n">
        <x:f>G2076/E2076-1</x:f>
        <x:v>-0.08044095611844448</x:v>
      </x:c>
      <x:c r="I2076" s="1" t="n">
        <x:v>1</x:v>
      </x:c>
      <x:c r="J2076" s="1" t="n">
        <x:v>1</x:v>
      </x:c>
      <x:c r="K2076" s="1" t="str">
        <x:v>搜狐/腾讯</x:v>
      </x:c>
    </x:row>
    <x:row r="2077" ht="25" customHeight="1">
      <x:c r="A2077" s="1" t="str">
        <x:v>sz399001</x:v>
      </x:c>
      <x:c r="B2077" s="1" t="str">
        <x:v>深证成指</x:v>
      </x:c>
      <x:c r="C2077" s="1" t="str">
        <x:v>2026-10</x:v>
      </x:c>
      <x:c r="D2077" s="1" t="str">
        <x:v>2026-09-30</x:v>
      </x:c>
      <x:c r="E2077" s="5" t="n">
        <x:v>12887.62</x:v>
      </x:c>
      <x:c r="F2077" s="6" t="str">
        <x:v>2026-10-09</x:v>
      </x:c>
      <x:c r="G2077" s="5" t="n">
        <x:v>12641.86</x:v>
      </x:c>
      <x:c r="H2077" s="7" t="n">
        <x:f>G2077/E2077-1</x:f>
        <x:v>-0.01906946356270589</x:v>
      </x:c>
      <x:c r="I2077" s="1" t="n">
        <x:v>0</x:v>
      </x:c>
      <x:c r="J2077" s="1" t="n">
        <x:v>1</x:v>
      </x:c>
      <x:c r="K2077" s="1" t="str">
        <x:v>搜狐/腾讯</x:v>
      </x:c>
    </x:row>
    <x:row r="2078" ht="25" customHeight="1">
      <x:c r="A2078" s="1" t="str">
        <x:v>sz399006</x:v>
      </x:c>
      <x:c r="B2078" s="1" t="str">
        <x:v>创业板指</x:v>
      </x:c>
      <x:c r="C2078" s="1" t="str">
        <x:v>2010-06</x:v>
      </x:c>
      <x:c r="D2078" s="1"/>
      <x:c r="E2078" s="5"/>
      <x:c r="F2078" s="6" t="str">
        <x:v>2010-06-30</x:v>
      </x:c>
      <x:c r="G2078" s="5" t="n">
        <x:v>919.31</x:v>
      </x:c>
      <x:c r="H2078" s="7" t="str">
        <x:f>"n.a."</x:f>
        <x:v>n.a.</x:v>
      </x:c>
      <x:c r="I2078" s="1" t="n">
        <x:v>1</x:v>
      </x:c>
      <x:c r="J2078" s="1" t="n">
        <x:v>1</x:v>
      </x:c>
      <x:c r="K2078" s="1" t="str">
        <x:v>搜狐/腾讯</x:v>
      </x:c>
    </x:row>
    <x:row r="2079" ht="25" customHeight="1">
      <x:c r="A2079" s="1" t="str">
        <x:v>sz399006</x:v>
      </x:c>
      <x:c r="B2079" s="1" t="str">
        <x:v>创业板指</x:v>
      </x:c>
      <x:c r="C2079" s="1" t="str">
        <x:v>2010-07</x:v>
      </x:c>
      <x:c r="D2079" s="1" t="str">
        <x:v>2010-06-30</x:v>
      </x:c>
      <x:c r="E2079" s="5" t="n">
        <x:v>919.31</x:v>
      </x:c>
      <x:c r="F2079" s="6" t="str">
        <x:v>2010-07-30</x:v>
      </x:c>
      <x:c r="G2079" s="5" t="n">
        <x:v>968.43</x:v>
      </x:c>
      <x:c r="H2079" s="7" t="n">
        <x:f>G2079/E2079-1</x:f>
        <x:v>0.053431377881236974</x:v>
      </x:c>
      <x:c r="I2079" s="1" t="n">
        <x:v>1</x:v>
      </x:c>
      <x:c r="J2079" s="1" t="n">
        <x:v>1</x:v>
      </x:c>
      <x:c r="K2079" s="1" t="str">
        <x:v>搜狐/腾讯</x:v>
      </x:c>
    </x:row>
    <x:row r="2080" ht="25" customHeight="1">
      <x:c r="A2080" s="1" t="str">
        <x:v>sz399006</x:v>
      </x:c>
      <x:c r="B2080" s="1" t="str">
        <x:v>创业板指</x:v>
      </x:c>
      <x:c r="C2080" s="1" t="str">
        <x:v>2010-08</x:v>
      </x:c>
      <x:c r="D2080" s="1" t="str">
        <x:v>2010-07-30</x:v>
      </x:c>
      <x:c r="E2080" s="5" t="n">
        <x:v>968.43</x:v>
      </x:c>
      <x:c r="F2080" s="6" t="str">
        <x:v>2010-08-31</x:v>
      </x:c>
      <x:c r="G2080" s="5" t="n">
        <x:v>1025.57</x:v>
      </x:c>
      <x:c r="H2080" s="7" t="n">
        <x:f>G2080/E2080-1</x:f>
        <x:v>0.05900271573577842</x:v>
      </x:c>
      <x:c r="I2080" s="1" t="n">
        <x:v>1</x:v>
      </x:c>
      <x:c r="J2080" s="1" t="n">
        <x:v>1</x:v>
      </x:c>
      <x:c r="K2080" s="1" t="str">
        <x:v>搜狐/腾讯</x:v>
      </x:c>
    </x:row>
    <x:row r="2081" ht="25" customHeight="1">
      <x:c r="A2081" s="1" t="str">
        <x:v>sz399006</x:v>
      </x:c>
      <x:c r="B2081" s="1" t="str">
        <x:v>创业板指</x:v>
      </x:c>
      <x:c r="C2081" s="1" t="str">
        <x:v>2010-09</x:v>
      </x:c>
      <x:c r="D2081" s="1" t="str">
        <x:v>2010-08-31</x:v>
      </x:c>
      <x:c r="E2081" s="5" t="n">
        <x:v>1025.57</x:v>
      </x:c>
      <x:c r="F2081" s="6" t="str">
        <x:v>2010-09-30</x:v>
      </x:c>
      <x:c r="G2081" s="5" t="n">
        <x:v>942.54</x:v>
      </x:c>
      <x:c r="H2081" s="7" t="n">
        <x:f>G2081/E2081-1</x:f>
        <x:v>-0.08095985647006054</x:v>
      </x:c>
      <x:c r="I2081" s="1" t="n">
        <x:v>1</x:v>
      </x:c>
      <x:c r="J2081" s="1" t="n">
        <x:v>1</x:v>
      </x:c>
      <x:c r="K2081" s="1" t="str">
        <x:v>搜狐/腾讯</x:v>
      </x:c>
    </x:row>
    <x:row r="2082" ht="25" customHeight="1">
      <x:c r="A2082" s="1" t="str">
        <x:v>sz399006</x:v>
      </x:c>
      <x:c r="B2082" s="1" t="str">
        <x:v>创业板指</x:v>
      </x:c>
      <x:c r="C2082" s="1" t="str">
        <x:v>2010-10</x:v>
      </x:c>
      <x:c r="D2082" s="1" t="str">
        <x:v>2010-09-30</x:v>
      </x:c>
      <x:c r="E2082" s="5" t="n">
        <x:v>942.54</x:v>
      </x:c>
      <x:c r="F2082" s="6" t="str">
        <x:v>2010-10-29</x:v>
      </x:c>
      <x:c r="G2082" s="5" t="n">
        <x:v>1064.52</x:v>
      </x:c>
      <x:c r="H2082" s="7" t="n">
        <x:f>G2082/E2082-1</x:f>
        <x:v>0.1294162581959386</x:v>
      </x:c>
      <x:c r="I2082" s="1" t="n">
        <x:v>1</x:v>
      </x:c>
      <x:c r="J2082" s="1" t="n">
        <x:v>1</x:v>
      </x:c>
      <x:c r="K2082" s="1" t="str">
        <x:v>搜狐/腾讯</x:v>
      </x:c>
    </x:row>
    <x:row r="2083" ht="25" customHeight="1">
      <x:c r="A2083" s="1" t="str">
        <x:v>sz399006</x:v>
      </x:c>
      <x:c r="B2083" s="1" t="str">
        <x:v>创业板指</x:v>
      </x:c>
      <x:c r="C2083" s="1" t="str">
        <x:v>2010-11</x:v>
      </x:c>
      <x:c r="D2083" s="1" t="str">
        <x:v>2010-10-29</x:v>
      </x:c>
      <x:c r="E2083" s="5" t="n">
        <x:v>1064.52</x:v>
      </x:c>
      <x:c r="F2083" s="6" t="str">
        <x:v>2010-11-30</x:v>
      </x:c>
      <x:c r="G2083" s="5" t="n">
        <x:v>1181.5</x:v>
      </x:c>
      <x:c r="H2083" s="7" t="n">
        <x:f>G2083/E2083-1</x:f>
        <x:v>0.10988990343065419</x:v>
      </x:c>
      <x:c r="I2083" s="1" t="n">
        <x:v>1</x:v>
      </x:c>
      <x:c r="J2083" s="1" t="n">
        <x:v>1</x:v>
      </x:c>
      <x:c r="K2083" s="1" t="str">
        <x:v>搜狐/腾讯</x:v>
      </x:c>
    </x:row>
    <x:row r="2084" ht="25" customHeight="1">
      <x:c r="A2084" s="1" t="str">
        <x:v>sz399006</x:v>
      </x:c>
      <x:c r="B2084" s="1" t="str">
        <x:v>创业板指</x:v>
      </x:c>
      <x:c r="C2084" s="1" t="str">
        <x:v>2010-12</x:v>
      </x:c>
      <x:c r="D2084" s="1" t="str">
        <x:v>2010-11-30</x:v>
      </x:c>
      <x:c r="E2084" s="5" t="n">
        <x:v>1181.5</x:v>
      </x:c>
      <x:c r="F2084" s="6" t="str">
        <x:v>2010-12-31</x:v>
      </x:c>
      <x:c r="G2084" s="5" t="n">
        <x:v>1137.66</x:v>
      </x:c>
      <x:c r="H2084" s="7" t="n">
        <x:f>G2084/E2084-1</x:f>
        <x:v>-0.03710537452391016</x:v>
      </x:c>
      <x:c r="I2084" s="1" t="n">
        <x:v>1</x:v>
      </x:c>
      <x:c r="J2084" s="1" t="n">
        <x:v>1</x:v>
      </x:c>
      <x:c r="K2084" s="1" t="str">
        <x:v>搜狐/腾讯</x:v>
      </x:c>
    </x:row>
    <x:row r="2085" ht="25" customHeight="1">
      <x:c r="A2085" s="1" t="str">
        <x:v>sz399006</x:v>
      </x:c>
      <x:c r="B2085" s="1" t="str">
        <x:v>创业板指</x:v>
      </x:c>
      <x:c r="C2085" s="1" t="str">
        <x:v>2011-01</x:v>
      </x:c>
      <x:c r="D2085" s="1" t="str">
        <x:v>2010-12-31</x:v>
      </x:c>
      <x:c r="E2085" s="5" t="n">
        <x:v>1137.66</x:v>
      </x:c>
      <x:c r="F2085" s="6" t="str">
        <x:v>2011-01-31</x:v>
      </x:c>
      <x:c r="G2085" s="5" t="n">
        <x:v>1029.12</x:v>
      </x:c>
      <x:c r="H2085" s="7" t="n">
        <x:f>G2085/E2085-1</x:f>
        <x:v>-0.09540636042402839</x:v>
      </x:c>
      <x:c r="I2085" s="1" t="n">
        <x:v>1</x:v>
      </x:c>
      <x:c r="J2085" s="1" t="n">
        <x:v>1</x:v>
      </x:c>
      <x:c r="K2085" s="1" t="str">
        <x:v>搜狐/腾讯</x:v>
      </x:c>
    </x:row>
    <x:row r="2086" ht="25" customHeight="1">
      <x:c r="A2086" s="1" t="str">
        <x:v>sz399006</x:v>
      </x:c>
      <x:c r="B2086" s="1" t="str">
        <x:v>创业板指</x:v>
      </x:c>
      <x:c r="C2086" s="1" t="str">
        <x:v>2011-02</x:v>
      </x:c>
      <x:c r="D2086" s="1" t="str">
        <x:v>2011-01-31</x:v>
      </x:c>
      <x:c r="E2086" s="5" t="n">
        <x:v>1029.12</x:v>
      </x:c>
      <x:c r="F2086" s="6" t="str">
        <x:v>2011-02-28</x:v>
      </x:c>
      <x:c r="G2086" s="5" t="n">
        <x:v>1099.78</x:v>
      </x:c>
      <x:c r="H2086" s="7" t="n">
        <x:f>G2086/E2086-1</x:f>
        <x:v>0.06866060323383083</x:v>
      </x:c>
      <x:c r="I2086" s="1" t="n">
        <x:v>1</x:v>
      </x:c>
      <x:c r="J2086" s="1" t="n">
        <x:v>1</x:v>
      </x:c>
      <x:c r="K2086" s="1" t="str">
        <x:v>搜狐/腾讯</x:v>
      </x:c>
    </x:row>
    <x:row r="2087" ht="25" customHeight="1">
      <x:c r="A2087" s="1" t="str">
        <x:v>sz399006</x:v>
      </x:c>
      <x:c r="B2087" s="1" t="str">
        <x:v>创业板指</x:v>
      </x:c>
      <x:c r="C2087" s="1" t="str">
        <x:v>2011-03</x:v>
      </x:c>
      <x:c r="D2087" s="1" t="str">
        <x:v>2011-02-28</x:v>
      </x:c>
      <x:c r="E2087" s="5" t="n">
        <x:v>1099.78</x:v>
      </x:c>
      <x:c r="F2087" s="6" t="str">
        <x:v>2011-03-31</x:v>
      </x:c>
      <x:c r="G2087" s="5" t="n">
        <x:v>1008.3</x:v>
      </x:c>
      <x:c r="H2087" s="7" t="n">
        <x:f>G2087/E2087-1</x:f>
        <x:v>-0.08318027241811998</x:v>
      </x:c>
      <x:c r="I2087" s="1" t="n">
        <x:v>1</x:v>
      </x:c>
      <x:c r="J2087" s="1" t="n">
        <x:v>1</x:v>
      </x:c>
      <x:c r="K2087" s="1" t="str">
        <x:v>搜狐/腾讯</x:v>
      </x:c>
    </x:row>
    <x:row r="2088" ht="25" customHeight="1">
      <x:c r="A2088" s="1" t="str">
        <x:v>sz399006</x:v>
      </x:c>
      <x:c r="B2088" s="1" t="str">
        <x:v>创业板指</x:v>
      </x:c>
      <x:c r="C2088" s="1" t="str">
        <x:v>2011-04</x:v>
      </x:c>
      <x:c r="D2088" s="1" t="str">
        <x:v>2011-03-31</x:v>
      </x:c>
      <x:c r="E2088" s="5" t="n">
        <x:v>1008.3</x:v>
      </x:c>
      <x:c r="F2088" s="6" t="str">
        <x:v>2011-04-29</x:v>
      </x:c>
      <x:c r="G2088" s="5" t="n">
        <x:v>912.72</x:v>
      </x:c>
      <x:c r="H2088" s="7" t="n">
        <x:f>G2088/E2088-1</x:f>
        <x:v>-0.09479321630467119</x:v>
      </x:c>
      <x:c r="I2088" s="1" t="n">
        <x:v>1</x:v>
      </x:c>
      <x:c r="J2088" s="1" t="n">
        <x:v>1</x:v>
      </x:c>
      <x:c r="K2088" s="1" t="str">
        <x:v>搜狐/腾讯</x:v>
      </x:c>
    </x:row>
    <x:row r="2089" ht="25" customHeight="1">
      <x:c r="A2089" s="1" t="str">
        <x:v>sz399006</x:v>
      </x:c>
      <x:c r="B2089" s="1" t="str">
        <x:v>创业板指</x:v>
      </x:c>
      <x:c r="C2089" s="1" t="str">
        <x:v>2011-05</x:v>
      </x:c>
      <x:c r="D2089" s="1" t="str">
        <x:v>2011-04-29</x:v>
      </x:c>
      <x:c r="E2089" s="5" t="n">
        <x:v>912.72</x:v>
      </x:c>
      <x:c r="F2089" s="6" t="str">
        <x:v>2011-05-31</x:v>
      </x:c>
      <x:c r="G2089" s="5" t="n">
        <x:v>846.32</x:v>
      </x:c>
      <x:c r="H2089" s="7" t="n">
        <x:f>G2089/E2089-1</x:f>
        <x:v>-0.07274958366202122</x:v>
      </x:c>
      <x:c r="I2089" s="1" t="n">
        <x:v>1</x:v>
      </x:c>
      <x:c r="J2089" s="1" t="n">
        <x:v>1</x:v>
      </x:c>
      <x:c r="K2089" s="1" t="str">
        <x:v>搜狐/腾讯</x:v>
      </x:c>
    </x:row>
    <x:row r="2090" ht="25" customHeight="1">
      <x:c r="A2090" s="1" t="str">
        <x:v>sz399006</x:v>
      </x:c>
      <x:c r="B2090" s="1" t="str">
        <x:v>创业板指</x:v>
      </x:c>
      <x:c r="C2090" s="1" t="str">
        <x:v>2011-06</x:v>
      </x:c>
      <x:c r="D2090" s="1" t="str">
        <x:v>2011-05-31</x:v>
      </x:c>
      <x:c r="E2090" s="5" t="n">
        <x:v>846.32</x:v>
      </x:c>
      <x:c r="F2090" s="6" t="str">
        <x:v>2011-06-30</x:v>
      </x:c>
      <x:c r="G2090" s="5" t="n">
        <x:v>845.92</x:v>
      </x:c>
      <x:c r="H2090" s="7" t="n">
        <x:f>G2090/E2090-1</x:f>
        <x:v>-0.0004726344645052949</x:v>
      </x:c>
      <x:c r="I2090" s="1" t="n">
        <x:v>1</x:v>
      </x:c>
      <x:c r="J2090" s="1" t="n">
        <x:v>1</x:v>
      </x:c>
      <x:c r="K2090" s="1" t="str">
        <x:v>搜狐/腾讯</x:v>
      </x:c>
    </x:row>
    <x:row r="2091" ht="25" customHeight="1">
      <x:c r="A2091" s="1" t="str">
        <x:v>sz399006</x:v>
      </x:c>
      <x:c r="B2091" s="1" t="str">
        <x:v>创业板指</x:v>
      </x:c>
      <x:c r="C2091" s="1" t="str">
        <x:v>2011-07</x:v>
      </x:c>
      <x:c r="D2091" s="1" t="str">
        <x:v>2011-06-30</x:v>
      </x:c>
      <x:c r="E2091" s="5" t="n">
        <x:v>845.92</x:v>
      </x:c>
      <x:c r="F2091" s="6" t="str">
        <x:v>2011-07-29</x:v>
      </x:c>
      <x:c r="G2091" s="5" t="n">
        <x:v>913.28</x:v>
      </x:c>
      <x:c r="H2091" s="7" t="n">
        <x:f>G2091/E2091-1</x:f>
        <x:v>0.07962927936447883</x:v>
      </x:c>
      <x:c r="I2091" s="1" t="n">
        <x:v>1</x:v>
      </x:c>
      <x:c r="J2091" s="1" t="n">
        <x:v>1</x:v>
      </x:c>
      <x:c r="K2091" s="1" t="str">
        <x:v>搜狐/腾讯</x:v>
      </x:c>
    </x:row>
    <x:row r="2092" ht="25" customHeight="1">
      <x:c r="A2092" s="1" t="str">
        <x:v>sz399006</x:v>
      </x:c>
      <x:c r="B2092" s="1" t="str">
        <x:v>创业板指</x:v>
      </x:c>
      <x:c r="C2092" s="1" t="str">
        <x:v>2011-08</x:v>
      </x:c>
      <x:c r="D2092" s="1" t="str">
        <x:v>2011-07-29</x:v>
      </x:c>
      <x:c r="E2092" s="5" t="n">
        <x:v>913.28</x:v>
      </x:c>
      <x:c r="F2092" s="6" t="str">
        <x:v>2011-08-31</x:v>
      </x:c>
      <x:c r="G2092" s="5" t="n">
        <x:v>921.5</x:v>
      </x:c>
      <x:c r="H2092" s="7" t="n">
        <x:f>G2092/E2092-1</x:f>
        <x:v>0.00900052557813602</x:v>
      </x:c>
      <x:c r="I2092" s="1" t="n">
        <x:v>1</x:v>
      </x:c>
      <x:c r="J2092" s="1" t="n">
        <x:v>1</x:v>
      </x:c>
      <x:c r="K2092" s="1" t="str">
        <x:v>搜狐/腾讯</x:v>
      </x:c>
    </x:row>
    <x:row r="2093" ht="25" customHeight="1">
      <x:c r="A2093" s="1" t="str">
        <x:v>sz399006</x:v>
      </x:c>
      <x:c r="B2093" s="1" t="str">
        <x:v>创业板指</x:v>
      </x:c>
      <x:c r="C2093" s="1" t="str">
        <x:v>2011-09</x:v>
      </x:c>
      <x:c r="D2093" s="1" t="str">
        <x:v>2011-08-31</x:v>
      </x:c>
      <x:c r="E2093" s="5" t="n">
        <x:v>921.5</x:v>
      </x:c>
      <x:c r="F2093" s="6" t="str">
        <x:v>2011-09-30</x:v>
      </x:c>
      <x:c r="G2093" s="5" t="n">
        <x:v>791.13</x:v>
      </x:c>
      <x:c r="H2093" s="7" t="n">
        <x:f>G2093/E2093-1</x:f>
        <x:v>-0.14147585458491585</x:v>
      </x:c>
      <x:c r="I2093" s="1" t="n">
        <x:v>1</x:v>
      </x:c>
      <x:c r="J2093" s="1" t="n">
        <x:v>1</x:v>
      </x:c>
      <x:c r="K2093" s="1" t="str">
        <x:v>搜狐/腾讯</x:v>
      </x:c>
    </x:row>
    <x:row r="2094" ht="25" customHeight="1">
      <x:c r="A2094" s="1" t="str">
        <x:v>sz399006</x:v>
      </x:c>
      <x:c r="B2094" s="1" t="str">
        <x:v>创业板指</x:v>
      </x:c>
      <x:c r="C2094" s="1" t="str">
        <x:v>2011-10</x:v>
      </x:c>
      <x:c r="D2094" s="1" t="str">
        <x:v>2011-09-30</x:v>
      </x:c>
      <x:c r="E2094" s="5" t="n">
        <x:v>791.13</x:v>
      </x:c>
      <x:c r="F2094" s="6" t="str">
        <x:v>2011-10-31</x:v>
      </x:c>
      <x:c r="G2094" s="5" t="n">
        <x:v>852.8</x:v>
      </x:c>
      <x:c r="H2094" s="7" t="n">
        <x:f>G2094/E2094-1</x:f>
        <x:v>0.0779517904769127</x:v>
      </x:c>
      <x:c r="I2094" s="1" t="n">
        <x:v>1</x:v>
      </x:c>
      <x:c r="J2094" s="1" t="n">
        <x:v>1</x:v>
      </x:c>
      <x:c r="K2094" s="1" t="str">
        <x:v>搜狐/腾讯</x:v>
      </x:c>
    </x:row>
    <x:row r="2095" ht="25" customHeight="1">
      <x:c r="A2095" s="1" t="str">
        <x:v>sz399006</x:v>
      </x:c>
      <x:c r="B2095" s="1" t="str">
        <x:v>创业板指</x:v>
      </x:c>
      <x:c r="C2095" s="1" t="str">
        <x:v>2011-11</x:v>
      </x:c>
      <x:c r="D2095" s="1" t="str">
        <x:v>2011-10-31</x:v>
      </x:c>
      <x:c r="E2095" s="5" t="n">
        <x:v>852.8</x:v>
      </x:c>
      <x:c r="F2095" s="6" t="str">
        <x:v>2011-11-30</x:v>
      </x:c>
      <x:c r="G2095" s="5" t="n">
        <x:v>838.11</x:v>
      </x:c>
      <x:c r="H2095" s="7" t="n">
        <x:f>G2095/E2095-1</x:f>
        <x:v>-0.017225609756097437</x:v>
      </x:c>
      <x:c r="I2095" s="1" t="n">
        <x:v>1</x:v>
      </x:c>
      <x:c r="J2095" s="1" t="n">
        <x:v>1</x:v>
      </x:c>
      <x:c r="K2095" s="1" t="str">
        <x:v>搜狐/腾讯</x:v>
      </x:c>
    </x:row>
    <x:row r="2096" ht="25" customHeight="1">
      <x:c r="A2096" s="1" t="str">
        <x:v>sz399006</x:v>
      </x:c>
      <x:c r="B2096" s="1" t="str">
        <x:v>创业板指</x:v>
      </x:c>
      <x:c r="C2096" s="1" t="str">
        <x:v>2011-12</x:v>
      </x:c>
      <x:c r="D2096" s="1" t="str">
        <x:v>2011-11-30</x:v>
      </x:c>
      <x:c r="E2096" s="5" t="n">
        <x:v>838.11</x:v>
      </x:c>
      <x:c r="F2096" s="6" t="str">
        <x:v>2011-12-30</x:v>
      </x:c>
      <x:c r="G2096" s="5" t="n">
        <x:v>729.5</x:v>
      </x:c>
      <x:c r="H2096" s="7" t="n">
        <x:f>G2096/E2096-1</x:f>
        <x:v>-0.12958919473577457</x:v>
      </x:c>
      <x:c r="I2096" s="1" t="n">
        <x:v>1</x:v>
      </x:c>
      <x:c r="J2096" s="1" t="n">
        <x:v>1</x:v>
      </x:c>
      <x:c r="K2096" s="1" t="str">
        <x:v>搜狐/腾讯</x:v>
      </x:c>
    </x:row>
    <x:row r="2097" ht="25" customHeight="1">
      <x:c r="A2097" s="1" t="str">
        <x:v>sz399006</x:v>
      </x:c>
      <x:c r="B2097" s="1" t="str">
        <x:v>创业板指</x:v>
      </x:c>
      <x:c r="C2097" s="1" t="str">
        <x:v>2012-01</x:v>
      </x:c>
      <x:c r="D2097" s="1" t="str">
        <x:v>2011-12-30</x:v>
      </x:c>
      <x:c r="E2097" s="5" t="n">
        <x:v>729.5</x:v>
      </x:c>
      <x:c r="F2097" s="6" t="str">
        <x:v>2012-01-31</x:v>
      </x:c>
      <x:c r="G2097" s="5" t="n">
        <x:v>648.68</x:v>
      </x:c>
      <x:c r="H2097" s="7" t="n">
        <x:f>G2097/E2097-1</x:f>
        <x:v>-0.11078821110349557</x:v>
      </x:c>
      <x:c r="I2097" s="1" t="n">
        <x:v>1</x:v>
      </x:c>
      <x:c r="J2097" s="1" t="n">
        <x:v>1</x:v>
      </x:c>
      <x:c r="K2097" s="1" t="str">
        <x:v>搜狐/腾讯</x:v>
      </x:c>
    </x:row>
    <x:row r="2098" ht="25" customHeight="1">
      <x:c r="A2098" s="1" t="str">
        <x:v>sz399006</x:v>
      </x:c>
      <x:c r="B2098" s="1" t="str">
        <x:v>创业板指</x:v>
      </x:c>
      <x:c r="C2098" s="1" t="str">
        <x:v>2012-02</x:v>
      </x:c>
      <x:c r="D2098" s="1" t="str">
        <x:v>2012-01-31</x:v>
      </x:c>
      <x:c r="E2098" s="5" t="n">
        <x:v>648.68</x:v>
      </x:c>
      <x:c r="F2098" s="6" t="str">
        <x:v>2012-02-29</x:v>
      </x:c>
      <x:c r="G2098" s="5" t="n">
        <x:v>735.34</x:v>
      </x:c>
      <x:c r="H2098" s="7" t="n">
        <x:f>G2098/E2098-1</x:f>
        <x:v>0.1335943762718137</x:v>
      </x:c>
      <x:c r="I2098" s="1" t="n">
        <x:v>1</x:v>
      </x:c>
      <x:c r="J2098" s="1" t="n">
        <x:v>1</x:v>
      </x:c>
      <x:c r="K2098" s="1" t="str">
        <x:v>搜狐/腾讯</x:v>
      </x:c>
    </x:row>
    <x:row r="2099" ht="25" customHeight="1">
      <x:c r="A2099" s="1" t="str">
        <x:v>sz399006</x:v>
      </x:c>
      <x:c r="B2099" s="1" t="str">
        <x:v>创业板指</x:v>
      </x:c>
      <x:c r="C2099" s="1" t="str">
        <x:v>2012-03</x:v>
      </x:c>
      <x:c r="D2099" s="1" t="str">
        <x:v>2012-02-29</x:v>
      </x:c>
      <x:c r="E2099" s="5" t="n">
        <x:v>735.34</x:v>
      </x:c>
      <x:c r="F2099" s="6" t="str">
        <x:v>2012-03-30</x:v>
      </x:c>
      <x:c r="G2099" s="5" t="n">
        <x:v>678.52</x:v>
      </x:c>
      <x:c r="H2099" s="7" t="n">
        <x:f>G2099/E2099-1</x:f>
        <x:v>-0.07727037832839234</x:v>
      </x:c>
      <x:c r="I2099" s="1" t="n">
        <x:v>1</x:v>
      </x:c>
      <x:c r="J2099" s="1" t="n">
        <x:v>1</x:v>
      </x:c>
      <x:c r="K2099" s="1" t="str">
        <x:v>搜狐/腾讯</x:v>
      </x:c>
    </x:row>
    <x:row r="2100" ht="25" customHeight="1">
      <x:c r="A2100" s="1" t="str">
        <x:v>sz399006</x:v>
      </x:c>
      <x:c r="B2100" s="1" t="str">
        <x:v>创业板指</x:v>
      </x:c>
      <x:c r="C2100" s="1" t="str">
        <x:v>2012-04</x:v>
      </x:c>
      <x:c r="D2100" s="1" t="str">
        <x:v>2012-03-30</x:v>
      </x:c>
      <x:c r="E2100" s="5" t="n">
        <x:v>678.52</x:v>
      </x:c>
      <x:c r="F2100" s="6" t="str">
        <x:v>2012-04-27</x:v>
      </x:c>
      <x:c r="G2100" s="5" t="n">
        <x:v>685.13</x:v>
      </x:c>
      <x:c r="H2100" s="7" t="n">
        <x:f>G2100/E2100-1</x:f>
        <x:v>0.009741790956788288</x:v>
      </x:c>
      <x:c r="I2100" s="1" t="n">
        <x:v>1</x:v>
      </x:c>
      <x:c r="J2100" s="1" t="n">
        <x:v>1</x:v>
      </x:c>
      <x:c r="K2100" s="1" t="str">
        <x:v>搜狐/腾讯</x:v>
      </x:c>
    </x:row>
    <x:row r="2101" ht="25" customHeight="1">
      <x:c r="A2101" s="1" t="str">
        <x:v>sz399006</x:v>
      </x:c>
      <x:c r="B2101" s="1" t="str">
        <x:v>创业板指</x:v>
      </x:c>
      <x:c r="C2101" s="1" t="str">
        <x:v>2012-05</x:v>
      </x:c>
      <x:c r="D2101" s="1" t="str">
        <x:v>2012-04-27</x:v>
      </x:c>
      <x:c r="E2101" s="5" t="n">
        <x:v>685.13</x:v>
      </x:c>
      <x:c r="F2101" s="6" t="str">
        <x:v>2012-05-31</x:v>
      </x:c>
      <x:c r="G2101" s="5" t="n">
        <x:v>734.45</x:v>
      </x:c>
      <x:c r="H2101" s="7" t="n">
        <x:f>G2101/E2101-1</x:f>
        <x:v>0.0719863383591437</x:v>
      </x:c>
      <x:c r="I2101" s="1" t="n">
        <x:v>1</x:v>
      </x:c>
      <x:c r="J2101" s="1" t="n">
        <x:v>1</x:v>
      </x:c>
      <x:c r="K2101" s="1" t="str">
        <x:v>搜狐/腾讯</x:v>
      </x:c>
    </x:row>
    <x:row r="2102" ht="25" customHeight="1">
      <x:c r="A2102" s="1" t="str">
        <x:v>sz399006</x:v>
      </x:c>
      <x:c r="B2102" s="1" t="str">
        <x:v>创业板指</x:v>
      </x:c>
      <x:c r="C2102" s="1" t="str">
        <x:v>2012-06</x:v>
      </x:c>
      <x:c r="D2102" s="1" t="str">
        <x:v>2012-05-31</x:v>
      </x:c>
      <x:c r="E2102" s="5" t="n">
        <x:v>734.45</x:v>
      </x:c>
      <x:c r="F2102" s="6" t="str">
        <x:v>2012-06-29</x:v>
      </x:c>
      <x:c r="G2102" s="5" t="n">
        <x:v>726.68</x:v>
      </x:c>
      <x:c r="H2102" s="7" t="n">
        <x:f>G2102/E2102-1</x:f>
        <x:v>-0.010579345088161385</x:v>
      </x:c>
      <x:c r="I2102" s="1" t="n">
        <x:v>1</x:v>
      </x:c>
      <x:c r="J2102" s="1" t="n">
        <x:v>1</x:v>
      </x:c>
      <x:c r="K2102" s="1" t="str">
        <x:v>搜狐/腾讯</x:v>
      </x:c>
    </x:row>
    <x:row r="2103" ht="25" customHeight="1">
      <x:c r="A2103" s="1" t="str">
        <x:v>sz399006</x:v>
      </x:c>
      <x:c r="B2103" s="1" t="str">
        <x:v>创业板指</x:v>
      </x:c>
      <x:c r="C2103" s="1" t="str">
        <x:v>2012-07</x:v>
      </x:c>
      <x:c r="D2103" s="1" t="str">
        <x:v>2012-06-29</x:v>
      </x:c>
      <x:c r="E2103" s="5" t="n">
        <x:v>726.68</x:v>
      </x:c>
      <x:c r="F2103" s="6" t="str">
        <x:v>2012-07-31</x:v>
      </x:c>
      <x:c r="G2103" s="5" t="n">
        <x:v>676.96</x:v>
      </x:c>
      <x:c r="H2103" s="7" t="n">
        <x:f>G2103/E2103-1</x:f>
        <x:v>-0.06842076292178112</x:v>
      </x:c>
      <x:c r="I2103" s="1" t="n">
        <x:v>1</x:v>
      </x:c>
      <x:c r="J2103" s="1" t="n">
        <x:v>1</x:v>
      </x:c>
      <x:c r="K2103" s="1" t="str">
        <x:v>搜狐/腾讯</x:v>
      </x:c>
    </x:row>
    <x:row r="2104" ht="25" customHeight="1">
      <x:c r="A2104" s="1" t="str">
        <x:v>sz399006</x:v>
      </x:c>
      <x:c r="B2104" s="1" t="str">
        <x:v>创业板指</x:v>
      </x:c>
      <x:c r="C2104" s="1" t="str">
        <x:v>2012-08</x:v>
      </x:c>
      <x:c r="D2104" s="1" t="str">
        <x:v>2012-07-31</x:v>
      </x:c>
      <x:c r="E2104" s="5" t="n">
        <x:v>676.96</x:v>
      </x:c>
      <x:c r="F2104" s="6" t="str">
        <x:v>2012-08-31</x:v>
      </x:c>
      <x:c r="G2104" s="5" t="n">
        <x:v>706.63</x:v>
      </x:c>
      <x:c r="H2104" s="7" t="n">
        <x:f>G2104/E2104-1</x:f>
        <x:v>0.04382829118411724</x:v>
      </x:c>
      <x:c r="I2104" s="1" t="n">
        <x:v>1</x:v>
      </x:c>
      <x:c r="J2104" s="1" t="n">
        <x:v>1</x:v>
      </x:c>
      <x:c r="K2104" s="1" t="str">
        <x:v>搜狐/腾讯</x:v>
      </x:c>
    </x:row>
    <x:row r="2105" ht="25" customHeight="1">
      <x:c r="A2105" s="1" t="str">
        <x:v>sz399006</x:v>
      </x:c>
      <x:c r="B2105" s="1" t="str">
        <x:v>创业板指</x:v>
      </x:c>
      <x:c r="C2105" s="1" t="str">
        <x:v>2012-09</x:v>
      </x:c>
      <x:c r="D2105" s="1" t="str">
        <x:v>2012-08-31</x:v>
      </x:c>
      <x:c r="E2105" s="5" t="n">
        <x:v>706.63</x:v>
      </x:c>
      <x:c r="F2105" s="6" t="str">
        <x:v>2012-09-28</x:v>
      </x:c>
      <x:c r="G2105" s="5" t="n">
        <x:v>689.64</x:v>
      </x:c>
      <x:c r="H2105" s="7" t="n">
        <x:f>G2105/E2105-1</x:f>
        <x:v>-0.024043700380680155</x:v>
      </x:c>
      <x:c r="I2105" s="1" t="n">
        <x:v>1</x:v>
      </x:c>
      <x:c r="J2105" s="1" t="n">
        <x:v>1</x:v>
      </x:c>
      <x:c r="K2105" s="1" t="str">
        <x:v>搜狐/腾讯</x:v>
      </x:c>
    </x:row>
    <x:row r="2106" ht="25" customHeight="1">
      <x:c r="A2106" s="1" t="str">
        <x:v>sz399006</x:v>
      </x:c>
      <x:c r="B2106" s="1" t="str">
        <x:v>创业板指</x:v>
      </x:c>
      <x:c r="C2106" s="1" t="str">
        <x:v>2012-10</x:v>
      </x:c>
      <x:c r="D2106" s="1" t="str">
        <x:v>2012-09-28</x:v>
      </x:c>
      <x:c r="E2106" s="5" t="n">
        <x:v>689.64</x:v>
      </x:c>
      <x:c r="F2106" s="6" t="str">
        <x:v>2012-10-31</x:v>
      </x:c>
      <x:c r="G2106" s="5" t="n">
        <x:v>691.65</x:v>
      </x:c>
      <x:c r="H2106" s="7" t="n">
        <x:f>G2106/E2106-1</x:f>
        <x:v>0.00291456412041069</x:v>
      </x:c>
      <x:c r="I2106" s="1" t="n">
        <x:v>1</x:v>
      </x:c>
      <x:c r="J2106" s="1" t="n">
        <x:v>1</x:v>
      </x:c>
      <x:c r="K2106" s="1" t="str">
        <x:v>搜狐/腾讯</x:v>
      </x:c>
    </x:row>
    <x:row r="2107" ht="25" customHeight="1">
      <x:c r="A2107" s="1" t="str">
        <x:v>sz399006</x:v>
      </x:c>
      <x:c r="B2107" s="1" t="str">
        <x:v>创业板指</x:v>
      </x:c>
      <x:c r="C2107" s="1" t="str">
        <x:v>2012-11</x:v>
      </x:c>
      <x:c r="D2107" s="1" t="str">
        <x:v>2012-10-31</x:v>
      </x:c>
      <x:c r="E2107" s="5" t="n">
        <x:v>691.65</x:v>
      </x:c>
      <x:c r="F2107" s="6" t="str">
        <x:v>2012-11-30</x:v>
      </x:c>
      <x:c r="G2107" s="5" t="n">
        <x:v>606.77</x:v>
      </x:c>
      <x:c r="H2107" s="7" t="n">
        <x:f>G2107/E2107-1</x:f>
        <x:v>-0.12272102942239571</x:v>
      </x:c>
      <x:c r="I2107" s="1" t="n">
        <x:v>1</x:v>
      </x:c>
      <x:c r="J2107" s="1" t="n">
        <x:v>1</x:v>
      </x:c>
      <x:c r="K2107" s="1" t="str">
        <x:v>搜狐/腾讯</x:v>
      </x:c>
    </x:row>
    <x:row r="2108" ht="25" customHeight="1">
      <x:c r="A2108" s="1" t="str">
        <x:v>sz399006</x:v>
      </x:c>
      <x:c r="B2108" s="1" t="str">
        <x:v>创业板指</x:v>
      </x:c>
      <x:c r="C2108" s="1" t="str">
        <x:v>2012-12</x:v>
      </x:c>
      <x:c r="D2108" s="1" t="str">
        <x:v>2012-11-30</x:v>
      </x:c>
      <x:c r="E2108" s="5" t="n">
        <x:v>606.77</x:v>
      </x:c>
      <x:c r="F2108" s="6" t="str">
        <x:v>2012-12-31</x:v>
      </x:c>
      <x:c r="G2108" s="5" t="n">
        <x:v>713.86</x:v>
      </x:c>
      <x:c r="H2108" s="7" t="n">
        <x:f>G2108/E2108-1</x:f>
        <x:v>0.17649191621207372</x:v>
      </x:c>
      <x:c r="I2108" s="1" t="n">
        <x:v>1</x:v>
      </x:c>
      <x:c r="J2108" s="1" t="n">
        <x:v>1</x:v>
      </x:c>
      <x:c r="K2108" s="1" t="str">
        <x:v>搜狐/腾讯</x:v>
      </x:c>
    </x:row>
    <x:row r="2109" ht="25" customHeight="1">
      <x:c r="A2109" s="1" t="str">
        <x:v>sz399006</x:v>
      </x:c>
      <x:c r="B2109" s="1" t="str">
        <x:v>创业板指</x:v>
      </x:c>
      <x:c r="C2109" s="1" t="str">
        <x:v>2013-01</x:v>
      </x:c>
      <x:c r="D2109" s="1" t="str">
        <x:v>2012-12-31</x:v>
      </x:c>
      <x:c r="E2109" s="5" t="n">
        <x:v>713.86</x:v>
      </x:c>
      <x:c r="F2109" s="6" t="str">
        <x:v>2013-01-31</x:v>
      </x:c>
      <x:c r="G2109" s="5" t="n">
        <x:v>776.01</x:v>
      </x:c>
      <x:c r="H2109" s="7" t="n">
        <x:f>G2109/E2109-1</x:f>
        <x:v>0.08706188888577593</x:v>
      </x:c>
      <x:c r="I2109" s="1" t="n">
        <x:v>1</x:v>
      </x:c>
      <x:c r="J2109" s="1" t="n">
        <x:v>1</x:v>
      </x:c>
      <x:c r="K2109" s="1" t="str">
        <x:v>搜狐/腾讯</x:v>
      </x:c>
    </x:row>
    <x:row r="2110" ht="25" customHeight="1">
      <x:c r="A2110" s="1" t="str">
        <x:v>sz399006</x:v>
      </x:c>
      <x:c r="B2110" s="1" t="str">
        <x:v>创业板指</x:v>
      </x:c>
      <x:c r="C2110" s="1" t="str">
        <x:v>2013-02</x:v>
      </x:c>
      <x:c r="D2110" s="1" t="str">
        <x:v>2013-01-31</x:v>
      </x:c>
      <x:c r="E2110" s="5" t="n">
        <x:v>776.01</x:v>
      </x:c>
      <x:c r="F2110" s="6" t="str">
        <x:v>2013-02-28</x:v>
      </x:c>
      <x:c r="G2110" s="5" t="n">
        <x:v>861.1</x:v>
      </x:c>
      <x:c r="H2110" s="7" t="n">
        <x:f>G2110/E2110-1</x:f>
        <x:v>0.10965064883184494</x:v>
      </x:c>
      <x:c r="I2110" s="1" t="n">
        <x:v>1</x:v>
      </x:c>
      <x:c r="J2110" s="1" t="n">
        <x:v>1</x:v>
      </x:c>
      <x:c r="K2110" s="1" t="str">
        <x:v>搜狐/腾讯</x:v>
      </x:c>
    </x:row>
    <x:row r="2111" ht="25" customHeight="1">
      <x:c r="A2111" s="1" t="str">
        <x:v>sz399006</x:v>
      </x:c>
      <x:c r="B2111" s="1" t="str">
        <x:v>创业板指</x:v>
      </x:c>
      <x:c r="C2111" s="1" t="str">
        <x:v>2013-03</x:v>
      </x:c>
      <x:c r="D2111" s="1" t="str">
        <x:v>2013-02-28</x:v>
      </x:c>
      <x:c r="E2111" s="5" t="n">
        <x:v>861.1</x:v>
      </x:c>
      <x:c r="F2111" s="6" t="str">
        <x:v>2013-03-29</x:v>
      </x:c>
      <x:c r="G2111" s="5" t="n">
        <x:v>866.46</x:v>
      </x:c>
      <x:c r="H2111" s="7" t="n">
        <x:f>G2111/E2111-1</x:f>
        <x:v>0.006224596446405828</x:v>
      </x:c>
      <x:c r="I2111" s="1" t="n">
        <x:v>1</x:v>
      </x:c>
      <x:c r="J2111" s="1" t="n">
        <x:v>1</x:v>
      </x:c>
      <x:c r="K2111" s="1" t="str">
        <x:v>搜狐/腾讯</x:v>
      </x:c>
    </x:row>
    <x:row r="2112" ht="25" customHeight="1">
      <x:c r="A2112" s="1" t="str">
        <x:v>sz399006</x:v>
      </x:c>
      <x:c r="B2112" s="1" t="str">
        <x:v>创业板指</x:v>
      </x:c>
      <x:c r="C2112" s="1" t="str">
        <x:v>2013-04</x:v>
      </x:c>
      <x:c r="D2112" s="1" t="str">
        <x:v>2013-03-29</x:v>
      </x:c>
      <x:c r="E2112" s="5" t="n">
        <x:v>866.46</x:v>
      </x:c>
      <x:c r="F2112" s="6" t="str">
        <x:v>2013-04-26</x:v>
      </x:c>
      <x:c r="G2112" s="5" t="n">
        <x:v>889.38</x:v>
      </x:c>
      <x:c r="H2112" s="7" t="n">
        <x:f>G2112/E2112-1</x:f>
        <x:v>0.026452461740876565</x:v>
      </x:c>
      <x:c r="I2112" s="1" t="n">
        <x:v>1</x:v>
      </x:c>
      <x:c r="J2112" s="1" t="n">
        <x:v>1</x:v>
      </x:c>
      <x:c r="K2112" s="1" t="str">
        <x:v>搜狐/腾讯</x:v>
      </x:c>
    </x:row>
    <x:row r="2113" ht="25" customHeight="1">
      <x:c r="A2113" s="1" t="str">
        <x:v>sz399006</x:v>
      </x:c>
      <x:c r="B2113" s="1" t="str">
        <x:v>创业板指</x:v>
      </x:c>
      <x:c r="C2113" s="1" t="str">
        <x:v>2013-05</x:v>
      </x:c>
      <x:c r="D2113" s="1" t="str">
        <x:v>2013-04-26</x:v>
      </x:c>
      <x:c r="E2113" s="5" t="n">
        <x:v>889.38</x:v>
      </x:c>
      <x:c r="F2113" s="6" t="str">
        <x:v>2013-05-31</x:v>
      </x:c>
      <x:c r="G2113" s="5" t="n">
        <x:v>1073.02</x:v>
      </x:c>
      <x:c r="H2113" s="7" t="n">
        <x:f>G2113/E2113-1</x:f>
        <x:v>0.20648091929209111</x:v>
      </x:c>
      <x:c r="I2113" s="1" t="n">
        <x:v>1</x:v>
      </x:c>
      <x:c r="J2113" s="1" t="n">
        <x:v>1</x:v>
      </x:c>
      <x:c r="K2113" s="1" t="str">
        <x:v>搜狐/腾讯</x:v>
      </x:c>
    </x:row>
    <x:row r="2114" ht="25" customHeight="1">
      <x:c r="A2114" s="1" t="str">
        <x:v>sz399006</x:v>
      </x:c>
      <x:c r="B2114" s="1" t="str">
        <x:v>创业板指</x:v>
      </x:c>
      <x:c r="C2114" s="1" t="str">
        <x:v>2013-06</x:v>
      </x:c>
      <x:c r="D2114" s="1" t="str">
        <x:v>2013-05-31</x:v>
      </x:c>
      <x:c r="E2114" s="5" t="n">
        <x:v>1073.02</x:v>
      </x:c>
      <x:c r="F2114" s="6" t="str">
        <x:v>2013-06-28</x:v>
      </x:c>
      <x:c r="G2114" s="5" t="n">
        <x:v>1011.66</x:v>
      </x:c>
      <x:c r="H2114" s="7" t="n">
        <x:f>G2114/E2114-1</x:f>
        <x:v>-0.05718439544463294</x:v>
      </x:c>
      <x:c r="I2114" s="1" t="n">
        <x:v>1</x:v>
      </x:c>
      <x:c r="J2114" s="1" t="n">
        <x:v>1</x:v>
      </x:c>
      <x:c r="K2114" s="1" t="str">
        <x:v>搜狐/腾讯</x:v>
      </x:c>
    </x:row>
    <x:row r="2115" ht="25" customHeight="1">
      <x:c r="A2115" s="1" t="str">
        <x:v>sz399006</x:v>
      </x:c>
      <x:c r="B2115" s="1" t="str">
        <x:v>创业板指</x:v>
      </x:c>
      <x:c r="C2115" s="1" t="str">
        <x:v>2013-07</x:v>
      </x:c>
      <x:c r="D2115" s="1" t="str">
        <x:v>2013-06-28</x:v>
      </x:c>
      <x:c r="E2115" s="5" t="n">
        <x:v>1011.66</x:v>
      </x:c>
      <x:c r="F2115" s="6" t="str">
        <x:v>2013-07-31</x:v>
      </x:c>
      <x:c r="G2115" s="5" t="n">
        <x:v>1134.02</x:v>
      </x:c>
      <x:c r="H2115" s="7" t="n">
        <x:f>G2115/E2115-1</x:f>
        <x:v>0.12094972619259448</x:v>
      </x:c>
      <x:c r="I2115" s="1" t="n">
        <x:v>1</x:v>
      </x:c>
      <x:c r="J2115" s="1" t="n">
        <x:v>1</x:v>
      </x:c>
      <x:c r="K2115" s="1" t="str">
        <x:v>搜狐/腾讯</x:v>
      </x:c>
    </x:row>
    <x:row r="2116" ht="25" customHeight="1">
      <x:c r="A2116" s="1" t="str">
        <x:v>sz399006</x:v>
      </x:c>
      <x:c r="B2116" s="1" t="str">
        <x:v>创业板指</x:v>
      </x:c>
      <x:c r="C2116" s="1" t="str">
        <x:v>2013-08</x:v>
      </x:c>
      <x:c r="D2116" s="1" t="str">
        <x:v>2013-07-31</x:v>
      </x:c>
      <x:c r="E2116" s="5" t="n">
        <x:v>1134.02</x:v>
      </x:c>
      <x:c r="F2116" s="6" t="str">
        <x:v>2013-08-30</x:v>
      </x:c>
      <x:c r="G2116" s="5" t="n">
        <x:v>1185.15</x:v>
      </x:c>
      <x:c r="H2116" s="7" t="n">
        <x:f>G2116/E2116-1</x:f>
        <x:v>0.04508738822948466</x:v>
      </x:c>
      <x:c r="I2116" s="1" t="n">
        <x:v>1</x:v>
      </x:c>
      <x:c r="J2116" s="1" t="n">
        <x:v>1</x:v>
      </x:c>
      <x:c r="K2116" s="1" t="str">
        <x:v>搜狐/腾讯</x:v>
      </x:c>
    </x:row>
    <x:row r="2117" ht="25" customHeight="1">
      <x:c r="A2117" s="1" t="str">
        <x:v>sz399006</x:v>
      </x:c>
      <x:c r="B2117" s="1" t="str">
        <x:v>创业板指</x:v>
      </x:c>
      <x:c r="C2117" s="1" t="str">
        <x:v>2013-09</x:v>
      </x:c>
      <x:c r="D2117" s="1" t="str">
        <x:v>2013-08-30</x:v>
      </x:c>
      <x:c r="E2117" s="5" t="n">
        <x:v>1185.15</x:v>
      </x:c>
      <x:c r="F2117" s="6" t="str">
        <x:v>2013-09-30</x:v>
      </x:c>
      <x:c r="G2117" s="5" t="n">
        <x:v>1367.91</x:v>
      </x:c>
      <x:c r="H2117" s="7" t="n">
        <x:f>G2117/E2117-1</x:f>
        <x:v>0.15420832805973927</x:v>
      </x:c>
      <x:c r="I2117" s="1" t="n">
        <x:v>1</x:v>
      </x:c>
      <x:c r="J2117" s="1" t="n">
        <x:v>1</x:v>
      </x:c>
      <x:c r="K2117" s="1" t="str">
        <x:v>搜狐/腾讯</x:v>
      </x:c>
    </x:row>
    <x:row r="2118" ht="25" customHeight="1">
      <x:c r="A2118" s="1" t="str">
        <x:v>sz399006</x:v>
      </x:c>
      <x:c r="B2118" s="1" t="str">
        <x:v>创业板指</x:v>
      </x:c>
      <x:c r="C2118" s="1" t="str">
        <x:v>2013-10</x:v>
      </x:c>
      <x:c r="D2118" s="1" t="str">
        <x:v>2013-09-30</x:v>
      </x:c>
      <x:c r="E2118" s="5" t="n">
        <x:v>1367.91</x:v>
      </x:c>
      <x:c r="F2118" s="6" t="str">
        <x:v>2013-10-31</x:v>
      </x:c>
      <x:c r="G2118" s="5" t="n">
        <x:v>1235.56</x:v>
      </x:c>
      <x:c r="H2118" s="7" t="n">
        <x:f>G2118/E2118-1</x:f>
        <x:v>-0.09675344138137754</x:v>
      </x:c>
      <x:c r="I2118" s="1" t="n">
        <x:v>1</x:v>
      </x:c>
      <x:c r="J2118" s="1" t="n">
        <x:v>1</x:v>
      </x:c>
      <x:c r="K2118" s="1" t="str">
        <x:v>搜狐/腾讯</x:v>
      </x:c>
    </x:row>
    <x:row r="2119" ht="25" customHeight="1">
      <x:c r="A2119" s="1" t="str">
        <x:v>sz399006</x:v>
      </x:c>
      <x:c r="B2119" s="1" t="str">
        <x:v>创业板指</x:v>
      </x:c>
      <x:c r="C2119" s="1" t="str">
        <x:v>2013-11</x:v>
      </x:c>
      <x:c r="D2119" s="1" t="str">
        <x:v>2013-10-31</x:v>
      </x:c>
      <x:c r="E2119" s="5" t="n">
        <x:v>1235.56</x:v>
      </x:c>
      <x:c r="F2119" s="6" t="str">
        <x:v>2013-11-29</x:v>
      </x:c>
      <x:c r="G2119" s="5" t="n">
        <x:v>1366.83</x:v>
      </x:c>
      <x:c r="H2119" s="7" t="n">
        <x:f>G2119/E2119-1</x:f>
        <x:v>0.10624332286574512</x:v>
      </x:c>
      <x:c r="I2119" s="1" t="n">
        <x:v>1</x:v>
      </x:c>
      <x:c r="J2119" s="1" t="n">
        <x:v>1</x:v>
      </x:c>
      <x:c r="K2119" s="1" t="str">
        <x:v>搜狐/腾讯</x:v>
      </x:c>
    </x:row>
    <x:row r="2120" ht="25" customHeight="1">
      <x:c r="A2120" s="1" t="str">
        <x:v>sz399006</x:v>
      </x:c>
      <x:c r="B2120" s="1" t="str">
        <x:v>创业板指</x:v>
      </x:c>
      <x:c r="C2120" s="1" t="str">
        <x:v>2013-12</x:v>
      </x:c>
      <x:c r="D2120" s="1" t="str">
        <x:v>2013-11-29</x:v>
      </x:c>
      <x:c r="E2120" s="5" t="n">
        <x:v>1366.83</x:v>
      </x:c>
      <x:c r="F2120" s="6" t="str">
        <x:v>2013-12-31</x:v>
      </x:c>
      <x:c r="G2120" s="5" t="n">
        <x:v>1304.44</x:v>
      </x:c>
      <x:c r="H2120" s="7" t="n">
        <x:f>G2120/E2120-1</x:f>
        <x:v>-0.04564576428670708</x:v>
      </x:c>
      <x:c r="I2120" s="1" t="n">
        <x:v>1</x:v>
      </x:c>
      <x:c r="J2120" s="1" t="n">
        <x:v>1</x:v>
      </x:c>
      <x:c r="K2120" s="1" t="str">
        <x:v>搜狐/腾讯</x:v>
      </x:c>
    </x:row>
    <x:row r="2121" ht="25" customHeight="1">
      <x:c r="A2121" s="1" t="str">
        <x:v>sz399006</x:v>
      </x:c>
      <x:c r="B2121" s="1" t="str">
        <x:v>创业板指</x:v>
      </x:c>
      <x:c r="C2121" s="1" t="str">
        <x:v>2014-01</x:v>
      </x:c>
      <x:c r="D2121" s="1" t="str">
        <x:v>2013-12-31</x:v>
      </x:c>
      <x:c r="E2121" s="5" t="n">
        <x:v>1304.44</x:v>
      </x:c>
      <x:c r="F2121" s="6" t="str">
        <x:v>2014-01-30</x:v>
      </x:c>
      <x:c r="G2121" s="5" t="n">
        <x:v>1495.98</x:v>
      </x:c>
      <x:c r="H2121" s="7" t="n">
        <x:f>G2121/E2121-1</x:f>
        <x:v>0.14683695685504894</x:v>
      </x:c>
      <x:c r="I2121" s="1" t="n">
        <x:v>1</x:v>
      </x:c>
      <x:c r="J2121" s="1" t="n">
        <x:v>1</x:v>
      </x:c>
      <x:c r="K2121" s="1" t="str">
        <x:v>搜狐/腾讯</x:v>
      </x:c>
    </x:row>
    <x:row r="2122" ht="25" customHeight="1">
      <x:c r="A2122" s="1" t="str">
        <x:v>sz399006</x:v>
      </x:c>
      <x:c r="B2122" s="1" t="str">
        <x:v>创业板指</x:v>
      </x:c>
      <x:c r="C2122" s="1" t="str">
        <x:v>2014-02</x:v>
      </x:c>
      <x:c r="D2122" s="1" t="str">
        <x:v>2014-01-30</x:v>
      </x:c>
      <x:c r="E2122" s="5" t="n">
        <x:v>1495.98</x:v>
      </x:c>
      <x:c r="F2122" s="6" t="str">
        <x:v>2014-02-28</x:v>
      </x:c>
      <x:c r="G2122" s="5" t="n">
        <x:v>1434.89</x:v>
      </x:c>
      <x:c r="H2122" s="7" t="n">
        <x:f>G2122/E2122-1</x:f>
        <x:v>-0.04083610743459132</x:v>
      </x:c>
      <x:c r="I2122" s="1" t="n">
        <x:v>1</x:v>
      </x:c>
      <x:c r="J2122" s="1" t="n">
        <x:v>1</x:v>
      </x:c>
      <x:c r="K2122" s="1" t="str">
        <x:v>搜狐/腾讯</x:v>
      </x:c>
    </x:row>
    <x:row r="2123" ht="25" customHeight="1">
      <x:c r="A2123" s="1" t="str">
        <x:v>sz399006</x:v>
      </x:c>
      <x:c r="B2123" s="1" t="str">
        <x:v>创业板指</x:v>
      </x:c>
      <x:c r="C2123" s="1" t="str">
        <x:v>2014-03</x:v>
      </x:c>
      <x:c r="D2123" s="1" t="str">
        <x:v>2014-02-28</x:v>
      </x:c>
      <x:c r="E2123" s="5" t="n">
        <x:v>1434.89</x:v>
      </x:c>
      <x:c r="F2123" s="6" t="str">
        <x:v>2014-03-31</x:v>
      </x:c>
      <x:c r="G2123" s="5" t="n">
        <x:v>1327.8</x:v>
      </x:c>
      <x:c r="H2123" s="7" t="n">
        <x:f>G2123/E2123-1</x:f>
        <x:v>-0.07463289868909817</x:v>
      </x:c>
      <x:c r="I2123" s="1" t="n">
        <x:v>1</x:v>
      </x:c>
      <x:c r="J2123" s="1" t="n">
        <x:v>1</x:v>
      </x:c>
      <x:c r="K2123" s="1" t="str">
        <x:v>搜狐/腾讯</x:v>
      </x:c>
    </x:row>
    <x:row r="2124" ht="25" customHeight="1">
      <x:c r="A2124" s="1" t="str">
        <x:v>sz399006</x:v>
      </x:c>
      <x:c r="B2124" s="1" t="str">
        <x:v>创业板指</x:v>
      </x:c>
      <x:c r="C2124" s="1" t="str">
        <x:v>2014-04</x:v>
      </x:c>
      <x:c r="D2124" s="1" t="str">
        <x:v>2014-03-31</x:v>
      </x:c>
      <x:c r="E2124" s="5" t="n">
        <x:v>1327.8</x:v>
      </x:c>
      <x:c r="F2124" s="6" t="str">
        <x:v>2014-04-30</x:v>
      </x:c>
      <x:c r="G2124" s="5" t="n">
        <x:v>1283.21</x:v>
      </x:c>
      <x:c r="H2124" s="7" t="n">
        <x:f>G2124/E2124-1</x:f>
        <x:v>-0.03358186473866542</x:v>
      </x:c>
      <x:c r="I2124" s="1" t="n">
        <x:v>1</x:v>
      </x:c>
      <x:c r="J2124" s="1" t="n">
        <x:v>1</x:v>
      </x:c>
      <x:c r="K2124" s="1" t="str">
        <x:v>搜狐/腾讯</x:v>
      </x:c>
    </x:row>
    <x:row r="2125" ht="25" customHeight="1">
      <x:c r="A2125" s="1" t="str">
        <x:v>sz399006</x:v>
      </x:c>
      <x:c r="B2125" s="1" t="str">
        <x:v>创业板指</x:v>
      </x:c>
      <x:c r="C2125" s="1" t="str">
        <x:v>2014-05</x:v>
      </x:c>
      <x:c r="D2125" s="1" t="str">
        <x:v>2014-04-30</x:v>
      </x:c>
      <x:c r="E2125" s="5" t="n">
        <x:v>1283.21</x:v>
      </x:c>
      <x:c r="F2125" s="6" t="str">
        <x:v>2014-05-30</x:v>
      </x:c>
      <x:c r="G2125" s="5" t="n">
        <x:v>1318.13</x:v>
      </x:c>
      <x:c r="H2125" s="7" t="n">
        <x:f>G2125/E2125-1</x:f>
        <x:v>0.027213004886183834</x:v>
      </x:c>
      <x:c r="I2125" s="1" t="n">
        <x:v>1</x:v>
      </x:c>
      <x:c r="J2125" s="1" t="n">
        <x:v>1</x:v>
      </x:c>
      <x:c r="K2125" s="1" t="str">
        <x:v>搜狐/腾讯</x:v>
      </x:c>
    </x:row>
    <x:row r="2126" ht="25" customHeight="1">
      <x:c r="A2126" s="1" t="str">
        <x:v>sz399006</x:v>
      </x:c>
      <x:c r="B2126" s="1" t="str">
        <x:v>创业板指</x:v>
      </x:c>
      <x:c r="C2126" s="1" t="str">
        <x:v>2014-06</x:v>
      </x:c>
      <x:c r="D2126" s="1" t="str">
        <x:v>2014-05-30</x:v>
      </x:c>
      <x:c r="E2126" s="5" t="n">
        <x:v>1318.13</x:v>
      </x:c>
      <x:c r="F2126" s="6" t="str">
        <x:v>2014-06-30</x:v>
      </x:c>
      <x:c r="G2126" s="5" t="n">
        <x:v>1404.71</x:v>
      </x:c>
      <x:c r="H2126" s="7" t="n">
        <x:f>G2126/E2126-1</x:f>
        <x:v>0.06568396136951593</x:v>
      </x:c>
      <x:c r="I2126" s="1" t="n">
        <x:v>1</x:v>
      </x:c>
      <x:c r="J2126" s="1" t="n">
        <x:v>1</x:v>
      </x:c>
      <x:c r="K2126" s="1" t="str">
        <x:v>搜狐/腾讯</x:v>
      </x:c>
    </x:row>
    <x:row r="2127" ht="25" customHeight="1">
      <x:c r="A2127" s="1" t="str">
        <x:v>sz399006</x:v>
      </x:c>
      <x:c r="B2127" s="1" t="str">
        <x:v>创业板指</x:v>
      </x:c>
      <x:c r="C2127" s="1" t="str">
        <x:v>2014-07</x:v>
      </x:c>
      <x:c r="D2127" s="1" t="str">
        <x:v>2014-06-30</x:v>
      </x:c>
      <x:c r="E2127" s="5" t="n">
        <x:v>1404.71</x:v>
      </x:c>
      <x:c r="F2127" s="6" t="str">
        <x:v>2014-07-31</x:v>
      </x:c>
      <x:c r="G2127" s="5" t="n">
        <x:v>1344.54</x:v>
      </x:c>
      <x:c r="H2127" s="7" t="n">
        <x:f>G2127/E2127-1</x:f>
        <x:v>-0.04283446405307867</x:v>
      </x:c>
      <x:c r="I2127" s="1" t="n">
        <x:v>1</x:v>
      </x:c>
      <x:c r="J2127" s="1" t="n">
        <x:v>1</x:v>
      </x:c>
      <x:c r="K2127" s="1" t="str">
        <x:v>搜狐/腾讯</x:v>
      </x:c>
    </x:row>
    <x:row r="2128" ht="25" customHeight="1">
      <x:c r="A2128" s="1" t="str">
        <x:v>sz399006</x:v>
      </x:c>
      <x:c r="B2128" s="1" t="str">
        <x:v>创业板指</x:v>
      </x:c>
      <x:c r="C2128" s="1" t="str">
        <x:v>2014-08</x:v>
      </x:c>
      <x:c r="D2128" s="1" t="str">
        <x:v>2014-07-31</x:v>
      </x:c>
      <x:c r="E2128" s="5" t="n">
        <x:v>1344.54</x:v>
      </x:c>
      <x:c r="F2128" s="6" t="str">
        <x:v>2014-08-29</x:v>
      </x:c>
      <x:c r="G2128" s="5" t="n">
        <x:v>1424.47</x:v>
      </x:c>
      <x:c r="H2128" s="7" t="n">
        <x:f>G2128/E2128-1</x:f>
        <x:v>0.05944784089725852</x:v>
      </x:c>
      <x:c r="I2128" s="1" t="n">
        <x:v>1</x:v>
      </x:c>
      <x:c r="J2128" s="1" t="n">
        <x:v>1</x:v>
      </x:c>
      <x:c r="K2128" s="1" t="str">
        <x:v>搜狐/腾讯</x:v>
      </x:c>
    </x:row>
    <x:row r="2129" ht="25" customHeight="1">
      <x:c r="A2129" s="1" t="str">
        <x:v>sz399006</x:v>
      </x:c>
      <x:c r="B2129" s="1" t="str">
        <x:v>创业板指</x:v>
      </x:c>
      <x:c r="C2129" s="1" t="str">
        <x:v>2014-09</x:v>
      </x:c>
      <x:c r="D2129" s="1" t="str">
        <x:v>2014-08-29</x:v>
      </x:c>
      <x:c r="E2129" s="5" t="n">
        <x:v>1424.47</x:v>
      </x:c>
      <x:c r="F2129" s="6" t="str">
        <x:v>2014-09-30</x:v>
      </x:c>
      <x:c r="G2129" s="5" t="n">
        <x:v>1540.87</x:v>
      </x:c>
      <x:c r="H2129" s="7" t="n">
        <x:f>G2129/E2129-1</x:f>
        <x:v>0.08171460262413377</x:v>
      </x:c>
      <x:c r="I2129" s="1" t="n">
        <x:v>1</x:v>
      </x:c>
      <x:c r="J2129" s="1" t="n">
        <x:v>1</x:v>
      </x:c>
      <x:c r="K2129" s="1" t="str">
        <x:v>搜狐/腾讯</x:v>
      </x:c>
    </x:row>
    <x:row r="2130" ht="25" customHeight="1">
      <x:c r="A2130" s="1" t="str">
        <x:v>sz399006</x:v>
      </x:c>
      <x:c r="B2130" s="1" t="str">
        <x:v>创业板指</x:v>
      </x:c>
      <x:c r="C2130" s="1" t="str">
        <x:v>2014-10</x:v>
      </x:c>
      <x:c r="D2130" s="1" t="str">
        <x:v>2014-09-30</x:v>
      </x:c>
      <x:c r="E2130" s="5" t="n">
        <x:v>1540.87</x:v>
      </x:c>
      <x:c r="F2130" s="6" t="str">
        <x:v>2014-10-31</x:v>
      </x:c>
      <x:c r="G2130" s="5" t="n">
        <x:v>1513.27</x:v>
      </x:c>
      <x:c r="H2130" s="7" t="n">
        <x:f>G2130/E2130-1</x:f>
        <x:v>-0.017911958828453978</x:v>
      </x:c>
      <x:c r="I2130" s="1" t="n">
        <x:v>1</x:v>
      </x:c>
      <x:c r="J2130" s="1" t="n">
        <x:v>1</x:v>
      </x:c>
      <x:c r="K2130" s="1" t="str">
        <x:v>搜狐/腾讯</x:v>
      </x:c>
    </x:row>
    <x:row r="2131" ht="25" customHeight="1">
      <x:c r="A2131" s="1" t="str">
        <x:v>sz399006</x:v>
      </x:c>
      <x:c r="B2131" s="1" t="str">
        <x:v>创业板指</x:v>
      </x:c>
      <x:c r="C2131" s="1" t="str">
        <x:v>2014-11</x:v>
      </x:c>
      <x:c r="D2131" s="1" t="str">
        <x:v>2014-10-31</x:v>
      </x:c>
      <x:c r="E2131" s="5" t="n">
        <x:v>1513.27</x:v>
      </x:c>
      <x:c r="F2131" s="6" t="str">
        <x:v>2014-11-28</x:v>
      </x:c>
      <x:c r="G2131" s="5" t="n">
        <x:v>1570.85</x:v>
      </x:c>
      <x:c r="H2131" s="7" t="n">
        <x:f>G2131/E2131-1</x:f>
        <x:v>0.03805005055277633</x:v>
      </x:c>
      <x:c r="I2131" s="1" t="n">
        <x:v>1</x:v>
      </x:c>
      <x:c r="J2131" s="1" t="n">
        <x:v>1</x:v>
      </x:c>
      <x:c r="K2131" s="1" t="str">
        <x:v>搜狐/腾讯</x:v>
      </x:c>
    </x:row>
    <x:row r="2132" ht="25" customHeight="1">
      <x:c r="A2132" s="1" t="str">
        <x:v>sz399006</x:v>
      </x:c>
      <x:c r="B2132" s="1" t="str">
        <x:v>创业板指</x:v>
      </x:c>
      <x:c r="C2132" s="1" t="str">
        <x:v>2014-12</x:v>
      </x:c>
      <x:c r="D2132" s="1" t="str">
        <x:v>2014-11-28</x:v>
      </x:c>
      <x:c r="E2132" s="5" t="n">
        <x:v>1570.85</x:v>
      </x:c>
      <x:c r="F2132" s="6" t="str">
        <x:v>2014-12-31</x:v>
      </x:c>
      <x:c r="G2132" s="5" t="n">
        <x:v>1471.76</x:v>
      </x:c>
      <x:c r="H2132" s="7" t="n">
        <x:f>G2132/E2132-1</x:f>
        <x:v>-0.06308049781965175</x:v>
      </x:c>
      <x:c r="I2132" s="1" t="n">
        <x:v>1</x:v>
      </x:c>
      <x:c r="J2132" s="1" t="n">
        <x:v>1</x:v>
      </x:c>
      <x:c r="K2132" s="1" t="str">
        <x:v>搜狐/腾讯</x:v>
      </x:c>
    </x:row>
    <x:row r="2133" ht="25" customHeight="1">
      <x:c r="A2133" s="1" t="str">
        <x:v>sz399006</x:v>
      </x:c>
      <x:c r="B2133" s="1" t="str">
        <x:v>创业板指</x:v>
      </x:c>
      <x:c r="C2133" s="1" t="str">
        <x:v>2015-01</x:v>
      </x:c>
      <x:c r="D2133" s="1" t="str">
        <x:v>2014-12-31</x:v>
      </x:c>
      <x:c r="E2133" s="5" t="n">
        <x:v>1471.76</x:v>
      </x:c>
      <x:c r="F2133" s="6" t="str">
        <x:v>2015-01-30</x:v>
      </x:c>
      <x:c r="G2133" s="5" t="n">
        <x:v>1680.58</x:v>
      </x:c>
      <x:c r="H2133" s="7" t="n">
        <x:f>G2133/E2133-1</x:f>
        <x:v>0.14188454639343373</x:v>
      </x:c>
      <x:c r="I2133" s="1" t="n">
        <x:v>1</x:v>
      </x:c>
      <x:c r="J2133" s="1" t="n">
        <x:v>1</x:v>
      </x:c>
      <x:c r="K2133" s="1" t="str">
        <x:v>搜狐/腾讯</x:v>
      </x:c>
    </x:row>
    <x:row r="2134" ht="25" customHeight="1">
      <x:c r="A2134" s="1" t="str">
        <x:v>sz399006</x:v>
      </x:c>
      <x:c r="B2134" s="1" t="str">
        <x:v>创业板指</x:v>
      </x:c>
      <x:c r="C2134" s="1" t="str">
        <x:v>2015-02</x:v>
      </x:c>
      <x:c r="D2134" s="1" t="str">
        <x:v>2015-01-30</x:v>
      </x:c>
      <x:c r="E2134" s="5" t="n">
        <x:v>1680.58</x:v>
      </x:c>
      <x:c r="F2134" s="6" t="str">
        <x:v>2015-02-27</x:v>
      </x:c>
      <x:c r="G2134" s="5" t="n">
        <x:v>1928.04</x:v>
      </x:c>
      <x:c r="H2134" s="7" t="n">
        <x:f>G2134/E2134-1</x:f>
        <x:v>0.14724678384843326</x:v>
      </x:c>
      <x:c r="I2134" s="1" t="n">
        <x:v>1</x:v>
      </x:c>
      <x:c r="J2134" s="1" t="n">
        <x:v>1</x:v>
      </x:c>
      <x:c r="K2134" s="1" t="str">
        <x:v>搜狐/腾讯</x:v>
      </x:c>
    </x:row>
    <x:row r="2135" ht="25" customHeight="1">
      <x:c r="A2135" s="1" t="str">
        <x:v>sz399006</x:v>
      </x:c>
      <x:c r="B2135" s="1" t="str">
        <x:v>创业板指</x:v>
      </x:c>
      <x:c r="C2135" s="1" t="str">
        <x:v>2015-03</x:v>
      </x:c>
      <x:c r="D2135" s="1" t="str">
        <x:v>2015-02-27</x:v>
      </x:c>
      <x:c r="E2135" s="5" t="n">
        <x:v>1928.04</x:v>
      </x:c>
      <x:c r="F2135" s="6" t="str">
        <x:v>2015-03-31</x:v>
      </x:c>
      <x:c r="G2135" s="5" t="n">
        <x:v>2335.17</x:v>
      </x:c>
      <x:c r="H2135" s="7" t="n">
        <x:f>G2135/E2135-1</x:f>
        <x:v>0.2111626314806747</x:v>
      </x:c>
      <x:c r="I2135" s="1" t="n">
        <x:v>1</x:v>
      </x:c>
      <x:c r="J2135" s="1" t="n">
        <x:v>1</x:v>
      </x:c>
      <x:c r="K2135" s="1" t="str">
        <x:v>搜狐/腾讯</x:v>
      </x:c>
    </x:row>
    <x:row r="2136" ht="25" customHeight="1">
      <x:c r="A2136" s="1" t="str">
        <x:v>sz399006</x:v>
      </x:c>
      <x:c r="B2136" s="1" t="str">
        <x:v>创业板指</x:v>
      </x:c>
      <x:c r="C2136" s="1" t="str">
        <x:v>2015-04</x:v>
      </x:c>
      <x:c r="D2136" s="1" t="str">
        <x:v>2015-03-31</x:v>
      </x:c>
      <x:c r="E2136" s="5" t="n">
        <x:v>2335.17</x:v>
      </x:c>
      <x:c r="F2136" s="6" t="str">
        <x:v>2015-04-30</x:v>
      </x:c>
      <x:c r="G2136" s="5" t="n">
        <x:v>2857.89</x:v>
      </x:c>
      <x:c r="H2136" s="7" t="n">
        <x:f>G2136/E2136-1</x:f>
        <x:v>0.2238466578450391</x:v>
      </x:c>
      <x:c r="I2136" s="1" t="n">
        <x:v>1</x:v>
      </x:c>
      <x:c r="J2136" s="1" t="n">
        <x:v>1</x:v>
      </x:c>
      <x:c r="K2136" s="1" t="str">
        <x:v>搜狐/腾讯</x:v>
      </x:c>
    </x:row>
    <x:row r="2137" ht="25" customHeight="1">
      <x:c r="A2137" s="1" t="str">
        <x:v>sz399006</x:v>
      </x:c>
      <x:c r="B2137" s="1" t="str">
        <x:v>创业板指</x:v>
      </x:c>
      <x:c r="C2137" s="1" t="str">
        <x:v>2015-05</x:v>
      </x:c>
      <x:c r="D2137" s="1" t="str">
        <x:v>2015-04-30</x:v>
      </x:c>
      <x:c r="E2137" s="5" t="n">
        <x:v>2857.89</x:v>
      </x:c>
      <x:c r="F2137" s="6" t="str">
        <x:v>2015-05-29</x:v>
      </x:c>
      <x:c r="G2137" s="5" t="n">
        <x:v>3542.84</x:v>
      </x:c>
      <x:c r="H2137" s="7" t="n">
        <x:f>G2137/E2137-1</x:f>
        <x:v>0.239669826340412</x:v>
      </x:c>
      <x:c r="I2137" s="1" t="n">
        <x:v>1</x:v>
      </x:c>
      <x:c r="J2137" s="1" t="n">
        <x:v>1</x:v>
      </x:c>
      <x:c r="K2137" s="1" t="str">
        <x:v>搜狐/腾讯</x:v>
      </x:c>
    </x:row>
    <x:row r="2138" ht="25" customHeight="1">
      <x:c r="A2138" s="1" t="str">
        <x:v>sz399006</x:v>
      </x:c>
      <x:c r="B2138" s="1" t="str">
        <x:v>创业板指</x:v>
      </x:c>
      <x:c r="C2138" s="1" t="str">
        <x:v>2015-06</x:v>
      </x:c>
      <x:c r="D2138" s="1" t="str">
        <x:v>2015-05-29</x:v>
      </x:c>
      <x:c r="E2138" s="5" t="n">
        <x:v>3542.84</x:v>
      </x:c>
      <x:c r="F2138" s="6" t="str">
        <x:v>2015-06-30</x:v>
      </x:c>
      <x:c r="G2138" s="5" t="n">
        <x:v>2858.61</x:v>
      </x:c>
      <x:c r="H2138" s="7" t="n">
        <x:f>G2138/E2138-1</x:f>
        <x:v>-0.19313036998566124</x:v>
      </x:c>
      <x:c r="I2138" s="1" t="n">
        <x:v>1</x:v>
      </x:c>
      <x:c r="J2138" s="1" t="n">
        <x:v>1</x:v>
      </x:c>
      <x:c r="K2138" s="1" t="str">
        <x:v>搜狐/腾讯</x:v>
      </x:c>
    </x:row>
    <x:row r="2139" ht="25" customHeight="1">
      <x:c r="A2139" s="1" t="str">
        <x:v>sz399006</x:v>
      </x:c>
      <x:c r="B2139" s="1" t="str">
        <x:v>创业板指</x:v>
      </x:c>
      <x:c r="C2139" s="1" t="str">
        <x:v>2015-07</x:v>
      </x:c>
      <x:c r="D2139" s="1" t="str">
        <x:v>2015-06-30</x:v>
      </x:c>
      <x:c r="E2139" s="5" t="n">
        <x:v>2858.61</x:v>
      </x:c>
      <x:c r="F2139" s="6" t="str">
        <x:v>2015-07-31</x:v>
      </x:c>
      <x:c r="G2139" s="5" t="n">
        <x:v>2539.84</x:v>
      </x:c>
      <x:c r="H2139" s="7" t="n">
        <x:f>G2139/E2139-1</x:f>
        <x:v>-0.11151223846554792</x:v>
      </x:c>
      <x:c r="I2139" s="1" t="n">
        <x:v>1</x:v>
      </x:c>
      <x:c r="J2139" s="1" t="n">
        <x:v>1</x:v>
      </x:c>
      <x:c r="K2139" s="1" t="str">
        <x:v>搜狐/腾讯</x:v>
      </x:c>
    </x:row>
    <x:row r="2140" ht="25" customHeight="1">
      <x:c r="A2140" s="1" t="str">
        <x:v>sz399006</x:v>
      </x:c>
      <x:c r="B2140" s="1" t="str">
        <x:v>创业板指</x:v>
      </x:c>
      <x:c r="C2140" s="1" t="str">
        <x:v>2015-08</x:v>
      </x:c>
      <x:c r="D2140" s="1" t="str">
        <x:v>2015-07-31</x:v>
      </x:c>
      <x:c r="E2140" s="5" t="n">
        <x:v>2539.84</x:v>
      </x:c>
      <x:c r="F2140" s="6" t="str">
        <x:v>2015-08-31</x:v>
      </x:c>
      <x:c r="G2140" s="5" t="n">
        <x:v>1996.87</x:v>
      </x:c>
      <x:c r="H2140" s="7" t="n">
        <x:f>G2140/E2140-1</x:f>
        <x:v>-0.21378118306664995</x:v>
      </x:c>
      <x:c r="I2140" s="1" t="n">
        <x:v>1</x:v>
      </x:c>
      <x:c r="J2140" s="1" t="n">
        <x:v>1</x:v>
      </x:c>
      <x:c r="K2140" s="1" t="str">
        <x:v>搜狐/腾讯</x:v>
      </x:c>
    </x:row>
    <x:row r="2141" ht="25" customHeight="1">
      <x:c r="A2141" s="1" t="str">
        <x:v>sz399006</x:v>
      </x:c>
      <x:c r="B2141" s="1" t="str">
        <x:v>创业板指</x:v>
      </x:c>
      <x:c r="C2141" s="1" t="str">
        <x:v>2015-09</x:v>
      </x:c>
      <x:c r="D2141" s="1" t="str">
        <x:v>2015-08-31</x:v>
      </x:c>
      <x:c r="E2141" s="5" t="n">
        <x:v>1996.87</x:v>
      </x:c>
      <x:c r="F2141" s="6" t="str">
        <x:v>2015-09-30</x:v>
      </x:c>
      <x:c r="G2141" s="5" t="n">
        <x:v>2082.67</x:v>
      </x:c>
      <x:c r="H2141" s="7" t="n">
        <x:f>G2141/E2141-1</x:f>
        <x:v>0.04296724373644767</x:v>
      </x:c>
      <x:c r="I2141" s="1" t="n">
        <x:v>1</x:v>
      </x:c>
      <x:c r="J2141" s="1" t="n">
        <x:v>1</x:v>
      </x:c>
      <x:c r="K2141" s="1" t="str">
        <x:v>搜狐/腾讯</x:v>
      </x:c>
    </x:row>
    <x:row r="2142" ht="25" customHeight="1">
      <x:c r="A2142" s="1" t="str">
        <x:v>sz399006</x:v>
      </x:c>
      <x:c r="B2142" s="1" t="str">
        <x:v>创业板指</x:v>
      </x:c>
      <x:c r="C2142" s="1" t="str">
        <x:v>2015-10</x:v>
      </x:c>
      <x:c r="D2142" s="1" t="str">
        <x:v>2015-09-30</x:v>
      </x:c>
      <x:c r="E2142" s="5" t="n">
        <x:v>2082.67</x:v>
      </x:c>
      <x:c r="F2142" s="6" t="str">
        <x:v>2015-10-30</x:v>
      </x:c>
      <x:c r="G2142" s="5" t="n">
        <x:v>2478.28</x:v>
      </x:c>
      <x:c r="H2142" s="7" t="n">
        <x:f>G2142/E2142-1</x:f>
        <x:v>0.18995328112471022</x:v>
      </x:c>
      <x:c r="I2142" s="1" t="n">
        <x:v>1</x:v>
      </x:c>
      <x:c r="J2142" s="1" t="n">
        <x:v>1</x:v>
      </x:c>
      <x:c r="K2142" s="1" t="str">
        <x:v>搜狐/腾讯</x:v>
      </x:c>
    </x:row>
    <x:row r="2143" ht="25" customHeight="1">
      <x:c r="A2143" s="1" t="str">
        <x:v>sz399006</x:v>
      </x:c>
      <x:c r="B2143" s="1" t="str">
        <x:v>创业板指</x:v>
      </x:c>
      <x:c r="C2143" s="1" t="str">
        <x:v>2015-11</x:v>
      </x:c>
      <x:c r="D2143" s="1" t="str">
        <x:v>2015-10-30</x:v>
      </x:c>
      <x:c r="E2143" s="5" t="n">
        <x:v>2478.28</x:v>
      </x:c>
      <x:c r="F2143" s="6" t="str">
        <x:v>2015-11-30</x:v>
      </x:c>
      <x:c r="G2143" s="5" t="n">
        <x:v>2672.58</x:v>
      </x:c>
      <x:c r="H2143" s="7" t="n">
        <x:f>G2143/E2143-1</x:f>
        <x:v>0.07840114918411145</x:v>
      </x:c>
      <x:c r="I2143" s="1" t="n">
        <x:v>1</x:v>
      </x:c>
      <x:c r="J2143" s="1" t="n">
        <x:v>1</x:v>
      </x:c>
      <x:c r="K2143" s="1" t="str">
        <x:v>搜狐/腾讯</x:v>
      </x:c>
    </x:row>
    <x:row r="2144" ht="25" customHeight="1">
      <x:c r="A2144" s="1" t="str">
        <x:v>sz399006</x:v>
      </x:c>
      <x:c r="B2144" s="1" t="str">
        <x:v>创业板指</x:v>
      </x:c>
      <x:c r="C2144" s="1" t="str">
        <x:v>2015-12</x:v>
      </x:c>
      <x:c r="D2144" s="1" t="str">
        <x:v>2015-11-30</x:v>
      </x:c>
      <x:c r="E2144" s="5" t="n">
        <x:v>2672.58</x:v>
      </x:c>
      <x:c r="F2144" s="6" t="str">
        <x:v>2015-12-31</x:v>
      </x:c>
      <x:c r="G2144" s="5" t="n">
        <x:v>2714.05</x:v>
      </x:c>
      <x:c r="H2144" s="7" t="n">
        <x:f>G2144/E2144-1</x:f>
        <x:v>0.01551684140418641</x:v>
      </x:c>
      <x:c r="I2144" s="1" t="n">
        <x:v>1</x:v>
      </x:c>
      <x:c r="J2144" s="1" t="n">
        <x:v>1</x:v>
      </x:c>
      <x:c r="K2144" s="1" t="str">
        <x:v>搜狐/腾讯</x:v>
      </x:c>
    </x:row>
    <x:row r="2145" ht="25" customHeight="1">
      <x:c r="A2145" s="1" t="str">
        <x:v>sz399006</x:v>
      </x:c>
      <x:c r="B2145" s="1" t="str">
        <x:v>创业板指</x:v>
      </x:c>
      <x:c r="C2145" s="1" t="str">
        <x:v>2016-01</x:v>
      </x:c>
      <x:c r="D2145" s="1" t="str">
        <x:v>2015-12-31</x:v>
      </x:c>
      <x:c r="E2145" s="5" t="n">
        <x:v>2714.05</x:v>
      </x:c>
      <x:c r="F2145" s="6" t="str">
        <x:v>2016-01-29</x:v>
      </x:c>
      <x:c r="G2145" s="5" t="n">
        <x:v>1994.07</x:v>
      </x:c>
      <x:c r="H2145" s="7" t="n">
        <x:f>G2145/E2145-1</x:f>
        <x:v>-0.2652788268454893</x:v>
      </x:c>
      <x:c r="I2145" s="1" t="n">
        <x:v>1</x:v>
      </x:c>
      <x:c r="J2145" s="1" t="n">
        <x:v>1</x:v>
      </x:c>
      <x:c r="K2145" s="1" t="str">
        <x:v>搜狐/腾讯</x:v>
      </x:c>
    </x:row>
    <x:row r="2146" ht="25" customHeight="1">
      <x:c r="A2146" s="1" t="str">
        <x:v>sz399006</x:v>
      </x:c>
      <x:c r="B2146" s="1" t="str">
        <x:v>创业板指</x:v>
      </x:c>
      <x:c r="C2146" s="1" t="str">
        <x:v>2016-02</x:v>
      </x:c>
      <x:c r="D2146" s="1" t="str">
        <x:v>2016-01-29</x:v>
      </x:c>
      <x:c r="E2146" s="5" t="n">
        <x:v>1994.07</x:v>
      </x:c>
      <x:c r="F2146" s="6" t="str">
        <x:v>2016-02-29</x:v>
      </x:c>
      <x:c r="G2146" s="5" t="n">
        <x:v>1880.15</x:v>
      </x:c>
      <x:c r="H2146" s="7" t="n">
        <x:f>G2146/E2146-1</x:f>
        <x:v>-0.05712938863730954</x:v>
      </x:c>
      <x:c r="I2146" s="1" t="n">
        <x:v>1</x:v>
      </x:c>
      <x:c r="J2146" s="1" t="n">
        <x:v>1</x:v>
      </x:c>
      <x:c r="K2146" s="1" t="str">
        <x:v>搜狐/腾讯</x:v>
      </x:c>
    </x:row>
    <x:row r="2147" ht="25" customHeight="1">
      <x:c r="A2147" s="1" t="str">
        <x:v>sz399006</x:v>
      </x:c>
      <x:c r="B2147" s="1" t="str">
        <x:v>创业板指</x:v>
      </x:c>
      <x:c r="C2147" s="1" t="str">
        <x:v>2016-03</x:v>
      </x:c>
      <x:c r="D2147" s="1" t="str">
        <x:v>2016-02-29</x:v>
      </x:c>
      <x:c r="E2147" s="5" t="n">
        <x:v>1880.15</x:v>
      </x:c>
      <x:c r="F2147" s="6" t="str">
        <x:v>2016-03-31</x:v>
      </x:c>
      <x:c r="G2147" s="5" t="n">
        <x:v>2238.29</x:v>
      </x:c>
      <x:c r="H2147" s="7" t="n">
        <x:f>G2147/E2147-1</x:f>
        <x:v>0.19048480174454152</x:v>
      </x:c>
      <x:c r="I2147" s="1" t="n">
        <x:v>1</x:v>
      </x:c>
      <x:c r="J2147" s="1" t="n">
        <x:v>1</x:v>
      </x:c>
      <x:c r="K2147" s="1" t="str">
        <x:v>搜狐/腾讯</x:v>
      </x:c>
    </x:row>
    <x:row r="2148" ht="25" customHeight="1">
      <x:c r="A2148" s="1" t="str">
        <x:v>sz399006</x:v>
      </x:c>
      <x:c r="B2148" s="1" t="str">
        <x:v>创业板指</x:v>
      </x:c>
      <x:c r="C2148" s="1" t="str">
        <x:v>2016-04</x:v>
      </x:c>
      <x:c r="D2148" s="1" t="str">
        <x:v>2016-03-31</x:v>
      </x:c>
      <x:c r="E2148" s="5" t="n">
        <x:v>2238.29</x:v>
      </x:c>
      <x:c r="F2148" s="6" t="str">
        <x:v>2016-04-29</x:v>
      </x:c>
      <x:c r="G2148" s="5" t="n">
        <x:v>2138.74</x:v>
      </x:c>
      <x:c r="H2148" s="7" t="n">
        <x:f>G2148/E2148-1</x:f>
        <x:v>-0.044475916882977695</x:v>
      </x:c>
      <x:c r="I2148" s="1" t="n">
        <x:v>1</x:v>
      </x:c>
      <x:c r="J2148" s="1" t="n">
        <x:v>1</x:v>
      </x:c>
      <x:c r="K2148" s="1" t="str">
        <x:v>搜狐/腾讯</x:v>
      </x:c>
    </x:row>
    <x:row r="2149" ht="25" customHeight="1">
      <x:c r="A2149" s="1" t="str">
        <x:v>sz399006</x:v>
      </x:c>
      <x:c r="B2149" s="1" t="str">
        <x:v>创业板指</x:v>
      </x:c>
      <x:c r="C2149" s="1" t="str">
        <x:v>2016-05</x:v>
      </x:c>
      <x:c r="D2149" s="1" t="str">
        <x:v>2016-04-29</x:v>
      </x:c>
      <x:c r="E2149" s="5" t="n">
        <x:v>2138.74</x:v>
      </x:c>
      <x:c r="F2149" s="6" t="str">
        <x:v>2016-05-31</x:v>
      </x:c>
      <x:c r="G2149" s="5" t="n">
        <x:v>2159.8</x:v>
      </x:c>
      <x:c r="H2149" s="7" t="n">
        <x:f>G2149/E2149-1</x:f>
        <x:v>0.009846919214116845</x:v>
      </x:c>
      <x:c r="I2149" s="1" t="n">
        <x:v>1</x:v>
      </x:c>
      <x:c r="J2149" s="1" t="n">
        <x:v>1</x:v>
      </x:c>
      <x:c r="K2149" s="1" t="str">
        <x:v>搜狐/腾讯</x:v>
      </x:c>
    </x:row>
    <x:row r="2150" ht="25" customHeight="1">
      <x:c r="A2150" s="1" t="str">
        <x:v>sz399006</x:v>
      </x:c>
      <x:c r="B2150" s="1" t="str">
        <x:v>创业板指</x:v>
      </x:c>
      <x:c r="C2150" s="1" t="str">
        <x:v>2016-06</x:v>
      </x:c>
      <x:c r="D2150" s="1" t="str">
        <x:v>2016-05-31</x:v>
      </x:c>
      <x:c r="E2150" s="5" t="n">
        <x:v>2159.8</x:v>
      </x:c>
      <x:c r="F2150" s="6" t="str">
        <x:v>2016-06-30</x:v>
      </x:c>
      <x:c r="G2150" s="5" t="n">
        <x:v>2227.79</x:v>
      </x:c>
      <x:c r="H2150" s="7" t="n">
        <x:f>G2150/E2150-1</x:f>
        <x:v>0.03147976664505969</x:v>
      </x:c>
      <x:c r="I2150" s="1" t="n">
        <x:v>1</x:v>
      </x:c>
      <x:c r="J2150" s="1" t="n">
        <x:v>1</x:v>
      </x:c>
      <x:c r="K2150" s="1" t="str">
        <x:v>搜狐/腾讯</x:v>
      </x:c>
    </x:row>
    <x:row r="2151" ht="25" customHeight="1">
      <x:c r="A2151" s="1" t="str">
        <x:v>sz399006</x:v>
      </x:c>
      <x:c r="B2151" s="1" t="str">
        <x:v>创业板指</x:v>
      </x:c>
      <x:c r="C2151" s="1" t="str">
        <x:v>2016-07</x:v>
      </x:c>
      <x:c r="D2151" s="1" t="str">
        <x:v>2016-06-30</x:v>
      </x:c>
      <x:c r="E2151" s="5" t="n">
        <x:v>2227.79</x:v>
      </x:c>
      <x:c r="F2151" s="6" t="str">
        <x:v>2016-07-29</x:v>
      </x:c>
      <x:c r="G2151" s="5" t="n">
        <x:v>2122.41</x:v>
      </x:c>
      <x:c r="H2151" s="7" t="n">
        <x:f>G2151/E2151-1</x:f>
        <x:v>-0.04730248362727196</x:v>
      </x:c>
      <x:c r="I2151" s="1" t="n">
        <x:v>1</x:v>
      </x:c>
      <x:c r="J2151" s="1" t="n">
        <x:v>1</x:v>
      </x:c>
      <x:c r="K2151" s="1" t="str">
        <x:v>搜狐/腾讯</x:v>
      </x:c>
    </x:row>
    <x:row r="2152" ht="25" customHeight="1">
      <x:c r="A2152" s="1" t="str">
        <x:v>sz399006</x:v>
      </x:c>
      <x:c r="B2152" s="1" t="str">
        <x:v>创业板指</x:v>
      </x:c>
      <x:c r="C2152" s="1" t="str">
        <x:v>2016-08</x:v>
      </x:c>
      <x:c r="D2152" s="1" t="str">
        <x:v>2016-07-29</x:v>
      </x:c>
      <x:c r="E2152" s="5" t="n">
        <x:v>2122.41</x:v>
      </x:c>
      <x:c r="F2152" s="6" t="str">
        <x:v>2016-08-31</x:v>
      </x:c>
      <x:c r="G2152" s="5" t="n">
        <x:v>2191.76</x:v>
      </x:c>
      <x:c r="H2152" s="7" t="n">
        <x:f>G2152/E2152-1</x:f>
        <x:v>0.032675119321903034</x:v>
      </x:c>
      <x:c r="I2152" s="1" t="n">
        <x:v>1</x:v>
      </x:c>
      <x:c r="J2152" s="1" t="n">
        <x:v>1</x:v>
      </x:c>
      <x:c r="K2152" s="1" t="str">
        <x:v>搜狐/腾讯</x:v>
      </x:c>
    </x:row>
    <x:row r="2153" ht="25" customHeight="1">
      <x:c r="A2153" s="1" t="str">
        <x:v>sz399006</x:v>
      </x:c>
      <x:c r="B2153" s="1" t="str">
        <x:v>创业板指</x:v>
      </x:c>
      <x:c r="C2153" s="1" t="str">
        <x:v>2016-09</x:v>
      </x:c>
      <x:c r="D2153" s="1" t="str">
        <x:v>2016-08-31</x:v>
      </x:c>
      <x:c r="E2153" s="5" t="n">
        <x:v>2191.76</x:v>
      </x:c>
      <x:c r="F2153" s="6" t="str">
        <x:v>2016-09-30</x:v>
      </x:c>
      <x:c r="G2153" s="5" t="n">
        <x:v>2149.9</x:v>
      </x:c>
      <x:c r="H2153" s="7" t="n">
        <x:f>G2153/E2153-1</x:f>
        <x:v>-0.019098806438661242</x:v>
      </x:c>
      <x:c r="I2153" s="1" t="n">
        <x:v>1</x:v>
      </x:c>
      <x:c r="J2153" s="1" t="n">
        <x:v>1</x:v>
      </x:c>
      <x:c r="K2153" s="1" t="str">
        <x:v>搜狐/腾讯</x:v>
      </x:c>
    </x:row>
    <x:row r="2154" ht="25" customHeight="1">
      <x:c r="A2154" s="1" t="str">
        <x:v>sz399006</x:v>
      </x:c>
      <x:c r="B2154" s="1" t="str">
        <x:v>创业板指</x:v>
      </x:c>
      <x:c r="C2154" s="1" t="str">
        <x:v>2016-10</x:v>
      </x:c>
      <x:c r="D2154" s="1" t="str">
        <x:v>2016-09-30</x:v>
      </x:c>
      <x:c r="E2154" s="5" t="n">
        <x:v>2149.9</x:v>
      </x:c>
      <x:c r="F2154" s="6" t="str">
        <x:v>2016-10-31</x:v>
      </x:c>
      <x:c r="G2154" s="5" t="n">
        <x:v>2159.76</x:v>
      </x:c>
      <x:c r="H2154" s="7" t="n">
        <x:f>G2154/E2154-1</x:f>
        <x:v>0.004586259826038441</x:v>
      </x:c>
      <x:c r="I2154" s="1" t="n">
        <x:v>1</x:v>
      </x:c>
      <x:c r="J2154" s="1" t="n">
        <x:v>1</x:v>
      </x:c>
      <x:c r="K2154" s="1" t="str">
        <x:v>搜狐/腾讯</x:v>
      </x:c>
    </x:row>
    <x:row r="2155" ht="25" customHeight="1">
      <x:c r="A2155" s="1" t="str">
        <x:v>sz399006</x:v>
      </x:c>
      <x:c r="B2155" s="1" t="str">
        <x:v>创业板指</x:v>
      </x:c>
      <x:c r="C2155" s="1" t="str">
        <x:v>2016-11</x:v>
      </x:c>
      <x:c r="D2155" s="1" t="str">
        <x:v>2016-10-31</x:v>
      </x:c>
      <x:c r="E2155" s="5" t="n">
        <x:v>2159.76</x:v>
      </x:c>
      <x:c r="F2155" s="6" t="str">
        <x:v>2016-11-30</x:v>
      </x:c>
      <x:c r="G2155" s="5" t="n">
        <x:v>2183.05</x:v>
      </x:c>
      <x:c r="H2155" s="7" t="n">
        <x:f>G2155/E2155-1</x:f>
        <x:v>0.010783605585805711</x:v>
      </x:c>
      <x:c r="I2155" s="1" t="n">
        <x:v>1</x:v>
      </x:c>
      <x:c r="J2155" s="1" t="n">
        <x:v>1</x:v>
      </x:c>
      <x:c r="K2155" s="1" t="str">
        <x:v>搜狐/腾讯</x:v>
      </x:c>
    </x:row>
    <x:row r="2156" ht="25" customHeight="1">
      <x:c r="A2156" s="1" t="str">
        <x:v>sz399006</x:v>
      </x:c>
      <x:c r="B2156" s="1" t="str">
        <x:v>创业板指</x:v>
      </x:c>
      <x:c r="C2156" s="1" t="str">
        <x:v>2016-12</x:v>
      </x:c>
      <x:c r="D2156" s="1" t="str">
        <x:v>2016-11-30</x:v>
      </x:c>
      <x:c r="E2156" s="5" t="n">
        <x:v>2183.05</x:v>
      </x:c>
      <x:c r="F2156" s="6" t="str">
        <x:v>2016-12-30</x:v>
      </x:c>
      <x:c r="G2156" s="5" t="n">
        <x:v>1962.06</x:v>
      </x:c>
      <x:c r="H2156" s="7" t="n">
        <x:f>G2156/E2156-1</x:f>
        <x:v>-0.10122993060168128</x:v>
      </x:c>
      <x:c r="I2156" s="1" t="n">
        <x:v>1</x:v>
      </x:c>
      <x:c r="J2156" s="1" t="n">
        <x:v>1</x:v>
      </x:c>
      <x:c r="K2156" s="1" t="str">
        <x:v>搜狐/腾讯</x:v>
      </x:c>
    </x:row>
    <x:row r="2157" ht="25" customHeight="1">
      <x:c r="A2157" s="1" t="str">
        <x:v>sz399006</x:v>
      </x:c>
      <x:c r="B2157" s="1" t="str">
        <x:v>创业板指</x:v>
      </x:c>
      <x:c r="C2157" s="1" t="str">
        <x:v>2017-01</x:v>
      </x:c>
      <x:c r="D2157" s="1" t="str">
        <x:v>2016-12-30</x:v>
      </x:c>
      <x:c r="E2157" s="5" t="n">
        <x:v>1962.06</x:v>
      </x:c>
      <x:c r="F2157" s="6" t="str">
        <x:v>2017-01-26</x:v>
      </x:c>
      <x:c r="G2157" s="5" t="n">
        <x:v>1886.23</x:v>
      </x:c>
      <x:c r="H2157" s="7" t="n">
        <x:f>G2157/E2157-1</x:f>
        <x:v>-0.038648155510025095</x:v>
      </x:c>
      <x:c r="I2157" s="1" t="n">
        <x:v>1</x:v>
      </x:c>
      <x:c r="J2157" s="1" t="n">
        <x:v>1</x:v>
      </x:c>
      <x:c r="K2157" s="1" t="str">
        <x:v>搜狐/腾讯</x:v>
      </x:c>
    </x:row>
    <x:row r="2158" ht="25" customHeight="1">
      <x:c r="A2158" s="1" t="str">
        <x:v>sz399006</x:v>
      </x:c>
      <x:c r="B2158" s="1" t="str">
        <x:v>创业板指</x:v>
      </x:c>
      <x:c r="C2158" s="1" t="str">
        <x:v>2017-02</x:v>
      </x:c>
      <x:c r="D2158" s="1" t="str">
        <x:v>2017-01-26</x:v>
      </x:c>
      <x:c r="E2158" s="5" t="n">
        <x:v>1886.23</x:v>
      </x:c>
      <x:c r="F2158" s="6" t="str">
        <x:v>2017-02-28</x:v>
      </x:c>
      <x:c r="G2158" s="5" t="n">
        <x:v>1927.16</x:v>
      </x:c>
      <x:c r="H2158" s="7" t="n">
        <x:f>G2158/E2158-1</x:f>
        <x:v>0.021699368581774348</x:v>
      </x:c>
      <x:c r="I2158" s="1" t="n">
        <x:v>1</x:v>
      </x:c>
      <x:c r="J2158" s="1" t="n">
        <x:v>1</x:v>
      </x:c>
      <x:c r="K2158" s="1" t="str">
        <x:v>搜狐/腾讯</x:v>
      </x:c>
    </x:row>
    <x:row r="2159" ht="25" customHeight="1">
      <x:c r="A2159" s="1" t="str">
        <x:v>sz399006</x:v>
      </x:c>
      <x:c r="B2159" s="1" t="str">
        <x:v>创业板指</x:v>
      </x:c>
      <x:c r="C2159" s="1" t="str">
        <x:v>2017-03</x:v>
      </x:c>
      <x:c r="D2159" s="1" t="str">
        <x:v>2017-02-28</x:v>
      </x:c>
      <x:c r="E2159" s="5" t="n">
        <x:v>1927.16</x:v>
      </x:c>
      <x:c r="F2159" s="6" t="str">
        <x:v>2017-03-31</x:v>
      </x:c>
      <x:c r="G2159" s="5" t="n">
        <x:v>1907.18</x:v>
      </x:c>
      <x:c r="H2159" s="7" t="n">
        <x:f>G2159/E2159-1</x:f>
        <x:v>-0.010367587538139045</x:v>
      </x:c>
      <x:c r="I2159" s="1" t="n">
        <x:v>1</x:v>
      </x:c>
      <x:c r="J2159" s="1" t="n">
        <x:v>1</x:v>
      </x:c>
      <x:c r="K2159" s="1" t="str">
        <x:v>搜狐/腾讯</x:v>
      </x:c>
    </x:row>
    <x:row r="2160" ht="25" customHeight="1">
      <x:c r="A2160" s="1" t="str">
        <x:v>sz399006</x:v>
      </x:c>
      <x:c r="B2160" s="1" t="str">
        <x:v>创业板指</x:v>
      </x:c>
      <x:c r="C2160" s="1" t="str">
        <x:v>2017-04</x:v>
      </x:c>
      <x:c r="D2160" s="1" t="str">
        <x:v>2017-03-31</x:v>
      </x:c>
      <x:c r="E2160" s="5" t="n">
        <x:v>1907.18</x:v>
      </x:c>
      <x:c r="F2160" s="6" t="str">
        <x:v>2017-04-28</x:v>
      </x:c>
      <x:c r="G2160" s="5" t="n">
        <x:v>1850.73</x:v>
      </x:c>
      <x:c r="H2160" s="7" t="n">
        <x:f>G2160/E2160-1</x:f>
        <x:v>-0.029598674482744225</x:v>
      </x:c>
      <x:c r="I2160" s="1" t="n">
        <x:v>1</x:v>
      </x:c>
      <x:c r="J2160" s="1" t="n">
        <x:v>1</x:v>
      </x:c>
      <x:c r="K2160" s="1" t="str">
        <x:v>搜狐/腾讯</x:v>
      </x:c>
    </x:row>
    <x:row r="2161" ht="25" customHeight="1">
      <x:c r="A2161" s="1" t="str">
        <x:v>sz399006</x:v>
      </x:c>
      <x:c r="B2161" s="1" t="str">
        <x:v>创业板指</x:v>
      </x:c>
      <x:c r="C2161" s="1" t="str">
        <x:v>2017-05</x:v>
      </x:c>
      <x:c r="D2161" s="1" t="str">
        <x:v>2017-04-28</x:v>
      </x:c>
      <x:c r="E2161" s="5" t="n">
        <x:v>1850.73</x:v>
      </x:c>
      <x:c r="F2161" s="6" t="str">
        <x:v>2017-05-31</x:v>
      </x:c>
      <x:c r="G2161" s="5" t="n">
        <x:v>1763.73</x:v>
      </x:c>
      <x:c r="H2161" s="7" t="n">
        <x:f>G2161/E2161-1</x:f>
        <x:v>-0.047008477735812404</x:v>
      </x:c>
      <x:c r="I2161" s="1" t="n">
        <x:v>1</x:v>
      </x:c>
      <x:c r="J2161" s="1" t="n">
        <x:v>1</x:v>
      </x:c>
      <x:c r="K2161" s="1" t="str">
        <x:v>搜狐/腾讯</x:v>
      </x:c>
    </x:row>
    <x:row r="2162" ht="25" customHeight="1">
      <x:c r="A2162" s="1" t="str">
        <x:v>sz399006</x:v>
      </x:c>
      <x:c r="B2162" s="1" t="str">
        <x:v>创业板指</x:v>
      </x:c>
      <x:c r="C2162" s="1" t="str">
        <x:v>2017-06</x:v>
      </x:c>
      <x:c r="D2162" s="1" t="str">
        <x:v>2017-05-31</x:v>
      </x:c>
      <x:c r="E2162" s="5" t="n">
        <x:v>1763.73</x:v>
      </x:c>
      <x:c r="F2162" s="6" t="str">
        <x:v>2017-06-30</x:v>
      </x:c>
      <x:c r="G2162" s="5" t="n">
        <x:v>1818.07</x:v>
      </x:c>
      <x:c r="H2162" s="7" t="n">
        <x:f>G2162/E2162-1</x:f>
        <x:v>0.030809704433218288</x:v>
      </x:c>
      <x:c r="I2162" s="1" t="n">
        <x:v>1</x:v>
      </x:c>
      <x:c r="J2162" s="1" t="n">
        <x:v>1</x:v>
      </x:c>
      <x:c r="K2162" s="1" t="str">
        <x:v>搜狐/腾讯</x:v>
      </x:c>
    </x:row>
    <x:row r="2163" ht="25" customHeight="1">
      <x:c r="A2163" s="1" t="str">
        <x:v>sz399006</x:v>
      </x:c>
      <x:c r="B2163" s="1" t="str">
        <x:v>创业板指</x:v>
      </x:c>
      <x:c r="C2163" s="1" t="str">
        <x:v>2017-07</x:v>
      </x:c>
      <x:c r="D2163" s="1" t="str">
        <x:v>2017-06-30</x:v>
      </x:c>
      <x:c r="E2163" s="5" t="n">
        <x:v>1818.07</x:v>
      </x:c>
      <x:c r="F2163" s="6" t="str">
        <x:v>2017-07-31</x:v>
      </x:c>
      <x:c r="G2163" s="5" t="n">
        <x:v>1736.3</x:v>
      </x:c>
      <x:c r="H2163" s="7" t="n">
        <x:f>G2163/E2163-1</x:f>
        <x:v>-0.04497626604036142</x:v>
      </x:c>
      <x:c r="I2163" s="1" t="n">
        <x:v>1</x:v>
      </x:c>
      <x:c r="J2163" s="1" t="n">
        <x:v>1</x:v>
      </x:c>
      <x:c r="K2163" s="1" t="str">
        <x:v>搜狐/腾讯</x:v>
      </x:c>
    </x:row>
    <x:row r="2164" ht="25" customHeight="1">
      <x:c r="A2164" s="1" t="str">
        <x:v>sz399006</x:v>
      </x:c>
      <x:c r="B2164" s="1" t="str">
        <x:v>创业板指</x:v>
      </x:c>
      <x:c r="C2164" s="1" t="str">
        <x:v>2017-08</x:v>
      </x:c>
      <x:c r="D2164" s="1" t="str">
        <x:v>2017-07-31</x:v>
      </x:c>
      <x:c r="E2164" s="5" t="n">
        <x:v>1736.3</x:v>
      </x:c>
      <x:c r="F2164" s="6" t="str">
        <x:v>2017-08-31</x:v>
      </x:c>
      <x:c r="G2164" s="5" t="n">
        <x:v>1849.38</x:v>
      </x:c>
      <x:c r="H2164" s="7" t="n">
        <x:f>G2164/E2164-1</x:f>
        <x:v>0.06512699418303303</x:v>
      </x:c>
      <x:c r="I2164" s="1" t="n">
        <x:v>1</x:v>
      </x:c>
      <x:c r="J2164" s="1" t="n">
        <x:v>1</x:v>
      </x:c>
      <x:c r="K2164" s="1" t="str">
        <x:v>搜狐/腾讯</x:v>
      </x:c>
    </x:row>
    <x:row r="2165" ht="25" customHeight="1">
      <x:c r="A2165" s="1" t="str">
        <x:v>sz399006</x:v>
      </x:c>
      <x:c r="B2165" s="1" t="str">
        <x:v>创业板指</x:v>
      </x:c>
      <x:c r="C2165" s="1" t="str">
        <x:v>2017-09</x:v>
      </x:c>
      <x:c r="D2165" s="1" t="str">
        <x:v>2017-08-31</x:v>
      </x:c>
      <x:c r="E2165" s="5" t="n">
        <x:v>1849.38</x:v>
      </x:c>
      <x:c r="F2165" s="6" t="str">
        <x:v>2017-09-29</x:v>
      </x:c>
      <x:c r="G2165" s="5" t="n">
        <x:v>1866.98</x:v>
      </x:c>
      <x:c r="H2165" s="7" t="n">
        <x:f>G2165/E2165-1</x:f>
        <x:v>0.009516702895024265</x:v>
      </x:c>
      <x:c r="I2165" s="1" t="n">
        <x:v>1</x:v>
      </x:c>
      <x:c r="J2165" s="1" t="n">
        <x:v>1</x:v>
      </x:c>
      <x:c r="K2165" s="1" t="str">
        <x:v>搜狐/腾讯</x:v>
      </x:c>
    </x:row>
    <x:row r="2166" ht="25" customHeight="1">
      <x:c r="A2166" s="1" t="str">
        <x:v>sz399006</x:v>
      </x:c>
      <x:c r="B2166" s="1" t="str">
        <x:v>创业板指</x:v>
      </x:c>
      <x:c r="C2166" s="1" t="str">
        <x:v>2017-10</x:v>
      </x:c>
      <x:c r="D2166" s="1" t="str">
        <x:v>2017-09-29</x:v>
      </x:c>
      <x:c r="E2166" s="5" t="n">
        <x:v>1866.98</x:v>
      </x:c>
      <x:c r="F2166" s="6" t="str">
        <x:v>2017-10-31</x:v>
      </x:c>
      <x:c r="G2166" s="5" t="n">
        <x:v>1869.79</x:v>
      </x:c>
      <x:c r="H2166" s="7" t="n">
        <x:f>G2166/E2166-1</x:f>
        <x:v>0.0015051045003160457</x:v>
      </x:c>
      <x:c r="I2166" s="1" t="n">
        <x:v>1</x:v>
      </x:c>
      <x:c r="J2166" s="1" t="n">
        <x:v>1</x:v>
      </x:c>
      <x:c r="K2166" s="1" t="str">
        <x:v>搜狐/腾讯</x:v>
      </x:c>
    </x:row>
    <x:row r="2167" ht="25" customHeight="1">
      <x:c r="A2167" s="1" t="str">
        <x:v>sz399006</x:v>
      </x:c>
      <x:c r="B2167" s="1" t="str">
        <x:v>创业板指</x:v>
      </x:c>
      <x:c r="C2167" s="1" t="str">
        <x:v>2017-11</x:v>
      </x:c>
      <x:c r="D2167" s="1" t="str">
        <x:v>2017-10-31</x:v>
      </x:c>
      <x:c r="E2167" s="5" t="n">
        <x:v>1869.79</x:v>
      </x:c>
      <x:c r="F2167" s="6" t="str">
        <x:v>2017-11-30</x:v>
      </x:c>
      <x:c r="G2167" s="5" t="n">
        <x:v>1770.3</x:v>
      </x:c>
      <x:c r="H2167" s="7" t="n">
        <x:f>G2167/E2167-1</x:f>
        <x:v>-0.05320918391904972</x:v>
      </x:c>
      <x:c r="I2167" s="1" t="n">
        <x:v>1</x:v>
      </x:c>
      <x:c r="J2167" s="1" t="n">
        <x:v>1</x:v>
      </x:c>
      <x:c r="K2167" s="1" t="str">
        <x:v>搜狐/腾讯</x:v>
      </x:c>
    </x:row>
    <x:row r="2168" ht="25" customHeight="1">
      <x:c r="A2168" s="1" t="str">
        <x:v>sz399006</x:v>
      </x:c>
      <x:c r="B2168" s="1" t="str">
        <x:v>创业板指</x:v>
      </x:c>
      <x:c r="C2168" s="1" t="str">
        <x:v>2017-12</x:v>
      </x:c>
      <x:c r="D2168" s="1" t="str">
        <x:v>2017-11-30</x:v>
      </x:c>
      <x:c r="E2168" s="5" t="n">
        <x:v>1770.3</x:v>
      </x:c>
      <x:c r="F2168" s="6" t="str">
        <x:v>2017-12-29</x:v>
      </x:c>
      <x:c r="G2168" s="5" t="n">
        <x:v>1752.65</x:v>
      </x:c>
      <x:c r="H2168" s="7" t="n">
        <x:f>G2168/E2168-1</x:f>
        <x:v>-0.009970061571484945</x:v>
      </x:c>
      <x:c r="I2168" s="1" t="n">
        <x:v>1</x:v>
      </x:c>
      <x:c r="J2168" s="1" t="n">
        <x:v>1</x:v>
      </x:c>
      <x:c r="K2168" s="1" t="str">
        <x:v>搜狐/腾讯</x:v>
      </x:c>
    </x:row>
    <x:row r="2169" ht="25" customHeight="1">
      <x:c r="A2169" s="1" t="str">
        <x:v>sz399006</x:v>
      </x:c>
      <x:c r="B2169" s="1" t="str">
        <x:v>创业板指</x:v>
      </x:c>
      <x:c r="C2169" s="1" t="str">
        <x:v>2018-01</x:v>
      </x:c>
      <x:c r="D2169" s="1" t="str">
        <x:v>2017-12-29</x:v>
      </x:c>
      <x:c r="E2169" s="5" t="n">
        <x:v>1752.65</x:v>
      </x:c>
      <x:c r="F2169" s="6" t="str">
        <x:v>2018-01-31</x:v>
      </x:c>
      <x:c r="G2169" s="5" t="n">
        <x:v>1735.06</x:v>
      </x:c>
      <x:c r="H2169" s="7" t="n">
        <x:f>G2169/E2169-1</x:f>
        <x:v>-0.010036230850426597</x:v>
      </x:c>
      <x:c r="I2169" s="1" t="n">
        <x:v>1</x:v>
      </x:c>
      <x:c r="J2169" s="1" t="n">
        <x:v>1</x:v>
      </x:c>
      <x:c r="K2169" s="1" t="str">
        <x:v>搜狐/腾讯</x:v>
      </x:c>
    </x:row>
    <x:row r="2170" ht="25" customHeight="1">
      <x:c r="A2170" s="1" t="str">
        <x:v>sz399006</x:v>
      </x:c>
      <x:c r="B2170" s="1" t="str">
        <x:v>创业板指</x:v>
      </x:c>
      <x:c r="C2170" s="1" t="str">
        <x:v>2018-02</x:v>
      </x:c>
      <x:c r="D2170" s="1" t="str">
        <x:v>2018-01-31</x:v>
      </x:c>
      <x:c r="E2170" s="5" t="n">
        <x:v>1735.06</x:v>
      </x:c>
      <x:c r="F2170" s="6" t="str">
        <x:v>2018-02-28</x:v>
      </x:c>
      <x:c r="G2170" s="5" t="n">
        <x:v>1753.63</x:v>
      </x:c>
      <x:c r="H2170" s="7" t="n">
        <x:f>G2170/E2170-1</x:f>
        <x:v>0.010702799903173466</x:v>
      </x:c>
      <x:c r="I2170" s="1" t="n">
        <x:v>1</x:v>
      </x:c>
      <x:c r="J2170" s="1" t="n">
        <x:v>1</x:v>
      </x:c>
      <x:c r="K2170" s="1" t="str">
        <x:v>搜狐/腾讯</x:v>
      </x:c>
    </x:row>
    <x:row r="2171" ht="25" customHeight="1">
      <x:c r="A2171" s="1" t="str">
        <x:v>sz399006</x:v>
      </x:c>
      <x:c r="B2171" s="1" t="str">
        <x:v>创业板指</x:v>
      </x:c>
      <x:c r="C2171" s="1" t="str">
        <x:v>2018-03</x:v>
      </x:c>
      <x:c r="D2171" s="1" t="str">
        <x:v>2018-02-28</x:v>
      </x:c>
      <x:c r="E2171" s="5" t="n">
        <x:v>1753.63</x:v>
      </x:c>
      <x:c r="F2171" s="6" t="str">
        <x:v>2018-03-30</x:v>
      </x:c>
      <x:c r="G2171" s="5" t="n">
        <x:v>1900.48</x:v>
      </x:c>
      <x:c r="H2171" s="7" t="n">
        <x:f>G2171/E2171-1</x:f>
        <x:v>0.08374058381756688</x:v>
      </x:c>
      <x:c r="I2171" s="1" t="n">
        <x:v>1</x:v>
      </x:c>
      <x:c r="J2171" s="1" t="n">
        <x:v>1</x:v>
      </x:c>
      <x:c r="K2171" s="1" t="str">
        <x:v>搜狐/腾讯</x:v>
      </x:c>
    </x:row>
    <x:row r="2172" ht="25" customHeight="1">
      <x:c r="A2172" s="1" t="str">
        <x:v>sz399006</x:v>
      </x:c>
      <x:c r="B2172" s="1" t="str">
        <x:v>创业板指</x:v>
      </x:c>
      <x:c r="C2172" s="1" t="str">
        <x:v>2018-04</x:v>
      </x:c>
      <x:c r="D2172" s="1" t="str">
        <x:v>2018-03-30</x:v>
      </x:c>
      <x:c r="E2172" s="5" t="n">
        <x:v>1900.48</x:v>
      </x:c>
      <x:c r="F2172" s="6" t="str">
        <x:v>2018-04-27</x:v>
      </x:c>
      <x:c r="G2172" s="5" t="n">
        <x:v>1805.6</x:v>
      </x:c>
      <x:c r="H2172" s="7" t="n">
        <x:f>G2172/E2172-1</x:f>
        <x:v>-0.04992422966829435</x:v>
      </x:c>
      <x:c r="I2172" s="1" t="n">
        <x:v>1</x:v>
      </x:c>
      <x:c r="J2172" s="1" t="n">
        <x:v>1</x:v>
      </x:c>
      <x:c r="K2172" s="1" t="str">
        <x:v>搜狐/腾讯</x:v>
      </x:c>
    </x:row>
    <x:row r="2173" ht="25" customHeight="1">
      <x:c r="A2173" s="1" t="str">
        <x:v>sz399006</x:v>
      </x:c>
      <x:c r="B2173" s="1" t="str">
        <x:v>创业板指</x:v>
      </x:c>
      <x:c r="C2173" s="1" t="str">
        <x:v>2018-05</x:v>
      </x:c>
      <x:c r="D2173" s="1" t="str">
        <x:v>2018-04-27</x:v>
      </x:c>
      <x:c r="E2173" s="5" t="n">
        <x:v>1805.6</x:v>
      </x:c>
      <x:c r="F2173" s="6" t="str">
        <x:v>2018-05-31</x:v>
      </x:c>
      <x:c r="G2173" s="5" t="n">
        <x:v>1743.74</x:v>
      </x:c>
      <x:c r="H2173" s="7" t="n">
        <x:f>G2173/E2173-1</x:f>
        <x:v>-0.034260079751882944</x:v>
      </x:c>
      <x:c r="I2173" s="1" t="n">
        <x:v>1</x:v>
      </x:c>
      <x:c r="J2173" s="1" t="n">
        <x:v>1</x:v>
      </x:c>
      <x:c r="K2173" s="1" t="str">
        <x:v>搜狐/腾讯</x:v>
      </x:c>
    </x:row>
    <x:row r="2174" ht="25" customHeight="1">
      <x:c r="A2174" s="1" t="str">
        <x:v>sz399006</x:v>
      </x:c>
      <x:c r="B2174" s="1" t="str">
        <x:v>创业板指</x:v>
      </x:c>
      <x:c r="C2174" s="1" t="str">
        <x:v>2018-06</x:v>
      </x:c>
      <x:c r="D2174" s="1" t="str">
        <x:v>2018-05-31</x:v>
      </x:c>
      <x:c r="E2174" s="5" t="n">
        <x:v>1743.74</x:v>
      </x:c>
      <x:c r="F2174" s="6" t="str">
        <x:v>2018-06-29</x:v>
      </x:c>
      <x:c r="G2174" s="5" t="n">
        <x:v>1606.72</x:v>
      </x:c>
      <x:c r="H2174" s="7" t="n">
        <x:f>G2174/E2174-1</x:f>
        <x:v>-0.0785782284056109</x:v>
      </x:c>
      <x:c r="I2174" s="1" t="n">
        <x:v>1</x:v>
      </x:c>
      <x:c r="J2174" s="1" t="n">
        <x:v>1</x:v>
      </x:c>
      <x:c r="K2174" s="1" t="str">
        <x:v>搜狐/腾讯</x:v>
      </x:c>
    </x:row>
    <x:row r="2175" ht="25" customHeight="1">
      <x:c r="A2175" s="1" t="str">
        <x:v>sz399006</x:v>
      </x:c>
      <x:c r="B2175" s="1" t="str">
        <x:v>创业板指</x:v>
      </x:c>
      <x:c r="C2175" s="1" t="str">
        <x:v>2018-07</x:v>
      </x:c>
      <x:c r="D2175" s="1" t="str">
        <x:v>2018-06-29</x:v>
      </x:c>
      <x:c r="E2175" s="5" t="n">
        <x:v>1606.72</x:v>
      </x:c>
      <x:c r="F2175" s="6" t="str">
        <x:v>2018-07-31</x:v>
      </x:c>
      <x:c r="G2175" s="5" t="n">
        <x:v>1561.26</x:v>
      </x:c>
      <x:c r="H2175" s="7" t="n">
        <x:f>G2175/E2175-1</x:f>
        <x:v>-0.028293666600278877</x:v>
      </x:c>
      <x:c r="I2175" s="1" t="n">
        <x:v>1</x:v>
      </x:c>
      <x:c r="J2175" s="1" t="n">
        <x:v>1</x:v>
      </x:c>
      <x:c r="K2175" s="1" t="str">
        <x:v>搜狐/腾讯</x:v>
      </x:c>
    </x:row>
    <x:row r="2176" ht="25" customHeight="1">
      <x:c r="A2176" s="1" t="str">
        <x:v>sz399006</x:v>
      </x:c>
      <x:c r="B2176" s="1" t="str">
        <x:v>创业板指</x:v>
      </x:c>
      <x:c r="C2176" s="1" t="str">
        <x:v>2018-08</x:v>
      </x:c>
      <x:c r="D2176" s="1" t="str">
        <x:v>2018-07-31</x:v>
      </x:c>
      <x:c r="E2176" s="5" t="n">
        <x:v>1561.26</x:v>
      </x:c>
      <x:c r="F2176" s="6" t="str">
        <x:v>2018-08-31</x:v>
      </x:c>
      <x:c r="G2176" s="5" t="n">
        <x:v>1435.2</x:v>
      </x:c>
      <x:c r="H2176" s="7" t="n">
        <x:f>G2176/E2176-1</x:f>
        <x:v>-0.08074247722992967</x:v>
      </x:c>
      <x:c r="I2176" s="1" t="n">
        <x:v>1</x:v>
      </x:c>
      <x:c r="J2176" s="1" t="n">
        <x:v>1</x:v>
      </x:c>
      <x:c r="K2176" s="1" t="str">
        <x:v>搜狐/腾讯</x:v>
      </x:c>
    </x:row>
    <x:row r="2177" ht="25" customHeight="1">
      <x:c r="A2177" s="1" t="str">
        <x:v>sz399006</x:v>
      </x:c>
      <x:c r="B2177" s="1" t="str">
        <x:v>创业板指</x:v>
      </x:c>
      <x:c r="C2177" s="1" t="str">
        <x:v>2018-09</x:v>
      </x:c>
      <x:c r="D2177" s="1" t="str">
        <x:v>2018-08-31</x:v>
      </x:c>
      <x:c r="E2177" s="5" t="n">
        <x:v>1435.2</x:v>
      </x:c>
      <x:c r="F2177" s="6" t="str">
        <x:v>2018-09-28</x:v>
      </x:c>
      <x:c r="G2177" s="5" t="n">
        <x:v>1411.34</x:v>
      </x:c>
      <x:c r="H2177" s="7" t="n">
        <x:f>G2177/E2177-1</x:f>
        <x:v>-0.01662486064659985</x:v>
      </x:c>
      <x:c r="I2177" s="1" t="n">
        <x:v>1</x:v>
      </x:c>
      <x:c r="J2177" s="1" t="n">
        <x:v>1</x:v>
      </x:c>
      <x:c r="K2177" s="1" t="str">
        <x:v>搜狐/腾讯</x:v>
      </x:c>
    </x:row>
    <x:row r="2178" ht="25" customHeight="1">
      <x:c r="A2178" s="1" t="str">
        <x:v>sz399006</x:v>
      </x:c>
      <x:c r="B2178" s="1" t="str">
        <x:v>创业板指</x:v>
      </x:c>
      <x:c r="C2178" s="1" t="str">
        <x:v>2018-10</x:v>
      </x:c>
      <x:c r="D2178" s="1" t="str">
        <x:v>2018-09-28</x:v>
      </x:c>
      <x:c r="E2178" s="5" t="n">
        <x:v>1411.34</x:v>
      </x:c>
      <x:c r="F2178" s="6" t="str">
        <x:v>2018-10-31</x:v>
      </x:c>
      <x:c r="G2178" s="5" t="n">
        <x:v>1275.57</x:v>
      </x:c>
      <x:c r="H2178" s="7" t="n">
        <x:f>G2178/E2178-1</x:f>
        <x:v>-0.09619935663978918</x:v>
      </x:c>
      <x:c r="I2178" s="1" t="n">
        <x:v>1</x:v>
      </x:c>
      <x:c r="J2178" s="1" t="n">
        <x:v>1</x:v>
      </x:c>
      <x:c r="K2178" s="1" t="str">
        <x:v>搜狐/腾讯</x:v>
      </x:c>
    </x:row>
    <x:row r="2179" ht="25" customHeight="1">
      <x:c r="A2179" s="1" t="str">
        <x:v>sz399006</x:v>
      </x:c>
      <x:c r="B2179" s="1" t="str">
        <x:v>创业板指</x:v>
      </x:c>
      <x:c r="C2179" s="1" t="str">
        <x:v>2018-11</x:v>
      </x:c>
      <x:c r="D2179" s="1" t="str">
        <x:v>2018-10-31</x:v>
      </x:c>
      <x:c r="E2179" s="5" t="n">
        <x:v>1275.57</x:v>
      </x:c>
      <x:c r="F2179" s="6" t="str">
        <x:v>2018-11-30</x:v>
      </x:c>
      <x:c r="G2179" s="5" t="n">
        <x:v>1329.39</x:v>
      </x:c>
      <x:c r="H2179" s="7" t="n">
        <x:f>G2179/E2179-1</x:f>
        <x:v>0.04219290199675463</x:v>
      </x:c>
      <x:c r="I2179" s="1" t="n">
        <x:v>1</x:v>
      </x:c>
      <x:c r="J2179" s="1" t="n">
        <x:v>1</x:v>
      </x:c>
      <x:c r="K2179" s="1" t="str">
        <x:v>搜狐/腾讯</x:v>
      </x:c>
    </x:row>
    <x:row r="2180" ht="25" customHeight="1">
      <x:c r="A2180" s="1" t="str">
        <x:v>sz399006</x:v>
      </x:c>
      <x:c r="B2180" s="1" t="str">
        <x:v>创业板指</x:v>
      </x:c>
      <x:c r="C2180" s="1" t="str">
        <x:v>2018-12</x:v>
      </x:c>
      <x:c r="D2180" s="1" t="str">
        <x:v>2018-11-30</x:v>
      </x:c>
      <x:c r="E2180" s="5" t="n">
        <x:v>1329.39</x:v>
      </x:c>
      <x:c r="F2180" s="6" t="str">
        <x:v>2018-12-28</x:v>
      </x:c>
      <x:c r="G2180" s="5" t="n">
        <x:v>1250.53</x:v>
      </x:c>
      <x:c r="H2180" s="7" t="n">
        <x:f>G2180/E2180-1</x:f>
        <x:v>-0.059320440201897195</x:v>
      </x:c>
      <x:c r="I2180" s="1" t="n">
        <x:v>1</x:v>
      </x:c>
      <x:c r="J2180" s="1" t="n">
        <x:v>1</x:v>
      </x:c>
      <x:c r="K2180" s="1" t="str">
        <x:v>搜狐/腾讯</x:v>
      </x:c>
    </x:row>
    <x:row r="2181" ht="25" customHeight="1">
      <x:c r="A2181" s="1" t="str">
        <x:v>sz399006</x:v>
      </x:c>
      <x:c r="B2181" s="1" t="str">
        <x:v>创业板指</x:v>
      </x:c>
      <x:c r="C2181" s="1" t="str">
        <x:v>2019-01</x:v>
      </x:c>
      <x:c r="D2181" s="1" t="str">
        <x:v>2018-12-28</x:v>
      </x:c>
      <x:c r="E2181" s="5" t="n">
        <x:v>1250.53</x:v>
      </x:c>
      <x:c r="F2181" s="6" t="str">
        <x:v>2019-01-31</x:v>
      </x:c>
      <x:c r="G2181" s="5" t="n">
        <x:v>1227.99</x:v>
      </x:c>
      <x:c r="H2181" s="7" t="n">
        <x:f>G2181/E2181-1</x:f>
        <x:v>-0.01802435767234689</x:v>
      </x:c>
      <x:c r="I2181" s="1" t="n">
        <x:v>1</x:v>
      </x:c>
      <x:c r="J2181" s="1" t="n">
        <x:v>1</x:v>
      </x:c>
      <x:c r="K2181" s="1" t="str">
        <x:v>搜狐/腾讯</x:v>
      </x:c>
    </x:row>
    <x:row r="2182" ht="25" customHeight="1">
      <x:c r="A2182" s="1" t="str">
        <x:v>sz399006</x:v>
      </x:c>
      <x:c r="B2182" s="1" t="str">
        <x:v>创业板指</x:v>
      </x:c>
      <x:c r="C2182" s="1" t="str">
        <x:v>2019-02</x:v>
      </x:c>
      <x:c r="D2182" s="1" t="str">
        <x:v>2019-01-31</x:v>
      </x:c>
      <x:c r="E2182" s="5" t="n">
        <x:v>1227.99</x:v>
      </x:c>
      <x:c r="F2182" s="6" t="str">
        <x:v>2019-02-28</x:v>
      </x:c>
      <x:c r="G2182" s="5" t="n">
        <x:v>1535.68</x:v>
      </x:c>
      <x:c r="H2182" s="7" t="n">
        <x:f>G2182/E2182-1</x:f>
        <x:v>0.25056392967369456</x:v>
      </x:c>
      <x:c r="I2182" s="1" t="n">
        <x:v>1</x:v>
      </x:c>
      <x:c r="J2182" s="1" t="n">
        <x:v>1</x:v>
      </x:c>
      <x:c r="K2182" s="1" t="str">
        <x:v>搜狐/腾讯</x:v>
      </x:c>
    </x:row>
    <x:row r="2183" ht="25" customHeight="1">
      <x:c r="A2183" s="1" t="str">
        <x:v>sz399006</x:v>
      </x:c>
      <x:c r="B2183" s="1" t="str">
        <x:v>创业板指</x:v>
      </x:c>
      <x:c r="C2183" s="1" t="str">
        <x:v>2019-03</x:v>
      </x:c>
      <x:c r="D2183" s="1" t="str">
        <x:v>2019-02-28</x:v>
      </x:c>
      <x:c r="E2183" s="5" t="n">
        <x:v>1535.68</x:v>
      </x:c>
      <x:c r="F2183" s="6" t="str">
        <x:v>2019-03-29</x:v>
      </x:c>
      <x:c r="G2183" s="5" t="n">
        <x:v>1693.55</x:v>
      </x:c>
      <x:c r="H2183" s="7" t="n">
        <x:f>G2183/E2183-1</x:f>
        <x:v>0.10280136486768066</x:v>
      </x:c>
      <x:c r="I2183" s="1" t="n">
        <x:v>1</x:v>
      </x:c>
      <x:c r="J2183" s="1" t="n">
        <x:v>1</x:v>
      </x:c>
      <x:c r="K2183" s="1" t="str">
        <x:v>搜狐/腾讯</x:v>
      </x:c>
    </x:row>
    <x:row r="2184" ht="25" customHeight="1">
      <x:c r="A2184" s="1" t="str">
        <x:v>sz399006</x:v>
      </x:c>
      <x:c r="B2184" s="1" t="str">
        <x:v>创业板指</x:v>
      </x:c>
      <x:c r="C2184" s="1" t="str">
        <x:v>2019-04</x:v>
      </x:c>
      <x:c r="D2184" s="1" t="str">
        <x:v>2019-03-29</x:v>
      </x:c>
      <x:c r="E2184" s="5" t="n">
        <x:v>1693.55</x:v>
      </x:c>
      <x:c r="F2184" s="6" t="str">
        <x:v>2019-04-30</x:v>
      </x:c>
      <x:c r="G2184" s="5" t="n">
        <x:v>1623.78</x:v>
      </x:c>
      <x:c r="H2184" s="7" t="n">
        <x:f>G2184/E2184-1</x:f>
        <x:v>-0.04119748457382422</x:v>
      </x:c>
      <x:c r="I2184" s="1" t="n">
        <x:v>1</x:v>
      </x:c>
      <x:c r="J2184" s="1" t="n">
        <x:v>1</x:v>
      </x:c>
      <x:c r="K2184" s="1" t="str">
        <x:v>搜狐/腾讯</x:v>
      </x:c>
    </x:row>
    <x:row r="2185" ht="25" customHeight="1">
      <x:c r="A2185" s="1" t="str">
        <x:v>sz399006</x:v>
      </x:c>
      <x:c r="B2185" s="1" t="str">
        <x:v>创业板指</x:v>
      </x:c>
      <x:c r="C2185" s="1" t="str">
        <x:v>2019-05</x:v>
      </x:c>
      <x:c r="D2185" s="1" t="str">
        <x:v>2019-04-30</x:v>
      </x:c>
      <x:c r="E2185" s="5" t="n">
        <x:v>1623.78</x:v>
      </x:c>
      <x:c r="F2185" s="6" t="str">
        <x:v>2019-05-31</x:v>
      </x:c>
      <x:c r="G2185" s="5" t="n">
        <x:v>1483.66</x:v>
      </x:c>
      <x:c r="H2185" s="7" t="n">
        <x:f>G2185/E2185-1</x:f>
        <x:v>-0.08629247804505535</x:v>
      </x:c>
      <x:c r="I2185" s="1" t="n">
        <x:v>1</x:v>
      </x:c>
      <x:c r="J2185" s="1" t="n">
        <x:v>1</x:v>
      </x:c>
      <x:c r="K2185" s="1" t="str">
        <x:v>搜狐/腾讯</x:v>
      </x:c>
    </x:row>
    <x:row r="2186" ht="25" customHeight="1">
      <x:c r="A2186" s="1" t="str">
        <x:v>sz399006</x:v>
      </x:c>
      <x:c r="B2186" s="1" t="str">
        <x:v>创业板指</x:v>
      </x:c>
      <x:c r="C2186" s="1" t="str">
        <x:v>2019-06</x:v>
      </x:c>
      <x:c r="D2186" s="1" t="str">
        <x:v>2019-05-31</x:v>
      </x:c>
      <x:c r="E2186" s="5" t="n">
        <x:v>1483.66</x:v>
      </x:c>
      <x:c r="F2186" s="6" t="str">
        <x:v>2019-06-28</x:v>
      </x:c>
      <x:c r="G2186" s="5" t="n">
        <x:v>1511.51</x:v>
      </x:c>
      <x:c r="H2186" s="7" t="n">
        <x:f>G2186/E2186-1</x:f>
        <x:v>0.018771147028294743</x:v>
      </x:c>
      <x:c r="I2186" s="1" t="n">
        <x:v>1</x:v>
      </x:c>
      <x:c r="J2186" s="1" t="n">
        <x:v>1</x:v>
      </x:c>
      <x:c r="K2186" s="1" t="str">
        <x:v>搜狐/腾讯</x:v>
      </x:c>
    </x:row>
    <x:row r="2187" ht="25" customHeight="1">
      <x:c r="A2187" s="1" t="str">
        <x:v>sz399006</x:v>
      </x:c>
      <x:c r="B2187" s="1" t="str">
        <x:v>创业板指</x:v>
      </x:c>
      <x:c r="C2187" s="1" t="str">
        <x:v>2019-07</x:v>
      </x:c>
      <x:c r="D2187" s="1" t="str">
        <x:v>2019-06-28</x:v>
      </x:c>
      <x:c r="E2187" s="5" t="n">
        <x:v>1511.51</x:v>
      </x:c>
      <x:c r="F2187" s="6" t="str">
        <x:v>2019-07-31</x:v>
      </x:c>
      <x:c r="G2187" s="5" t="n">
        <x:v>1570.39</x:v>
      </x:c>
      <x:c r="H2187" s="7" t="n">
        <x:f>G2187/E2187-1</x:f>
        <x:v>0.038954423060383325</x:v>
      </x:c>
      <x:c r="I2187" s="1" t="n">
        <x:v>1</x:v>
      </x:c>
      <x:c r="J2187" s="1" t="n">
        <x:v>1</x:v>
      </x:c>
      <x:c r="K2187" s="1" t="str">
        <x:v>搜狐/腾讯</x:v>
      </x:c>
    </x:row>
    <x:row r="2188" ht="25" customHeight="1">
      <x:c r="A2188" s="1" t="str">
        <x:v>sz399006</x:v>
      </x:c>
      <x:c r="B2188" s="1" t="str">
        <x:v>创业板指</x:v>
      </x:c>
      <x:c r="C2188" s="1" t="str">
        <x:v>2019-08</x:v>
      </x:c>
      <x:c r="D2188" s="1" t="str">
        <x:v>2019-07-31</x:v>
      </x:c>
      <x:c r="E2188" s="5" t="n">
        <x:v>1570.39</x:v>
      </x:c>
      <x:c r="F2188" s="6" t="str">
        <x:v>2019-08-30</x:v>
      </x:c>
      <x:c r="G2188" s="5" t="n">
        <x:v>1610.9</x:v>
      </x:c>
      <x:c r="H2188" s="7" t="n">
        <x:f>G2188/E2188-1</x:f>
        <x:v>0.025796139812403363</x:v>
      </x:c>
      <x:c r="I2188" s="1" t="n">
        <x:v>1</x:v>
      </x:c>
      <x:c r="J2188" s="1" t="n">
        <x:v>1</x:v>
      </x:c>
      <x:c r="K2188" s="1" t="str">
        <x:v>搜狐/腾讯</x:v>
      </x:c>
    </x:row>
    <x:row r="2189" ht="25" customHeight="1">
      <x:c r="A2189" s="1" t="str">
        <x:v>sz399006</x:v>
      </x:c>
      <x:c r="B2189" s="1" t="str">
        <x:v>创业板指</x:v>
      </x:c>
      <x:c r="C2189" s="1" t="str">
        <x:v>2019-09</x:v>
      </x:c>
      <x:c r="D2189" s="1" t="str">
        <x:v>2019-08-30</x:v>
      </x:c>
      <x:c r="E2189" s="5" t="n">
        <x:v>1610.9</x:v>
      </x:c>
      <x:c r="F2189" s="6" t="str">
        <x:v>2019-09-30</x:v>
      </x:c>
      <x:c r="G2189" s="5" t="n">
        <x:v>1627.55</x:v>
      </x:c>
      <x:c r="H2189" s="7" t="n">
        <x:f>G2189/E2189-1</x:f>
        <x:v>0.010335837109690216</x:v>
      </x:c>
      <x:c r="I2189" s="1" t="n">
        <x:v>1</x:v>
      </x:c>
      <x:c r="J2189" s="1" t="n">
        <x:v>1</x:v>
      </x:c>
      <x:c r="K2189" s="1" t="str">
        <x:v>搜狐/腾讯</x:v>
      </x:c>
    </x:row>
    <x:row r="2190" ht="25" customHeight="1">
      <x:c r="A2190" s="1" t="str">
        <x:v>sz399006</x:v>
      </x:c>
      <x:c r="B2190" s="1" t="str">
        <x:v>创业板指</x:v>
      </x:c>
      <x:c r="C2190" s="1" t="str">
        <x:v>2019-10</x:v>
      </x:c>
      <x:c r="D2190" s="1" t="str">
        <x:v>2019-09-30</x:v>
      </x:c>
      <x:c r="E2190" s="5" t="n">
        <x:v>1627.55</x:v>
      </x:c>
      <x:c r="F2190" s="6" t="str">
        <x:v>2019-10-31</x:v>
      </x:c>
      <x:c r="G2190" s="5" t="n">
        <x:v>1671.31</x:v>
      </x:c>
      <x:c r="H2190" s="7" t="n">
        <x:f>G2190/E2190-1</x:f>
        <x:v>0.026887038800651242</x:v>
      </x:c>
      <x:c r="I2190" s="1" t="n">
        <x:v>1</x:v>
      </x:c>
      <x:c r="J2190" s="1" t="n">
        <x:v>1</x:v>
      </x:c>
      <x:c r="K2190" s="1" t="str">
        <x:v>搜狐/腾讯</x:v>
      </x:c>
    </x:row>
    <x:row r="2191" ht="25" customHeight="1">
      <x:c r="A2191" s="1" t="str">
        <x:v>sz399006</x:v>
      </x:c>
      <x:c r="B2191" s="1" t="str">
        <x:v>创业板指</x:v>
      </x:c>
      <x:c r="C2191" s="1" t="str">
        <x:v>2019-11</x:v>
      </x:c>
      <x:c r="D2191" s="1" t="str">
        <x:v>2019-10-31</x:v>
      </x:c>
      <x:c r="E2191" s="5" t="n">
        <x:v>1671.31</x:v>
      </x:c>
      <x:c r="F2191" s="6" t="str">
        <x:v>2019-11-29</x:v>
      </x:c>
      <x:c r="G2191" s="5" t="n">
        <x:v>1664.9</x:v>
      </x:c>
      <x:c r="H2191" s="7" t="n">
        <x:f>G2191/E2191-1</x:f>
        <x:v>-0.00383531481293109</x:v>
      </x:c>
      <x:c r="I2191" s="1" t="n">
        <x:v>1</x:v>
      </x:c>
      <x:c r="J2191" s="1" t="n">
        <x:v>1</x:v>
      </x:c>
      <x:c r="K2191" s="1" t="str">
        <x:v>搜狐/腾讯</x:v>
      </x:c>
    </x:row>
    <x:row r="2192" ht="25" customHeight="1">
      <x:c r="A2192" s="1" t="str">
        <x:v>sz399006</x:v>
      </x:c>
      <x:c r="B2192" s="1" t="str">
        <x:v>创业板指</x:v>
      </x:c>
      <x:c r="C2192" s="1" t="str">
        <x:v>2019-12</x:v>
      </x:c>
      <x:c r="D2192" s="1" t="str">
        <x:v>2019-11-29</x:v>
      </x:c>
      <x:c r="E2192" s="5" t="n">
        <x:v>1664.9</x:v>
      </x:c>
      <x:c r="F2192" s="6" t="str">
        <x:v>2019-12-31</x:v>
      </x:c>
      <x:c r="G2192" s="5" t="n">
        <x:v>1798.12</x:v>
      </x:c>
      <x:c r="H2192" s="7" t="n">
        <x:f>G2192/E2192-1</x:f>
        <x:v>0.08001681782689629</x:v>
      </x:c>
      <x:c r="I2192" s="1" t="n">
        <x:v>1</x:v>
      </x:c>
      <x:c r="J2192" s="1" t="n">
        <x:v>1</x:v>
      </x:c>
      <x:c r="K2192" s="1" t="str">
        <x:v>搜狐/腾讯</x:v>
      </x:c>
    </x:row>
    <x:row r="2193" ht="25" customHeight="1">
      <x:c r="A2193" s="1" t="str">
        <x:v>sz399006</x:v>
      </x:c>
      <x:c r="B2193" s="1" t="str">
        <x:v>创业板指</x:v>
      </x:c>
      <x:c r="C2193" s="1" t="str">
        <x:v>2020-01</x:v>
      </x:c>
      <x:c r="D2193" s="1" t="str">
        <x:v>2019-12-31</x:v>
      </x:c>
      <x:c r="E2193" s="5" t="n">
        <x:v>1798.12</x:v>
      </x:c>
      <x:c r="F2193" s="6" t="str">
        <x:v>2020-01-23</x:v>
      </x:c>
      <x:c r="G2193" s="5" t="n">
        <x:v>1927.74</x:v>
      </x:c>
      <x:c r="H2193" s="7" t="n">
        <x:f>G2193/E2193-1</x:f>
        <x:v>0.07208640135252375</x:v>
      </x:c>
      <x:c r="I2193" s="1" t="n">
        <x:v>1</x:v>
      </x:c>
      <x:c r="J2193" s="1" t="n">
        <x:v>1</x:v>
      </x:c>
      <x:c r="K2193" s="1" t="str">
        <x:v>搜狐/腾讯</x:v>
      </x:c>
    </x:row>
    <x:row r="2194" ht="25" customHeight="1">
      <x:c r="A2194" s="1" t="str">
        <x:v>sz399006</x:v>
      </x:c>
      <x:c r="B2194" s="1" t="str">
        <x:v>创业板指</x:v>
      </x:c>
      <x:c r="C2194" s="1" t="str">
        <x:v>2020-02</x:v>
      </x:c>
      <x:c r="D2194" s="1" t="str">
        <x:v>2020-01-23</x:v>
      </x:c>
      <x:c r="E2194" s="5" t="n">
        <x:v>1927.74</x:v>
      </x:c>
      <x:c r="F2194" s="6" t="str">
        <x:v>2020-02-28</x:v>
      </x:c>
      <x:c r="G2194" s="5" t="n">
        <x:v>2071.57</x:v>
      </x:c>
      <x:c r="H2194" s="7" t="n">
        <x:f>G2194/E2194-1</x:f>
        <x:v>0.07461068401340443</x:v>
      </x:c>
      <x:c r="I2194" s="1" t="n">
        <x:v>1</x:v>
      </x:c>
      <x:c r="J2194" s="1" t="n">
        <x:v>1</x:v>
      </x:c>
      <x:c r="K2194" s="1" t="str">
        <x:v>搜狐/腾讯</x:v>
      </x:c>
    </x:row>
    <x:row r="2195" ht="25" customHeight="1">
      <x:c r="A2195" s="1" t="str">
        <x:v>sz399006</x:v>
      </x:c>
      <x:c r="B2195" s="1" t="str">
        <x:v>创业板指</x:v>
      </x:c>
      <x:c r="C2195" s="1" t="str">
        <x:v>2020-03</x:v>
      </x:c>
      <x:c r="D2195" s="1" t="str">
        <x:v>2020-02-28</x:v>
      </x:c>
      <x:c r="E2195" s="5" t="n">
        <x:v>2071.57</x:v>
      </x:c>
      <x:c r="F2195" s="6" t="str">
        <x:v>2020-03-31</x:v>
      </x:c>
      <x:c r="G2195" s="5" t="n">
        <x:v>1871.92</x:v>
      </x:c>
      <x:c r="H2195" s="7" t="n">
        <x:f>G2195/E2195-1</x:f>
        <x:v>-0.0963761784540228</x:v>
      </x:c>
      <x:c r="I2195" s="1" t="n">
        <x:v>1</x:v>
      </x:c>
      <x:c r="J2195" s="1" t="n">
        <x:v>1</x:v>
      </x:c>
      <x:c r="K2195" s="1" t="str">
        <x:v>搜狐/腾讯</x:v>
      </x:c>
    </x:row>
    <x:row r="2196" ht="25" customHeight="1">
      <x:c r="A2196" s="1" t="str">
        <x:v>sz399006</x:v>
      </x:c>
      <x:c r="B2196" s="1" t="str">
        <x:v>创业板指</x:v>
      </x:c>
      <x:c r="C2196" s="1" t="str">
        <x:v>2020-04</x:v>
      </x:c>
      <x:c r="D2196" s="1" t="str">
        <x:v>2020-03-31</x:v>
      </x:c>
      <x:c r="E2196" s="5" t="n">
        <x:v>1871.92</x:v>
      </x:c>
      <x:c r="F2196" s="6" t="str">
        <x:v>2020-04-30</x:v>
      </x:c>
      <x:c r="G2196" s="5" t="n">
        <x:v>2069.43</x:v>
      </x:c>
      <x:c r="H2196" s="7" t="n">
        <x:f>G2196/E2196-1</x:f>
        <x:v>0.1055119876917816</x:v>
      </x:c>
      <x:c r="I2196" s="1" t="n">
        <x:v>1</x:v>
      </x:c>
      <x:c r="J2196" s="1" t="n">
        <x:v>1</x:v>
      </x:c>
      <x:c r="K2196" s="1" t="str">
        <x:v>搜狐/腾讯</x:v>
      </x:c>
    </x:row>
    <x:row r="2197" ht="25" customHeight="1">
      <x:c r="A2197" s="1" t="str">
        <x:v>sz399006</x:v>
      </x:c>
      <x:c r="B2197" s="1" t="str">
        <x:v>创业板指</x:v>
      </x:c>
      <x:c r="C2197" s="1" t="str">
        <x:v>2020-05</x:v>
      </x:c>
      <x:c r="D2197" s="1" t="str">
        <x:v>2020-04-30</x:v>
      </x:c>
      <x:c r="E2197" s="5" t="n">
        <x:v>2069.43</x:v>
      </x:c>
      <x:c r="F2197" s="6" t="str">
        <x:v>2020-05-29</x:v>
      </x:c>
      <x:c r="G2197" s="5" t="n">
        <x:v>2086.67</x:v>
      </x:c>
      <x:c r="H2197" s="7" t="n">
        <x:f>G2197/E2197-1</x:f>
        <x:v>0.008330796402874263</x:v>
      </x:c>
      <x:c r="I2197" s="1" t="n">
        <x:v>1</x:v>
      </x:c>
      <x:c r="J2197" s="1" t="n">
        <x:v>1</x:v>
      </x:c>
      <x:c r="K2197" s="1" t="str">
        <x:v>搜狐/腾讯</x:v>
      </x:c>
    </x:row>
    <x:row r="2198" ht="25" customHeight="1">
      <x:c r="A2198" s="1" t="str">
        <x:v>sz399006</x:v>
      </x:c>
      <x:c r="B2198" s="1" t="str">
        <x:v>创业板指</x:v>
      </x:c>
      <x:c r="C2198" s="1" t="str">
        <x:v>2020-06</x:v>
      </x:c>
      <x:c r="D2198" s="1" t="str">
        <x:v>2020-05-29</x:v>
      </x:c>
      <x:c r="E2198" s="5" t="n">
        <x:v>2086.67</x:v>
      </x:c>
      <x:c r="F2198" s="6" t="str">
        <x:v>2020-06-30</x:v>
      </x:c>
      <x:c r="G2198" s="5" t="n">
        <x:v>2438.2</x:v>
      </x:c>
      <x:c r="H2198" s="7" t="n">
        <x:f>G2198/E2198-1</x:f>
        <x:v>0.16846458711727275</x:v>
      </x:c>
      <x:c r="I2198" s="1" t="n">
        <x:v>1</x:v>
      </x:c>
      <x:c r="J2198" s="1" t="n">
        <x:v>1</x:v>
      </x:c>
      <x:c r="K2198" s="1" t="str">
        <x:v>搜狐/腾讯</x:v>
      </x:c>
    </x:row>
    <x:row r="2199" ht="25" customHeight="1">
      <x:c r="A2199" s="1" t="str">
        <x:v>sz399006</x:v>
      </x:c>
      <x:c r="B2199" s="1" t="str">
        <x:v>创业板指</x:v>
      </x:c>
      <x:c r="C2199" s="1" t="str">
        <x:v>2020-07</x:v>
      </x:c>
      <x:c r="D2199" s="1" t="str">
        <x:v>2020-06-30</x:v>
      </x:c>
      <x:c r="E2199" s="5" t="n">
        <x:v>2438.2</x:v>
      </x:c>
      <x:c r="F2199" s="6" t="str">
        <x:v>2020-07-31</x:v>
      </x:c>
      <x:c r="G2199" s="5" t="n">
        <x:v>2795.4</x:v>
      </x:c>
      <x:c r="H2199" s="7" t="n">
        <x:f>G2199/E2199-1</x:f>
        <x:v>0.1465015175129194</x:v>
      </x:c>
      <x:c r="I2199" s="1" t="n">
        <x:v>1</x:v>
      </x:c>
      <x:c r="J2199" s="1" t="n">
        <x:v>1</x:v>
      </x:c>
      <x:c r="K2199" s="1" t="str">
        <x:v>搜狐/腾讯</x:v>
      </x:c>
    </x:row>
    <x:row r="2200" ht="25" customHeight="1">
      <x:c r="A2200" s="1" t="str">
        <x:v>sz399006</x:v>
      </x:c>
      <x:c r="B2200" s="1" t="str">
        <x:v>创业板指</x:v>
      </x:c>
      <x:c r="C2200" s="1" t="str">
        <x:v>2020-08</x:v>
      </x:c>
      <x:c r="D2200" s="1" t="str">
        <x:v>2020-07-31</x:v>
      </x:c>
      <x:c r="E2200" s="5" t="n">
        <x:v>2795.4</x:v>
      </x:c>
      <x:c r="F2200" s="6" t="str">
        <x:v>2020-08-31</x:v>
      </x:c>
      <x:c r="G2200" s="5" t="n">
        <x:v>2728.31</x:v>
      </x:c>
      <x:c r="H2200" s="7" t="n">
        <x:f>G2200/E2200-1</x:f>
        <x:v>-0.02400014309222298</x:v>
      </x:c>
      <x:c r="I2200" s="1" t="n">
        <x:v>1</x:v>
      </x:c>
      <x:c r="J2200" s="1" t="n">
        <x:v>1</x:v>
      </x:c>
      <x:c r="K2200" s="1" t="str">
        <x:v>搜狐/腾讯</x:v>
      </x:c>
    </x:row>
    <x:row r="2201" ht="25" customHeight="1">
      <x:c r="A2201" s="1" t="str">
        <x:v>sz399006</x:v>
      </x:c>
      <x:c r="B2201" s="1" t="str">
        <x:v>创业板指</x:v>
      </x:c>
      <x:c r="C2201" s="1" t="str">
        <x:v>2020-09</x:v>
      </x:c>
      <x:c r="D2201" s="1" t="str">
        <x:v>2020-08-31</x:v>
      </x:c>
      <x:c r="E2201" s="5" t="n">
        <x:v>2728.31</x:v>
      </x:c>
      <x:c r="F2201" s="6" t="str">
        <x:v>2020-09-30</x:v>
      </x:c>
      <x:c r="G2201" s="5" t="n">
        <x:v>2574.76</x:v>
      </x:c>
      <x:c r="H2201" s="7" t="n">
        <x:f>G2201/E2201-1</x:f>
        <x:v>-0.056280261407244625</x:v>
      </x:c>
      <x:c r="I2201" s="1" t="n">
        <x:v>1</x:v>
      </x:c>
      <x:c r="J2201" s="1" t="n">
        <x:v>1</x:v>
      </x:c>
      <x:c r="K2201" s="1" t="str">
        <x:v>搜狐/腾讯</x:v>
      </x:c>
    </x:row>
    <x:row r="2202" ht="25" customHeight="1">
      <x:c r="A2202" s="1" t="str">
        <x:v>sz399006</x:v>
      </x:c>
      <x:c r="B2202" s="1" t="str">
        <x:v>创业板指</x:v>
      </x:c>
      <x:c r="C2202" s="1" t="str">
        <x:v>2020-10</x:v>
      </x:c>
      <x:c r="D2202" s="1" t="str">
        <x:v>2020-09-30</x:v>
      </x:c>
      <x:c r="E2202" s="5" t="n">
        <x:v>2574.76</x:v>
      </x:c>
      <x:c r="F2202" s="6" t="str">
        <x:v>2020-10-30</x:v>
      </x:c>
      <x:c r="G2202" s="5" t="n">
        <x:v>2655.87</x:v>
      </x:c>
      <x:c r="H2202" s="7" t="n">
        <x:f>G2202/E2202-1</x:f>
        <x:v>0.03150196523171078</x:v>
      </x:c>
      <x:c r="I2202" s="1" t="n">
        <x:v>1</x:v>
      </x:c>
      <x:c r="J2202" s="1" t="n">
        <x:v>1</x:v>
      </x:c>
      <x:c r="K2202" s="1" t="str">
        <x:v>搜狐/腾讯</x:v>
      </x:c>
    </x:row>
    <x:row r="2203" ht="25" customHeight="1">
      <x:c r="A2203" s="1" t="str">
        <x:v>sz399006</x:v>
      </x:c>
      <x:c r="B2203" s="1" t="str">
        <x:v>创业板指</x:v>
      </x:c>
      <x:c r="C2203" s="1" t="str">
        <x:v>2020-11</x:v>
      </x:c>
      <x:c r="D2203" s="1" t="str">
        <x:v>2020-10-30</x:v>
      </x:c>
      <x:c r="E2203" s="5" t="n">
        <x:v>2655.87</x:v>
      </x:c>
      <x:c r="F2203" s="6" t="str">
        <x:v>2020-11-30</x:v>
      </x:c>
      <x:c r="G2203" s="5" t="n">
        <x:v>2631.89</x:v>
      </x:c>
      <x:c r="H2203" s="7" t="n">
        <x:f>G2203/E2203-1</x:f>
        <x:v>-0.009029056392067414</x:v>
      </x:c>
      <x:c r="I2203" s="1" t="n">
        <x:v>1</x:v>
      </x:c>
      <x:c r="J2203" s="1" t="n">
        <x:v>1</x:v>
      </x:c>
      <x:c r="K2203" s="1" t="str">
        <x:v>搜狐/腾讯</x:v>
      </x:c>
    </x:row>
    <x:row r="2204" ht="25" customHeight="1">
      <x:c r="A2204" s="1" t="str">
        <x:v>sz399006</x:v>
      </x:c>
      <x:c r="B2204" s="1" t="str">
        <x:v>创业板指</x:v>
      </x:c>
      <x:c r="C2204" s="1" t="str">
        <x:v>2020-12</x:v>
      </x:c>
      <x:c r="D2204" s="1" t="str">
        <x:v>2020-11-30</x:v>
      </x:c>
      <x:c r="E2204" s="5" t="n">
        <x:v>2631.89</x:v>
      </x:c>
      <x:c r="F2204" s="6" t="str">
        <x:v>2020-12-31</x:v>
      </x:c>
      <x:c r="G2204" s="5" t="n">
        <x:v>2966.26</x:v>
      </x:c>
      <x:c r="H2204" s="7" t="n">
        <x:f>G2204/E2204-1</x:f>
        <x:v>0.1270455832120645</x:v>
      </x:c>
      <x:c r="I2204" s="1" t="n">
        <x:v>1</x:v>
      </x:c>
      <x:c r="J2204" s="1" t="n">
        <x:v>1</x:v>
      </x:c>
      <x:c r="K2204" s="1" t="str">
        <x:v>搜狐/腾讯</x:v>
      </x:c>
    </x:row>
    <x:row r="2205" ht="25" customHeight="1">
      <x:c r="A2205" s="1" t="str">
        <x:v>sz399006</x:v>
      </x:c>
      <x:c r="B2205" s="1" t="str">
        <x:v>创业板指</x:v>
      </x:c>
      <x:c r="C2205" s="1" t="str">
        <x:v>2021-01</x:v>
      </x:c>
      <x:c r="D2205" s="1" t="str">
        <x:v>2020-12-31</x:v>
      </x:c>
      <x:c r="E2205" s="5" t="n">
        <x:v>2966.26</x:v>
      </x:c>
      <x:c r="F2205" s="6" t="str">
        <x:v>2021-01-29</x:v>
      </x:c>
      <x:c r="G2205" s="5" t="n">
        <x:v>3128.87</x:v>
      </x:c>
      <x:c r="H2205" s="7" t="n">
        <x:f>G2205/E2205-1</x:f>
        <x:v>0.05481987418500056</x:v>
      </x:c>
      <x:c r="I2205" s="1" t="n">
        <x:v>1</x:v>
      </x:c>
      <x:c r="J2205" s="1" t="n">
        <x:v>1</x:v>
      </x:c>
      <x:c r="K2205" s="1" t="str">
        <x:v>搜狐/腾讯</x:v>
      </x:c>
    </x:row>
    <x:row r="2206" ht="25" customHeight="1">
      <x:c r="A2206" s="1" t="str">
        <x:v>sz399006</x:v>
      </x:c>
      <x:c r="B2206" s="1" t="str">
        <x:v>创业板指</x:v>
      </x:c>
      <x:c r="C2206" s="1" t="str">
        <x:v>2021-02</x:v>
      </x:c>
      <x:c r="D2206" s="1" t="str">
        <x:v>2021-01-29</x:v>
      </x:c>
      <x:c r="E2206" s="5" t="n">
        <x:v>3128.87</x:v>
      </x:c>
      <x:c r="F2206" s="6" t="str">
        <x:v>2021-02-26</x:v>
      </x:c>
      <x:c r="G2206" s="5" t="n">
        <x:v>2914.11</x:v>
      </x:c>
      <x:c r="H2206" s="7" t="n">
        <x:f>G2206/E2206-1</x:f>
        <x:v>-0.06863819845503316</x:v>
      </x:c>
      <x:c r="I2206" s="1" t="n">
        <x:v>1</x:v>
      </x:c>
      <x:c r="J2206" s="1" t="n">
        <x:v>1</x:v>
      </x:c>
      <x:c r="K2206" s="1" t="str">
        <x:v>搜狐/腾讯</x:v>
      </x:c>
    </x:row>
    <x:row r="2207" ht="25" customHeight="1">
      <x:c r="A2207" s="1" t="str">
        <x:v>sz399006</x:v>
      </x:c>
      <x:c r="B2207" s="1" t="str">
        <x:v>创业板指</x:v>
      </x:c>
      <x:c r="C2207" s="1" t="str">
        <x:v>2021-03</x:v>
      </x:c>
      <x:c r="D2207" s="1" t="str">
        <x:v>2021-02-26</x:v>
      </x:c>
      <x:c r="E2207" s="5" t="n">
        <x:v>2914.11</x:v>
      </x:c>
      <x:c r="F2207" s="6" t="str">
        <x:v>2021-03-31</x:v>
      </x:c>
      <x:c r="G2207" s="5" t="n">
        <x:v>2758.5</x:v>
      </x:c>
      <x:c r="H2207" s="7" t="n">
        <x:f>G2207/E2207-1</x:f>
        <x:v>-0.05339880786929807</x:v>
      </x:c>
      <x:c r="I2207" s="1" t="n">
        <x:v>1</x:v>
      </x:c>
      <x:c r="J2207" s="1" t="n">
        <x:v>1</x:v>
      </x:c>
      <x:c r="K2207" s="1" t="str">
        <x:v>搜狐/腾讯</x:v>
      </x:c>
    </x:row>
    <x:row r="2208" ht="25" customHeight="1">
      <x:c r="A2208" s="1" t="str">
        <x:v>sz399006</x:v>
      </x:c>
      <x:c r="B2208" s="1" t="str">
        <x:v>创业板指</x:v>
      </x:c>
      <x:c r="C2208" s="1" t="str">
        <x:v>2021-04</x:v>
      </x:c>
      <x:c r="D2208" s="1" t="str">
        <x:v>2021-03-31</x:v>
      </x:c>
      <x:c r="E2208" s="5" t="n">
        <x:v>2758.5</x:v>
      </x:c>
      <x:c r="F2208" s="6" t="str">
        <x:v>2021-04-30</x:v>
      </x:c>
      <x:c r="G2208" s="5" t="n">
        <x:v>3091.4</x:v>
      </x:c>
      <x:c r="H2208" s="7" t="n">
        <x:f>G2208/E2208-1</x:f>
        <x:v>0.12068152981692948</x:v>
      </x:c>
      <x:c r="I2208" s="1" t="n">
        <x:v>1</x:v>
      </x:c>
      <x:c r="J2208" s="1" t="n">
        <x:v>1</x:v>
      </x:c>
      <x:c r="K2208" s="1" t="str">
        <x:v>搜狐/腾讯</x:v>
      </x:c>
    </x:row>
    <x:row r="2209" ht="25" customHeight="1">
      <x:c r="A2209" s="1" t="str">
        <x:v>sz399006</x:v>
      </x:c>
      <x:c r="B2209" s="1" t="str">
        <x:v>创业板指</x:v>
      </x:c>
      <x:c r="C2209" s="1" t="str">
        <x:v>2021-05</x:v>
      </x:c>
      <x:c r="D2209" s="1" t="str">
        <x:v>2021-04-30</x:v>
      </x:c>
      <x:c r="E2209" s="5" t="n">
        <x:v>3091.4</x:v>
      </x:c>
      <x:c r="F2209" s="6" t="str">
        <x:v>2021-05-31</x:v>
      </x:c>
      <x:c r="G2209" s="5" t="n">
        <x:v>3309.07</x:v>
      </x:c>
      <x:c r="H2209" s="7" t="n">
        <x:f>G2209/E2209-1</x:f>
        <x:v>0.07041146406159027</x:v>
      </x:c>
      <x:c r="I2209" s="1" t="n">
        <x:v>1</x:v>
      </x:c>
      <x:c r="J2209" s="1" t="n">
        <x:v>1</x:v>
      </x:c>
      <x:c r="K2209" s="1" t="str">
        <x:v>搜狐/腾讯</x:v>
      </x:c>
    </x:row>
    <x:row r="2210" ht="25" customHeight="1">
      <x:c r="A2210" s="1" t="str">
        <x:v>sz399006</x:v>
      </x:c>
      <x:c r="B2210" s="1" t="str">
        <x:v>创业板指</x:v>
      </x:c>
      <x:c r="C2210" s="1" t="str">
        <x:v>2021-06</x:v>
      </x:c>
      <x:c r="D2210" s="1" t="str">
        <x:v>2021-05-31</x:v>
      </x:c>
      <x:c r="E2210" s="5" t="n">
        <x:v>3309.07</x:v>
      </x:c>
      <x:c r="F2210" s="6" t="str">
        <x:v>2021-06-30</x:v>
      </x:c>
      <x:c r="G2210" s="5" t="n">
        <x:v>3477.18</x:v>
      </x:c>
      <x:c r="H2210" s="7" t="n">
        <x:f>G2210/E2210-1</x:f>
        <x:v>0.05080279353413486</x:v>
      </x:c>
      <x:c r="I2210" s="1" t="n">
        <x:v>1</x:v>
      </x:c>
      <x:c r="J2210" s="1" t="n">
        <x:v>1</x:v>
      </x:c>
      <x:c r="K2210" s="1" t="str">
        <x:v>搜狐/腾讯</x:v>
      </x:c>
    </x:row>
    <x:row r="2211" ht="25" customHeight="1">
      <x:c r="A2211" s="1" t="str">
        <x:v>sz399006</x:v>
      </x:c>
      <x:c r="B2211" s="1" t="str">
        <x:v>创业板指</x:v>
      </x:c>
      <x:c r="C2211" s="1" t="str">
        <x:v>2021-07</x:v>
      </x:c>
      <x:c r="D2211" s="1" t="str">
        <x:v>2021-06-30</x:v>
      </x:c>
      <x:c r="E2211" s="5" t="n">
        <x:v>3477.18</x:v>
      </x:c>
      <x:c r="F2211" s="6" t="str">
        <x:v>2021-07-30</x:v>
      </x:c>
      <x:c r="G2211" s="5" t="n">
        <x:v>3440.18</x:v>
      </x:c>
      <x:c r="H2211" s="7" t="n">
        <x:f>G2211/E2211-1</x:f>
        <x:v>-0.010640806630660471</x:v>
      </x:c>
      <x:c r="I2211" s="1" t="n">
        <x:v>1</x:v>
      </x:c>
      <x:c r="J2211" s="1" t="n">
        <x:v>1</x:v>
      </x:c>
      <x:c r="K2211" s="1" t="str">
        <x:v>搜狐/腾讯</x:v>
      </x:c>
    </x:row>
    <x:row r="2212" ht="25" customHeight="1">
      <x:c r="A2212" s="1" t="str">
        <x:v>sz399006</x:v>
      </x:c>
      <x:c r="B2212" s="1" t="str">
        <x:v>创业板指</x:v>
      </x:c>
      <x:c r="C2212" s="1" t="str">
        <x:v>2021-08</x:v>
      </x:c>
      <x:c r="D2212" s="1" t="str">
        <x:v>2021-07-30</x:v>
      </x:c>
      <x:c r="E2212" s="5" t="n">
        <x:v>3440.18</x:v>
      </x:c>
      <x:c r="F2212" s="6" t="str">
        <x:v>2021-08-31</x:v>
      </x:c>
      <x:c r="G2212" s="5" t="n">
        <x:v>3214.12</x:v>
      </x:c>
      <x:c r="H2212" s="7" t="n">
        <x:f>G2212/E2212-1</x:f>
        <x:v>-0.06571167787732035</x:v>
      </x:c>
      <x:c r="I2212" s="1" t="n">
        <x:v>1</x:v>
      </x:c>
      <x:c r="J2212" s="1" t="n">
        <x:v>1</x:v>
      </x:c>
      <x:c r="K2212" s="1" t="str">
        <x:v>搜狐/腾讯</x:v>
      </x:c>
    </x:row>
    <x:row r="2213" ht="25" customHeight="1">
      <x:c r="A2213" s="1" t="str">
        <x:v>sz399006</x:v>
      </x:c>
      <x:c r="B2213" s="1" t="str">
        <x:v>创业板指</x:v>
      </x:c>
      <x:c r="C2213" s="1" t="str">
        <x:v>2021-09</x:v>
      </x:c>
      <x:c r="D2213" s="1" t="str">
        <x:v>2021-08-31</x:v>
      </x:c>
      <x:c r="E2213" s="5" t="n">
        <x:v>3214.12</x:v>
      </x:c>
      <x:c r="F2213" s="6" t="str">
        <x:v>2021-09-30</x:v>
      </x:c>
      <x:c r="G2213" s="5" t="n">
        <x:v>3244.65</x:v>
      </x:c>
      <x:c r="H2213" s="7" t="n">
        <x:f>G2213/E2213-1</x:f>
        <x:v>0.009498711933592974</x:v>
      </x:c>
      <x:c r="I2213" s="1" t="n">
        <x:v>1</x:v>
      </x:c>
      <x:c r="J2213" s="1" t="n">
        <x:v>1</x:v>
      </x:c>
      <x:c r="K2213" s="1" t="str">
        <x:v>搜狐/腾讯</x:v>
      </x:c>
    </x:row>
    <x:row r="2214" ht="25" customHeight="1">
      <x:c r="A2214" s="1" t="str">
        <x:v>sz399006</x:v>
      </x:c>
      <x:c r="B2214" s="1" t="str">
        <x:v>创业板指</x:v>
      </x:c>
      <x:c r="C2214" s="1" t="str">
        <x:v>2021-10</x:v>
      </x:c>
      <x:c r="D2214" s="1" t="str">
        <x:v>2021-09-30</x:v>
      </x:c>
      <x:c r="E2214" s="5" t="n">
        <x:v>3244.65</x:v>
      </x:c>
      <x:c r="F2214" s="6" t="str">
        <x:v>2021-10-29</x:v>
      </x:c>
      <x:c r="G2214" s="5" t="n">
        <x:v>3350.67</x:v>
      </x:c>
      <x:c r="H2214" s="7" t="n">
        <x:f>G2214/E2214-1</x:f>
        <x:v>0.03267532707688048</x:v>
      </x:c>
      <x:c r="I2214" s="1" t="n">
        <x:v>1</x:v>
      </x:c>
      <x:c r="J2214" s="1" t="n">
        <x:v>1</x:v>
      </x:c>
      <x:c r="K2214" s="1" t="str">
        <x:v>搜狐/腾讯</x:v>
      </x:c>
    </x:row>
    <x:row r="2215" ht="25" customHeight="1">
      <x:c r="A2215" s="1" t="str">
        <x:v>sz399006</x:v>
      </x:c>
      <x:c r="B2215" s="1" t="str">
        <x:v>创业板指</x:v>
      </x:c>
      <x:c r="C2215" s="1" t="str">
        <x:v>2021-11</x:v>
      </x:c>
      <x:c r="D2215" s="1" t="str">
        <x:v>2021-10-29</x:v>
      </x:c>
      <x:c r="E2215" s="5" t="n">
        <x:v>3350.67</x:v>
      </x:c>
      <x:c r="F2215" s="6" t="str">
        <x:v>2021-11-30</x:v>
      </x:c>
      <x:c r="G2215" s="5" t="n">
        <x:v>3495.59</x:v>
      </x:c>
      <x:c r="H2215" s="7" t="n">
        <x:f>G2215/E2215-1</x:f>
        <x:v>0.043251051282280795</x:v>
      </x:c>
      <x:c r="I2215" s="1" t="n">
        <x:v>1</x:v>
      </x:c>
      <x:c r="J2215" s="1" t="n">
        <x:v>1</x:v>
      </x:c>
      <x:c r="K2215" s="1" t="str">
        <x:v>搜狐/腾讯</x:v>
      </x:c>
    </x:row>
    <x:row r="2216" ht="25" customHeight="1">
      <x:c r="A2216" s="1" t="str">
        <x:v>sz399006</x:v>
      </x:c>
      <x:c r="B2216" s="1" t="str">
        <x:v>创业板指</x:v>
      </x:c>
      <x:c r="C2216" s="1" t="str">
        <x:v>2021-12</x:v>
      </x:c>
      <x:c r="D2216" s="1" t="str">
        <x:v>2021-11-30</x:v>
      </x:c>
      <x:c r="E2216" s="5" t="n">
        <x:v>3495.59</x:v>
      </x:c>
      <x:c r="F2216" s="6" t="str">
        <x:v>2021-12-31</x:v>
      </x:c>
      <x:c r="G2216" s="5" t="n">
        <x:v>3322.67</x:v>
      </x:c>
      <x:c r="H2216" s="7" t="n">
        <x:f>G2216/E2216-1</x:f>
        <x:v>-0.04946804402118099</x:v>
      </x:c>
      <x:c r="I2216" s="1" t="n">
        <x:v>1</x:v>
      </x:c>
      <x:c r="J2216" s="1" t="n">
        <x:v>1</x:v>
      </x:c>
      <x:c r="K2216" s="1" t="str">
        <x:v>搜狐/腾讯</x:v>
      </x:c>
    </x:row>
    <x:row r="2217" ht="25" customHeight="1">
      <x:c r="A2217" s="1" t="str">
        <x:v>sz399006</x:v>
      </x:c>
      <x:c r="B2217" s="1" t="str">
        <x:v>创业板指</x:v>
      </x:c>
      <x:c r="C2217" s="1" t="str">
        <x:v>2022-01</x:v>
      </x:c>
      <x:c r="D2217" s="1" t="str">
        <x:v>2021-12-31</x:v>
      </x:c>
      <x:c r="E2217" s="5" t="n">
        <x:v>3322.67</x:v>
      </x:c>
      <x:c r="F2217" s="6" t="str">
        <x:v>2022-01-28</x:v>
      </x:c>
      <x:c r="G2217" s="5" t="n">
        <x:v>2908.95</x:v>
      </x:c>
      <x:c r="H2217" s="7" t="n">
        <x:f>G2217/E2217-1</x:f>
        <x:v>-0.12451432131388318</x:v>
      </x:c>
      <x:c r="I2217" s="1" t="n">
        <x:v>1</x:v>
      </x:c>
      <x:c r="J2217" s="1" t="n">
        <x:v>1</x:v>
      </x:c>
      <x:c r="K2217" s="1" t="str">
        <x:v>搜狐/腾讯</x:v>
      </x:c>
    </x:row>
    <x:row r="2218" ht="25" customHeight="1">
      <x:c r="A2218" s="1" t="str">
        <x:v>sz399006</x:v>
      </x:c>
      <x:c r="B2218" s="1" t="str">
        <x:v>创业板指</x:v>
      </x:c>
      <x:c r="C2218" s="1" t="str">
        <x:v>2022-02</x:v>
      </x:c>
      <x:c r="D2218" s="1" t="str">
        <x:v>2022-01-28</x:v>
      </x:c>
      <x:c r="E2218" s="5" t="n">
        <x:v>2908.95</x:v>
      </x:c>
      <x:c r="F2218" s="6" t="str">
        <x:v>2022-02-28</x:v>
      </x:c>
      <x:c r="G2218" s="5" t="n">
        <x:v>2881.31</x:v>
      </x:c>
      <x:c r="H2218" s="7" t="n">
        <x:f>G2218/E2218-1</x:f>
        <x:v>-0.009501710239089634</x:v>
      </x:c>
      <x:c r="I2218" s="1" t="n">
        <x:v>1</x:v>
      </x:c>
      <x:c r="J2218" s="1" t="n">
        <x:v>1</x:v>
      </x:c>
      <x:c r="K2218" s="1" t="str">
        <x:v>搜狐/腾讯</x:v>
      </x:c>
    </x:row>
    <x:row r="2219" ht="25" customHeight="1">
      <x:c r="A2219" s="1" t="str">
        <x:v>sz399006</x:v>
      </x:c>
      <x:c r="B2219" s="1" t="str">
        <x:v>创业板指</x:v>
      </x:c>
      <x:c r="C2219" s="1" t="str">
        <x:v>2022-03</x:v>
      </x:c>
      <x:c r="D2219" s="1" t="str">
        <x:v>2022-02-28</x:v>
      </x:c>
      <x:c r="E2219" s="5" t="n">
        <x:v>2881.31</x:v>
      </x:c>
      <x:c r="F2219" s="6" t="str">
        <x:v>2022-03-31</x:v>
      </x:c>
      <x:c r="G2219" s="5" t="n">
        <x:v>2659.49</x:v>
      </x:c>
      <x:c r="H2219" s="7" t="n">
        <x:f>G2219/E2219-1</x:f>
        <x:v>-0.07698581547976446</x:v>
      </x:c>
      <x:c r="I2219" s="1" t="n">
        <x:v>1</x:v>
      </x:c>
      <x:c r="J2219" s="1" t="n">
        <x:v>1</x:v>
      </x:c>
      <x:c r="K2219" s="1" t="str">
        <x:v>搜狐/腾讯</x:v>
      </x:c>
    </x:row>
    <x:row r="2220" ht="25" customHeight="1">
      <x:c r="A2220" s="1" t="str">
        <x:v>sz399006</x:v>
      </x:c>
      <x:c r="B2220" s="1" t="str">
        <x:v>创业板指</x:v>
      </x:c>
      <x:c r="C2220" s="1" t="str">
        <x:v>2022-04</x:v>
      </x:c>
      <x:c r="D2220" s="1" t="str">
        <x:v>2022-03-31</x:v>
      </x:c>
      <x:c r="E2220" s="5" t="n">
        <x:v>2659.49</x:v>
      </x:c>
      <x:c r="F2220" s="6" t="str">
        <x:v>2022-04-29</x:v>
      </x:c>
      <x:c r="G2220" s="5" t="n">
        <x:v>2319.14</x:v>
      </x:c>
      <x:c r="H2220" s="7" t="n">
        <x:f>G2220/E2220-1</x:f>
        <x:v>-0.12797566450710474</x:v>
      </x:c>
      <x:c r="I2220" s="1" t="n">
        <x:v>1</x:v>
      </x:c>
      <x:c r="J2220" s="1" t="n">
        <x:v>1</x:v>
      </x:c>
      <x:c r="K2220" s="1" t="str">
        <x:v>搜狐/腾讯</x:v>
      </x:c>
    </x:row>
    <x:row r="2221" ht="25" customHeight="1">
      <x:c r="A2221" s="1" t="str">
        <x:v>sz399006</x:v>
      </x:c>
      <x:c r="B2221" s="1" t="str">
        <x:v>创业板指</x:v>
      </x:c>
      <x:c r="C2221" s="1" t="str">
        <x:v>2022-05</x:v>
      </x:c>
      <x:c r="D2221" s="1" t="str">
        <x:v>2022-04-29</x:v>
      </x:c>
      <x:c r="E2221" s="5" t="n">
        <x:v>2319.14</x:v>
      </x:c>
      <x:c r="F2221" s="6" t="str">
        <x:v>2022-05-31</x:v>
      </x:c>
      <x:c r="G2221" s="5" t="n">
        <x:v>2405.09</x:v>
      </x:c>
      <x:c r="H2221" s="7" t="n">
        <x:f>G2221/E2221-1</x:f>
        <x:v>0.03706115197875093</x:v>
      </x:c>
      <x:c r="I2221" s="1" t="n">
        <x:v>1</x:v>
      </x:c>
      <x:c r="J2221" s="1" t="n">
        <x:v>1</x:v>
      </x:c>
      <x:c r="K2221" s="1" t="str">
        <x:v>搜狐/腾讯</x:v>
      </x:c>
    </x:row>
    <x:row r="2222" ht="25" customHeight="1">
      <x:c r="A2222" s="1" t="str">
        <x:v>sz399006</x:v>
      </x:c>
      <x:c r="B2222" s="1" t="str">
        <x:v>创业板指</x:v>
      </x:c>
      <x:c r="C2222" s="1" t="str">
        <x:v>2022-06</x:v>
      </x:c>
      <x:c r="D2222" s="1" t="str">
        <x:v>2022-05-31</x:v>
      </x:c>
      <x:c r="E2222" s="5" t="n">
        <x:v>2405.09</x:v>
      </x:c>
      <x:c r="F2222" s="6" t="str">
        <x:v>2022-06-30</x:v>
      </x:c>
      <x:c r="G2222" s="5" t="n">
        <x:v>2810.6</x:v>
      </x:c>
      <x:c r="H2222" s="7" t="n">
        <x:f>G2222/E2222-1</x:f>
        <x:v>0.16860491707171033</x:v>
      </x:c>
      <x:c r="I2222" s="1" t="n">
        <x:v>1</x:v>
      </x:c>
      <x:c r="J2222" s="1" t="n">
        <x:v>1</x:v>
      </x:c>
      <x:c r="K2222" s="1" t="str">
        <x:v>搜狐/腾讯</x:v>
      </x:c>
    </x:row>
    <x:row r="2223" ht="25" customHeight="1">
      <x:c r="A2223" s="1" t="str">
        <x:v>sz399006</x:v>
      </x:c>
      <x:c r="B2223" s="1" t="str">
        <x:v>创业板指</x:v>
      </x:c>
      <x:c r="C2223" s="1" t="str">
        <x:v>2022-07</x:v>
      </x:c>
      <x:c r="D2223" s="1" t="str">
        <x:v>2022-06-30</x:v>
      </x:c>
      <x:c r="E2223" s="5" t="n">
        <x:v>2810.6</x:v>
      </x:c>
      <x:c r="F2223" s="6" t="str">
        <x:v>2022-07-29</x:v>
      </x:c>
      <x:c r="G2223" s="5" t="n">
        <x:v>2670.45</x:v>
      </x:c>
      <x:c r="H2223" s="7" t="n">
        <x:f>G2223/E2223-1</x:f>
        <x:v>-0.04986479755212414</x:v>
      </x:c>
      <x:c r="I2223" s="1" t="n">
        <x:v>1</x:v>
      </x:c>
      <x:c r="J2223" s="1" t="n">
        <x:v>1</x:v>
      </x:c>
      <x:c r="K2223" s="1" t="str">
        <x:v>搜狐/腾讯</x:v>
      </x:c>
    </x:row>
    <x:row r="2224" ht="25" customHeight="1">
      <x:c r="A2224" s="1" t="str">
        <x:v>sz399006</x:v>
      </x:c>
      <x:c r="B2224" s="1" t="str">
        <x:v>创业板指</x:v>
      </x:c>
      <x:c r="C2224" s="1" t="str">
        <x:v>2022-08</x:v>
      </x:c>
      <x:c r="D2224" s="1" t="str">
        <x:v>2022-07-29</x:v>
      </x:c>
      <x:c r="E2224" s="5" t="n">
        <x:v>2670.45</x:v>
      </x:c>
      <x:c r="F2224" s="6" t="str">
        <x:v>2022-08-31</x:v>
      </x:c>
      <x:c r="G2224" s="5" t="n">
        <x:v>2570.42</x:v>
      </x:c>
      <x:c r="H2224" s="7" t="n">
        <x:f>G2224/E2224-1</x:f>
        <x:v>-0.037458106311670236</x:v>
      </x:c>
      <x:c r="I2224" s="1" t="n">
        <x:v>1</x:v>
      </x:c>
      <x:c r="J2224" s="1" t="n">
        <x:v>1</x:v>
      </x:c>
      <x:c r="K2224" s="1" t="str">
        <x:v>搜狐/腾讯</x:v>
      </x:c>
    </x:row>
    <x:row r="2225" ht="25" customHeight="1">
      <x:c r="A2225" s="1" t="str">
        <x:v>sz399006</x:v>
      </x:c>
      <x:c r="B2225" s="1" t="str">
        <x:v>创业板指</x:v>
      </x:c>
      <x:c r="C2225" s="1" t="str">
        <x:v>2022-09</x:v>
      </x:c>
      <x:c r="D2225" s="1" t="str">
        <x:v>2022-08-31</x:v>
      </x:c>
      <x:c r="E2225" s="5" t="n">
        <x:v>2570.42</x:v>
      </x:c>
      <x:c r="F2225" s="6" t="str">
        <x:v>2022-09-30</x:v>
      </x:c>
      <x:c r="G2225" s="5" t="n">
        <x:v>2288.97</x:v>
      </x:c>
      <x:c r="H2225" s="7" t="n">
        <x:f>G2225/E2225-1</x:f>
        <x:v>-0.10949572443413924</x:v>
      </x:c>
      <x:c r="I2225" s="1" t="n">
        <x:v>1</x:v>
      </x:c>
      <x:c r="J2225" s="1" t="n">
        <x:v>1</x:v>
      </x:c>
      <x:c r="K2225" s="1" t="str">
        <x:v>搜狐/腾讯</x:v>
      </x:c>
    </x:row>
    <x:row r="2226" ht="25" customHeight="1">
      <x:c r="A2226" s="1" t="str">
        <x:v>sz399006</x:v>
      </x:c>
      <x:c r="B2226" s="1" t="str">
        <x:v>创业板指</x:v>
      </x:c>
      <x:c r="C2226" s="1" t="str">
        <x:v>2022-10</x:v>
      </x:c>
      <x:c r="D2226" s="1" t="str">
        <x:v>2022-09-30</x:v>
      </x:c>
      <x:c r="E2226" s="5" t="n">
        <x:v>2288.97</x:v>
      </x:c>
      <x:c r="F2226" s="6" t="str">
        <x:v>2022-10-31</x:v>
      </x:c>
      <x:c r="G2226" s="5" t="n">
        <x:v>2265.08</x:v>
      </x:c>
      <x:c r="H2226" s="7" t="n">
        <x:f>G2226/E2226-1</x:f>
        <x:v>-0.010437008785610935</x:v>
      </x:c>
      <x:c r="I2226" s="1" t="n">
        <x:v>1</x:v>
      </x:c>
      <x:c r="J2226" s="1" t="n">
        <x:v>1</x:v>
      </x:c>
      <x:c r="K2226" s="1" t="str">
        <x:v>搜狐/腾讯</x:v>
      </x:c>
    </x:row>
    <x:row r="2227" ht="25" customHeight="1">
      <x:c r="A2227" s="1" t="str">
        <x:v>sz399006</x:v>
      </x:c>
      <x:c r="B2227" s="1" t="str">
        <x:v>创业板指</x:v>
      </x:c>
      <x:c r="C2227" s="1" t="str">
        <x:v>2022-11</x:v>
      </x:c>
      <x:c r="D2227" s="1" t="str">
        <x:v>2022-10-31</x:v>
      </x:c>
      <x:c r="E2227" s="5" t="n">
        <x:v>2265.08</x:v>
      </x:c>
      <x:c r="F2227" s="6" t="str">
        <x:v>2022-11-30</x:v>
      </x:c>
      <x:c r="G2227" s="5" t="n">
        <x:v>2345.31</x:v>
      </x:c>
      <x:c r="H2227" s="7" t="n">
        <x:f>G2227/E2227-1</x:f>
        <x:v>0.035420382503046355</x:v>
      </x:c>
      <x:c r="I2227" s="1" t="n">
        <x:v>1</x:v>
      </x:c>
      <x:c r="J2227" s="1" t="n">
        <x:v>1</x:v>
      </x:c>
      <x:c r="K2227" s="1" t="str">
        <x:v>搜狐/腾讯</x:v>
      </x:c>
    </x:row>
    <x:row r="2228" ht="25" customHeight="1">
      <x:c r="A2228" s="1" t="str">
        <x:v>sz399006</x:v>
      </x:c>
      <x:c r="B2228" s="1" t="str">
        <x:v>创业板指</x:v>
      </x:c>
      <x:c r="C2228" s="1" t="str">
        <x:v>2022-12</x:v>
      </x:c>
      <x:c r="D2228" s="1" t="str">
        <x:v>2022-11-30</x:v>
      </x:c>
      <x:c r="E2228" s="5" t="n">
        <x:v>2345.31</x:v>
      </x:c>
      <x:c r="F2228" s="6" t="str">
        <x:v>2022-12-30</x:v>
      </x:c>
      <x:c r="G2228" s="5" t="n">
        <x:v>2346.77</x:v>
      </x:c>
      <x:c r="H2228" s="7" t="n">
        <x:f>G2228/E2228-1</x:f>
        <x:v>0.000622518984697118</x:v>
      </x:c>
      <x:c r="I2228" s="1" t="n">
        <x:v>1</x:v>
      </x:c>
      <x:c r="J2228" s="1" t="n">
        <x:v>1</x:v>
      </x:c>
      <x:c r="K2228" s="1" t="str">
        <x:v>搜狐/腾讯</x:v>
      </x:c>
    </x:row>
    <x:row r="2229" ht="25" customHeight="1">
      <x:c r="A2229" s="1" t="str">
        <x:v>sz399006</x:v>
      </x:c>
      <x:c r="B2229" s="1" t="str">
        <x:v>创业板指</x:v>
      </x:c>
      <x:c r="C2229" s="1" t="str">
        <x:v>2023-01</x:v>
      </x:c>
      <x:c r="D2229" s="1" t="str">
        <x:v>2022-12-30</x:v>
      </x:c>
      <x:c r="E2229" s="5" t="n">
        <x:v>2346.77</x:v>
      </x:c>
      <x:c r="F2229" s="6" t="str">
        <x:v>2023-01-31</x:v>
      </x:c>
      <x:c r="G2229" s="5" t="n">
        <x:v>2580.84</x:v>
      </x:c>
      <x:c r="H2229" s="7" t="n">
        <x:f>G2229/E2229-1</x:f>
        <x:v>0.09974134661683931</x:v>
      </x:c>
      <x:c r="I2229" s="1" t="n">
        <x:v>1</x:v>
      </x:c>
      <x:c r="J2229" s="1" t="n">
        <x:v>1</x:v>
      </x:c>
      <x:c r="K2229" s="1" t="str">
        <x:v>搜狐/腾讯</x:v>
      </x:c>
    </x:row>
    <x:row r="2230" ht="25" customHeight="1">
      <x:c r="A2230" s="1" t="str">
        <x:v>sz399006</x:v>
      </x:c>
      <x:c r="B2230" s="1" t="str">
        <x:v>创业板指</x:v>
      </x:c>
      <x:c r="C2230" s="1" t="str">
        <x:v>2023-02</x:v>
      </x:c>
      <x:c r="D2230" s="1" t="str">
        <x:v>2023-01-31</x:v>
      </x:c>
      <x:c r="E2230" s="5" t="n">
        <x:v>2580.84</x:v>
      </x:c>
      <x:c r="F2230" s="6" t="str">
        <x:v>2023-02-28</x:v>
      </x:c>
      <x:c r="G2230" s="5" t="n">
        <x:v>2429.03</x:v>
      </x:c>
      <x:c r="H2230" s="7" t="n">
        <x:f>G2230/E2230-1</x:f>
        <x:v>-0.05882193394398716</x:v>
      </x:c>
      <x:c r="I2230" s="1" t="n">
        <x:v>1</x:v>
      </x:c>
      <x:c r="J2230" s="1" t="n">
        <x:v>1</x:v>
      </x:c>
      <x:c r="K2230" s="1" t="str">
        <x:v>搜狐/腾讯</x:v>
      </x:c>
    </x:row>
    <x:row r="2231" ht="25" customHeight="1">
      <x:c r="A2231" s="1" t="str">
        <x:v>sz399006</x:v>
      </x:c>
      <x:c r="B2231" s="1" t="str">
        <x:v>创业板指</x:v>
      </x:c>
      <x:c r="C2231" s="1" t="str">
        <x:v>2023-03</x:v>
      </x:c>
      <x:c r="D2231" s="1" t="str">
        <x:v>2023-02-28</x:v>
      </x:c>
      <x:c r="E2231" s="5" t="n">
        <x:v>2429.03</x:v>
      </x:c>
      <x:c r="F2231" s="6" t="str">
        <x:v>2023-03-31</x:v>
      </x:c>
      <x:c r="G2231" s="5" t="n">
        <x:v>2399.5</x:v>
      </x:c>
      <x:c r="H2231" s="7" t="n">
        <x:f>G2231/E2231-1</x:f>
        <x:v>-0.012157116215114727</x:v>
      </x:c>
      <x:c r="I2231" s="1" t="n">
        <x:v>1</x:v>
      </x:c>
      <x:c r="J2231" s="1" t="n">
        <x:v>1</x:v>
      </x:c>
      <x:c r="K2231" s="1" t="str">
        <x:v>搜狐/腾讯</x:v>
      </x:c>
    </x:row>
    <x:row r="2232" ht="25" customHeight="1">
      <x:c r="A2232" s="1" t="str">
        <x:v>sz399006</x:v>
      </x:c>
      <x:c r="B2232" s="1" t="str">
        <x:v>创业板指</x:v>
      </x:c>
      <x:c r="C2232" s="1" t="str">
        <x:v>2023-04</x:v>
      </x:c>
      <x:c r="D2232" s="1" t="str">
        <x:v>2023-03-31</x:v>
      </x:c>
      <x:c r="E2232" s="5" t="n">
        <x:v>2399.5</x:v>
      </x:c>
      <x:c r="F2232" s="6" t="str">
        <x:v>2023-04-28</x:v>
      </x:c>
      <x:c r="G2232" s="5" t="n">
        <x:v>2324.72</x:v>
      </x:c>
      <x:c r="H2232" s="7" t="n">
        <x:f>G2232/E2232-1</x:f>
        <x:v>-0.031164826005417923</x:v>
      </x:c>
      <x:c r="I2232" s="1" t="n">
        <x:v>1</x:v>
      </x:c>
      <x:c r="J2232" s="1" t="n">
        <x:v>1</x:v>
      </x:c>
      <x:c r="K2232" s="1" t="str">
        <x:v>搜狐/腾讯</x:v>
      </x:c>
    </x:row>
    <x:row r="2233" ht="25" customHeight="1">
      <x:c r="A2233" s="1" t="str">
        <x:v>sz399006</x:v>
      </x:c>
      <x:c r="B2233" s="1" t="str">
        <x:v>创业板指</x:v>
      </x:c>
      <x:c r="C2233" s="1" t="str">
        <x:v>2023-05</x:v>
      </x:c>
      <x:c r="D2233" s="1" t="str">
        <x:v>2023-04-28</x:v>
      </x:c>
      <x:c r="E2233" s="5" t="n">
        <x:v>2324.72</x:v>
      </x:c>
      <x:c r="F2233" s="6" t="str">
        <x:v>2023-05-31</x:v>
      </x:c>
      <x:c r="G2233" s="5" t="n">
        <x:v>2193.41</x:v>
      </x:c>
      <x:c r="H2233" s="7" t="n">
        <x:f>G2233/E2233-1</x:f>
        <x:v>-0.056484221755738306</x:v>
      </x:c>
      <x:c r="I2233" s="1" t="n">
        <x:v>1</x:v>
      </x:c>
      <x:c r="J2233" s="1" t="n">
        <x:v>1</x:v>
      </x:c>
      <x:c r="K2233" s="1" t="str">
        <x:v>搜狐/腾讯</x:v>
      </x:c>
    </x:row>
    <x:row r="2234" ht="25" customHeight="1">
      <x:c r="A2234" s="1" t="str">
        <x:v>sz399006</x:v>
      </x:c>
      <x:c r="B2234" s="1" t="str">
        <x:v>创业板指</x:v>
      </x:c>
      <x:c r="C2234" s="1" t="str">
        <x:v>2023-06</x:v>
      </x:c>
      <x:c r="D2234" s="1" t="str">
        <x:v>2023-05-31</x:v>
      </x:c>
      <x:c r="E2234" s="5" t="n">
        <x:v>2193.41</x:v>
      </x:c>
      <x:c r="F2234" s="6" t="str">
        <x:v>2023-06-30</x:v>
      </x:c>
      <x:c r="G2234" s="5" t="n">
        <x:v>2215</x:v>
      </x:c>
      <x:c r="H2234" s="7" t="n">
        <x:f>G2234/E2234-1</x:f>
        <x:v>0.009843120985132847</x:v>
      </x:c>
      <x:c r="I2234" s="1" t="n">
        <x:v>1</x:v>
      </x:c>
      <x:c r="J2234" s="1" t="n">
        <x:v>1</x:v>
      </x:c>
      <x:c r="K2234" s="1" t="str">
        <x:v>搜狐/腾讯</x:v>
      </x:c>
    </x:row>
    <x:row r="2235" ht="25" customHeight="1">
      <x:c r="A2235" s="1" t="str">
        <x:v>sz399006</x:v>
      </x:c>
      <x:c r="B2235" s="1" t="str">
        <x:v>创业板指</x:v>
      </x:c>
      <x:c r="C2235" s="1" t="str">
        <x:v>2023-07</x:v>
      </x:c>
      <x:c r="D2235" s="1" t="str">
        <x:v>2023-06-30</x:v>
      </x:c>
      <x:c r="E2235" s="5" t="n">
        <x:v>2215</x:v>
      </x:c>
      <x:c r="F2235" s="6" t="str">
        <x:v>2023-07-31</x:v>
      </x:c>
      <x:c r="G2235" s="5" t="n">
        <x:v>2236.67</x:v>
      </x:c>
      <x:c r="H2235" s="7" t="n">
        <x:f>G2235/E2235-1</x:f>
        <x:v>0.009783295711061069</x:v>
      </x:c>
      <x:c r="I2235" s="1" t="n">
        <x:v>1</x:v>
      </x:c>
      <x:c r="J2235" s="1" t="n">
        <x:v>1</x:v>
      </x:c>
      <x:c r="K2235" s="1" t="str">
        <x:v>搜狐/腾讯</x:v>
      </x:c>
    </x:row>
    <x:row r="2236" ht="25" customHeight="1">
      <x:c r="A2236" s="1" t="str">
        <x:v>sz399006</x:v>
      </x:c>
      <x:c r="B2236" s="1" t="str">
        <x:v>创业板指</x:v>
      </x:c>
      <x:c r="C2236" s="1" t="str">
        <x:v>2023-08</x:v>
      </x:c>
      <x:c r="D2236" s="1" t="str">
        <x:v>2023-07-31</x:v>
      </x:c>
      <x:c r="E2236" s="5" t="n">
        <x:v>2236.67</x:v>
      </x:c>
      <x:c r="F2236" s="6" t="str">
        <x:v>2023-08-31</x:v>
      </x:c>
      <x:c r="G2236" s="5" t="n">
        <x:v>2102.58</x:v>
      </x:c>
      <x:c r="H2236" s="7" t="n">
        <x:f>G2236/E2236-1</x:f>
        <x:v>-0.059950730326780555</x:v>
      </x:c>
      <x:c r="I2236" s="1" t="n">
        <x:v>1</x:v>
      </x:c>
      <x:c r="J2236" s="1" t="n">
        <x:v>1</x:v>
      </x:c>
      <x:c r="K2236" s="1" t="str">
        <x:v>搜狐/腾讯</x:v>
      </x:c>
    </x:row>
    <x:row r="2237" ht="25" customHeight="1">
      <x:c r="A2237" s="1" t="str">
        <x:v>sz399006</x:v>
      </x:c>
      <x:c r="B2237" s="1" t="str">
        <x:v>创业板指</x:v>
      </x:c>
      <x:c r="C2237" s="1" t="str">
        <x:v>2023-09</x:v>
      </x:c>
      <x:c r="D2237" s="1" t="str">
        <x:v>2023-08-31</x:v>
      </x:c>
      <x:c r="E2237" s="5" t="n">
        <x:v>2102.58</x:v>
      </x:c>
      <x:c r="F2237" s="6" t="str">
        <x:v>2023-09-28</x:v>
      </x:c>
      <x:c r="G2237" s="5" t="n">
        <x:v>2003.91</x:v>
      </x:c>
      <x:c r="H2237" s="7" t="n">
        <x:f>G2237/E2237-1</x:f>
        <x:v>-0.04692805981223058</x:v>
      </x:c>
      <x:c r="I2237" s="1" t="n">
        <x:v>1</x:v>
      </x:c>
      <x:c r="J2237" s="1" t="n">
        <x:v>1</x:v>
      </x:c>
      <x:c r="K2237" s="1" t="str">
        <x:v>搜狐/腾讯</x:v>
      </x:c>
    </x:row>
    <x:row r="2238" ht="25" customHeight="1">
      <x:c r="A2238" s="1" t="str">
        <x:v>sz399006</x:v>
      </x:c>
      <x:c r="B2238" s="1" t="str">
        <x:v>创业板指</x:v>
      </x:c>
      <x:c r="C2238" s="1" t="str">
        <x:v>2023-10</x:v>
      </x:c>
      <x:c r="D2238" s="1" t="str">
        <x:v>2023-09-28</x:v>
      </x:c>
      <x:c r="E2238" s="5" t="n">
        <x:v>2003.91</x:v>
      </x:c>
      <x:c r="F2238" s="6" t="str">
        <x:v>2023-10-31</x:v>
      </x:c>
      <x:c r="G2238" s="5" t="n">
        <x:v>1968.23</x:v>
      </x:c>
      <x:c r="H2238" s="7" t="n">
        <x:f>G2238/E2238-1</x:f>
        <x:v>-0.01780519085188459</x:v>
      </x:c>
      <x:c r="I2238" s="1" t="n">
        <x:v>1</x:v>
      </x:c>
      <x:c r="J2238" s="1" t="n">
        <x:v>1</x:v>
      </x:c>
      <x:c r="K2238" s="1" t="str">
        <x:v>搜狐/腾讯</x:v>
      </x:c>
    </x:row>
    <x:row r="2239" ht="25" customHeight="1">
      <x:c r="A2239" s="1" t="str">
        <x:v>sz399006</x:v>
      </x:c>
      <x:c r="B2239" s="1" t="str">
        <x:v>创业板指</x:v>
      </x:c>
      <x:c r="C2239" s="1" t="str">
        <x:v>2023-11</x:v>
      </x:c>
      <x:c r="D2239" s="1" t="str">
        <x:v>2023-10-31</x:v>
      </x:c>
      <x:c r="E2239" s="5" t="n">
        <x:v>1968.23</x:v>
      </x:c>
      <x:c r="F2239" s="6" t="str">
        <x:v>2023-11-30</x:v>
      </x:c>
      <x:c r="G2239" s="5" t="n">
        <x:v>1922.59</x:v>
      </x:c>
      <x:c r="H2239" s="7" t="n">
        <x:f>G2239/E2239-1</x:f>
        <x:v>-0.023188346890353317</x:v>
      </x:c>
      <x:c r="I2239" s="1" t="n">
        <x:v>1</x:v>
      </x:c>
      <x:c r="J2239" s="1" t="n">
        <x:v>1</x:v>
      </x:c>
      <x:c r="K2239" s="1" t="str">
        <x:v>搜狐/腾讯</x:v>
      </x:c>
    </x:row>
    <x:row r="2240" ht="25" customHeight="1">
      <x:c r="A2240" s="1" t="str">
        <x:v>sz399006</x:v>
      </x:c>
      <x:c r="B2240" s="1" t="str">
        <x:v>创业板指</x:v>
      </x:c>
      <x:c r="C2240" s="1" t="str">
        <x:v>2023-12</x:v>
      </x:c>
      <x:c r="D2240" s="1" t="str">
        <x:v>2023-11-30</x:v>
      </x:c>
      <x:c r="E2240" s="5" t="n">
        <x:v>1922.59</x:v>
      </x:c>
      <x:c r="F2240" s="6" t="str">
        <x:v>2023-12-29</x:v>
      </x:c>
      <x:c r="G2240" s="5" t="n">
        <x:v>1891.37</x:v>
      </x:c>
      <x:c r="H2240" s="7" t="n">
        <x:f>G2240/E2240-1</x:f>
        <x:v>-0.016238511591134874</x:v>
      </x:c>
      <x:c r="I2240" s="1" t="n">
        <x:v>1</x:v>
      </x:c>
      <x:c r="J2240" s="1" t="n">
        <x:v>1</x:v>
      </x:c>
      <x:c r="K2240" s="1" t="str">
        <x:v>搜狐/腾讯</x:v>
      </x:c>
    </x:row>
    <x:row r="2241" ht="25" customHeight="1">
      <x:c r="A2241" s="1" t="str">
        <x:v>sz399006</x:v>
      </x:c>
      <x:c r="B2241" s="1" t="str">
        <x:v>创业板指</x:v>
      </x:c>
      <x:c r="C2241" s="1" t="str">
        <x:v>2024-01</x:v>
      </x:c>
      <x:c r="D2241" s="1" t="str">
        <x:v>2023-12-29</x:v>
      </x:c>
      <x:c r="E2241" s="5" t="n">
        <x:v>1891.37</x:v>
      </x:c>
      <x:c r="F2241" s="6" t="str">
        <x:v>2024-01-31</x:v>
      </x:c>
      <x:c r="G2241" s="5" t="n">
        <x:v>1573.37</x:v>
      </x:c>
      <x:c r="H2241" s="7" t="n">
        <x:f>G2241/E2241-1</x:f>
        <x:v>-0.1681320947249877</x:v>
      </x:c>
      <x:c r="I2241" s="1" t="n">
        <x:v>1</x:v>
      </x:c>
      <x:c r="J2241" s="1" t="n">
        <x:v>1</x:v>
      </x:c>
      <x:c r="K2241" s="1" t="str">
        <x:v>搜狐/腾讯</x:v>
      </x:c>
    </x:row>
    <x:row r="2242" ht="25" customHeight="1">
      <x:c r="A2242" s="1" t="str">
        <x:v>sz399006</x:v>
      </x:c>
      <x:c r="B2242" s="1" t="str">
        <x:v>创业板指</x:v>
      </x:c>
      <x:c r="C2242" s="1" t="str">
        <x:v>2024-02</x:v>
      </x:c>
      <x:c r="D2242" s="1" t="str">
        <x:v>2024-01-31</x:v>
      </x:c>
      <x:c r="E2242" s="5" t="n">
        <x:v>1573.37</x:v>
      </x:c>
      <x:c r="F2242" s="6" t="str">
        <x:v>2024-02-29</x:v>
      </x:c>
      <x:c r="G2242" s="5" t="n">
        <x:v>1807.03</x:v>
      </x:c>
      <x:c r="H2242" s="7" t="n">
        <x:f>G2242/E2242-1</x:f>
        <x:v>0.14850925084373046</x:v>
      </x:c>
      <x:c r="I2242" s="1" t="n">
        <x:v>1</x:v>
      </x:c>
      <x:c r="J2242" s="1" t="n">
        <x:v>1</x:v>
      </x:c>
      <x:c r="K2242" s="1" t="str">
        <x:v>搜狐/腾讯</x:v>
      </x:c>
    </x:row>
    <x:row r="2243" ht="25" customHeight="1">
      <x:c r="A2243" s="1" t="str">
        <x:v>sz399006</x:v>
      </x:c>
      <x:c r="B2243" s="1" t="str">
        <x:v>创业板指</x:v>
      </x:c>
      <x:c r="C2243" s="1" t="str">
        <x:v>2024-03</x:v>
      </x:c>
      <x:c r="D2243" s="1" t="str">
        <x:v>2024-02-29</x:v>
      </x:c>
      <x:c r="E2243" s="5" t="n">
        <x:v>1807.03</x:v>
      </x:c>
      <x:c r="F2243" s="6" t="str">
        <x:v>2024-03-29</x:v>
      </x:c>
      <x:c r="G2243" s="5" t="n">
        <x:v>1818.2</x:v>
      </x:c>
      <x:c r="H2243" s="7" t="n">
        <x:f>G2243/E2243-1</x:f>
        <x:v>0.006181413700934613</x:v>
      </x:c>
      <x:c r="I2243" s="1" t="n">
        <x:v>1</x:v>
      </x:c>
      <x:c r="J2243" s="1" t="n">
        <x:v>1</x:v>
      </x:c>
      <x:c r="K2243" s="1" t="str">
        <x:v>搜狐/腾讯</x:v>
      </x:c>
    </x:row>
    <x:row r="2244" ht="25" customHeight="1">
      <x:c r="A2244" s="1" t="str">
        <x:v>sz399006</x:v>
      </x:c>
      <x:c r="B2244" s="1" t="str">
        <x:v>创业板指</x:v>
      </x:c>
      <x:c r="C2244" s="1" t="str">
        <x:v>2024-04</x:v>
      </x:c>
      <x:c r="D2244" s="1" t="str">
        <x:v>2024-03-29</x:v>
      </x:c>
      <x:c r="E2244" s="5" t="n">
        <x:v>1818.2</x:v>
      </x:c>
      <x:c r="F2244" s="6" t="str">
        <x:v>2024-04-30</x:v>
      </x:c>
      <x:c r="G2244" s="5" t="n">
        <x:v>1858.39</x:v>
      </x:c>
      <x:c r="H2244" s="7" t="n">
        <x:f>G2244/E2244-1</x:f>
        <x:v>0.022104278957210566</x:v>
      </x:c>
      <x:c r="I2244" s="1" t="n">
        <x:v>1</x:v>
      </x:c>
      <x:c r="J2244" s="1" t="n">
        <x:v>1</x:v>
      </x:c>
      <x:c r="K2244" s="1" t="str">
        <x:v>搜狐/腾讯</x:v>
      </x:c>
    </x:row>
    <x:row r="2245" ht="25" customHeight="1">
      <x:c r="A2245" s="1" t="str">
        <x:v>sz399006</x:v>
      </x:c>
      <x:c r="B2245" s="1" t="str">
        <x:v>创业板指</x:v>
      </x:c>
      <x:c r="C2245" s="1" t="str">
        <x:v>2024-05</x:v>
      </x:c>
      <x:c r="D2245" s="1" t="str">
        <x:v>2024-04-30</x:v>
      </x:c>
      <x:c r="E2245" s="5" t="n">
        <x:v>1858.39</x:v>
      </x:c>
      <x:c r="F2245" s="6" t="str">
        <x:v>2024-05-31</x:v>
      </x:c>
      <x:c r="G2245" s="5" t="n">
        <x:v>1805.11</x:v>
      </x:c>
      <x:c r="H2245" s="7" t="n">
        <x:f>G2245/E2245-1</x:f>
        <x:v>-0.02866997777646252</x:v>
      </x:c>
      <x:c r="I2245" s="1" t="n">
        <x:v>1</x:v>
      </x:c>
      <x:c r="J2245" s="1" t="n">
        <x:v>1</x:v>
      </x:c>
      <x:c r="K2245" s="1" t="str">
        <x:v>搜狐/腾讯</x:v>
      </x:c>
    </x:row>
    <x:row r="2246" ht="25" customHeight="1">
      <x:c r="A2246" s="1" t="str">
        <x:v>sz399006</x:v>
      </x:c>
      <x:c r="B2246" s="1" t="str">
        <x:v>创业板指</x:v>
      </x:c>
      <x:c r="C2246" s="1" t="str">
        <x:v>2024-06</x:v>
      </x:c>
      <x:c r="D2246" s="1" t="str">
        <x:v>2024-05-31</x:v>
      </x:c>
      <x:c r="E2246" s="5" t="n">
        <x:v>1805.11</x:v>
      </x:c>
      <x:c r="F2246" s="6" t="str">
        <x:v>2024-06-28</x:v>
      </x:c>
      <x:c r="G2246" s="5" t="n">
        <x:v>1683.43</x:v>
      </x:c>
      <x:c r="H2246" s="7" t="n">
        <x:f>G2246/E2246-1</x:f>
        <x:v>-0.0674086343768523</x:v>
      </x:c>
      <x:c r="I2246" s="1" t="n">
        <x:v>1</x:v>
      </x:c>
      <x:c r="J2246" s="1" t="n">
        <x:v>1</x:v>
      </x:c>
      <x:c r="K2246" s="1" t="str">
        <x:v>搜狐/腾讯</x:v>
      </x:c>
    </x:row>
    <x:row r="2247" ht="25" customHeight="1">
      <x:c r="A2247" s="1" t="str">
        <x:v>sz399006</x:v>
      </x:c>
      <x:c r="B2247" s="1" t="str">
        <x:v>创业板指</x:v>
      </x:c>
      <x:c r="C2247" s="1" t="str">
        <x:v>2024-07</x:v>
      </x:c>
      <x:c r="D2247" s="1" t="str">
        <x:v>2024-06-28</x:v>
      </x:c>
      <x:c r="E2247" s="5" t="n">
        <x:v>1683.43</x:v>
      </x:c>
      <x:c r="F2247" s="6" t="str">
        <x:v>2024-07-31</x:v>
      </x:c>
      <x:c r="G2247" s="5" t="n">
        <x:v>1688.14</x:v>
      </x:c>
      <x:c r="H2247" s="7" t="n">
        <x:f>G2247/E2247-1</x:f>
        <x:v>0.002797859132841918</x:v>
      </x:c>
      <x:c r="I2247" s="1" t="n">
        <x:v>1</x:v>
      </x:c>
      <x:c r="J2247" s="1" t="n">
        <x:v>1</x:v>
      </x:c>
      <x:c r="K2247" s="1" t="str">
        <x:v>搜狐/腾讯</x:v>
      </x:c>
    </x:row>
    <x:row r="2248" ht="25" customHeight="1">
      <x:c r="A2248" s="1" t="str">
        <x:v>sz399006</x:v>
      </x:c>
      <x:c r="B2248" s="1" t="str">
        <x:v>创业板指</x:v>
      </x:c>
      <x:c r="C2248" s="1" t="str">
        <x:v>2024-08</x:v>
      </x:c>
      <x:c r="D2248" s="1" t="str">
        <x:v>2024-07-31</x:v>
      </x:c>
      <x:c r="E2248" s="5" t="n">
        <x:v>1688.14</x:v>
      </x:c>
      <x:c r="F2248" s="6" t="str">
        <x:v>2024-08-30</x:v>
      </x:c>
      <x:c r="G2248" s="5" t="n">
        <x:v>1580.46</x:v>
      </x:c>
      <x:c r="H2248" s="7" t="n">
        <x:f>G2248/E2248-1</x:f>
        <x:v>-0.06378617887142068</x:v>
      </x:c>
      <x:c r="I2248" s="1" t="n">
        <x:v>1</x:v>
      </x:c>
      <x:c r="J2248" s="1" t="n">
        <x:v>1</x:v>
      </x:c>
      <x:c r="K2248" s="1" t="str">
        <x:v>搜狐/腾讯</x:v>
      </x:c>
    </x:row>
    <x:row r="2249" ht="25" customHeight="1">
      <x:c r="A2249" s="1" t="str">
        <x:v>sz399006</x:v>
      </x:c>
      <x:c r="B2249" s="1" t="str">
        <x:v>创业板指</x:v>
      </x:c>
      <x:c r="C2249" s="1" t="str">
        <x:v>2024-09</x:v>
      </x:c>
      <x:c r="D2249" s="1" t="str">
        <x:v>2024-08-30</x:v>
      </x:c>
      <x:c r="E2249" s="5" t="n">
        <x:v>1580.46</x:v>
      </x:c>
      <x:c r="F2249" s="6" t="str">
        <x:v>2024-09-30</x:v>
      </x:c>
      <x:c r="G2249" s="5" t="n">
        <x:v>2175.09</x:v>
      </x:c>
      <x:c r="H2249" s="7" t="n">
        <x:f>G2249/E2249-1</x:f>
        <x:v>0.3762385634562091</x:v>
      </x:c>
      <x:c r="I2249" s="1" t="n">
        <x:v>1</x:v>
      </x:c>
      <x:c r="J2249" s="1" t="n">
        <x:v>1</x:v>
      </x:c>
      <x:c r="K2249" s="1" t="str">
        <x:v>搜狐/腾讯</x:v>
      </x:c>
    </x:row>
    <x:row r="2250" ht="25" customHeight="1">
      <x:c r="A2250" s="1" t="str">
        <x:v>sz399006</x:v>
      </x:c>
      <x:c r="B2250" s="1" t="str">
        <x:v>创业板指</x:v>
      </x:c>
      <x:c r="C2250" s="1" t="str">
        <x:v>2024-10</x:v>
      </x:c>
      <x:c r="D2250" s="1" t="str">
        <x:v>2024-09-30</x:v>
      </x:c>
      <x:c r="E2250" s="5" t="n">
        <x:v>2175.09</x:v>
      </x:c>
      <x:c r="F2250" s="6" t="str">
        <x:v>2024-10-31</x:v>
      </x:c>
      <x:c r="G2250" s="5" t="n">
        <x:v>2164.46</x:v>
      </x:c>
      <x:c r="H2250" s="7" t="n">
        <x:f>G2250/E2250-1</x:f>
        <x:v>-0.0048871540947731384</x:v>
      </x:c>
      <x:c r="I2250" s="1" t="n">
        <x:v>1</x:v>
      </x:c>
      <x:c r="J2250" s="1" t="n">
        <x:v>1</x:v>
      </x:c>
      <x:c r="K2250" s="1" t="str">
        <x:v>搜狐/腾讯</x:v>
      </x:c>
    </x:row>
    <x:row r="2251" ht="25" customHeight="1">
      <x:c r="A2251" s="1" t="str">
        <x:v>sz399006</x:v>
      </x:c>
      <x:c r="B2251" s="1" t="str">
        <x:v>创业板指</x:v>
      </x:c>
      <x:c r="C2251" s="1" t="str">
        <x:v>2024-11</x:v>
      </x:c>
      <x:c r="D2251" s="1" t="str">
        <x:v>2024-10-31</x:v>
      </x:c>
      <x:c r="E2251" s="5" t="n">
        <x:v>2164.46</x:v>
      </x:c>
      <x:c r="F2251" s="6" t="str">
        <x:v>2024-11-29</x:v>
      </x:c>
      <x:c r="G2251" s="5" t="n">
        <x:v>2224</x:v>
      </x:c>
      <x:c r="H2251" s="7" t="n">
        <x:f>G2251/E2251-1</x:f>
        <x:v>0.027508015856148926</x:v>
      </x:c>
      <x:c r="I2251" s="1" t="n">
        <x:v>1</x:v>
      </x:c>
      <x:c r="J2251" s="1" t="n">
        <x:v>1</x:v>
      </x:c>
      <x:c r="K2251" s="1" t="str">
        <x:v>搜狐/腾讯</x:v>
      </x:c>
    </x:row>
    <x:row r="2252" ht="25" customHeight="1">
      <x:c r="A2252" s="1" t="str">
        <x:v>sz399006</x:v>
      </x:c>
      <x:c r="B2252" s="1" t="str">
        <x:v>创业板指</x:v>
      </x:c>
      <x:c r="C2252" s="1" t="str">
        <x:v>2024-12</x:v>
      </x:c>
      <x:c r="D2252" s="1" t="str">
        <x:v>2024-11-29</x:v>
      </x:c>
      <x:c r="E2252" s="5" t="n">
        <x:v>2224</x:v>
      </x:c>
      <x:c r="F2252" s="6" t="str">
        <x:v>2024-12-31</x:v>
      </x:c>
      <x:c r="G2252" s="5" t="n">
        <x:v>2141.6</x:v>
      </x:c>
      <x:c r="H2252" s="7" t="n">
        <x:f>G2252/E2252-1</x:f>
        <x:v>-0.03705035971223025</x:v>
      </x:c>
      <x:c r="I2252" s="1" t="n">
        <x:v>1</x:v>
      </x:c>
      <x:c r="J2252" s="1" t="n">
        <x:v>1</x:v>
      </x:c>
      <x:c r="K2252" s="1" t="str">
        <x:v>搜狐/腾讯</x:v>
      </x:c>
    </x:row>
    <x:row r="2253" ht="25" customHeight="1">
      <x:c r="A2253" s="1" t="str">
        <x:v>sz399006</x:v>
      </x:c>
      <x:c r="B2253" s="1" t="str">
        <x:v>创业板指</x:v>
      </x:c>
      <x:c r="C2253" s="1" t="str">
        <x:v>2025-01</x:v>
      </x:c>
      <x:c r="D2253" s="1" t="str">
        <x:v>2024-12-31</x:v>
      </x:c>
      <x:c r="E2253" s="5" t="n">
        <x:v>2141.6</x:v>
      </x:c>
      <x:c r="F2253" s="6" t="str">
        <x:v>2025-01-27</x:v>
      </x:c>
      <x:c r="G2253" s="5" t="n">
        <x:v>2063.82</x:v>
      </x:c>
      <x:c r="H2253" s="7" t="n">
        <x:f>G2253/E2253-1</x:f>
        <x:v>-0.0363186402689577</x:v>
      </x:c>
      <x:c r="I2253" s="1" t="n">
        <x:v>1</x:v>
      </x:c>
      <x:c r="J2253" s="1" t="n">
        <x:v>1</x:v>
      </x:c>
      <x:c r="K2253" s="1" t="str">
        <x:v>搜狐/腾讯</x:v>
      </x:c>
    </x:row>
    <x:row r="2254" ht="25" customHeight="1">
      <x:c r="A2254" s="1" t="str">
        <x:v>sz399006</x:v>
      </x:c>
      <x:c r="B2254" s="1" t="str">
        <x:v>创业板指</x:v>
      </x:c>
      <x:c r="C2254" s="1" t="str">
        <x:v>2025-02</x:v>
      </x:c>
      <x:c r="D2254" s="1" t="str">
        <x:v>2025-01-27</x:v>
      </x:c>
      <x:c r="E2254" s="5" t="n">
        <x:v>2063.82</x:v>
      </x:c>
      <x:c r="F2254" s="6" t="str">
        <x:v>2025-02-28</x:v>
      </x:c>
      <x:c r="G2254" s="5" t="n">
        <x:v>2170.39</x:v>
      </x:c>
      <x:c r="H2254" s="7" t="n">
        <x:f>G2254/E2254-1</x:f>
        <x:v>0.051637255186983255</x:v>
      </x:c>
      <x:c r="I2254" s="1" t="n">
        <x:v>1</x:v>
      </x:c>
      <x:c r="J2254" s="1" t="n">
        <x:v>1</x:v>
      </x:c>
      <x:c r="K2254" s="1" t="str">
        <x:v>搜狐/腾讯</x:v>
      </x:c>
    </x:row>
    <x:row r="2255" ht="25" customHeight="1">
      <x:c r="A2255" s="1" t="str">
        <x:v>sz399006</x:v>
      </x:c>
      <x:c r="B2255" s="1" t="str">
        <x:v>创业板指</x:v>
      </x:c>
      <x:c r="C2255" s="1" t="str">
        <x:v>2025-03</x:v>
      </x:c>
      <x:c r="D2255" s="1" t="str">
        <x:v>2025-02-28</x:v>
      </x:c>
      <x:c r="E2255" s="5" t="n">
        <x:v>2170.39</x:v>
      </x:c>
      <x:c r="F2255" s="6" t="str">
        <x:v>2025-03-31</x:v>
      </x:c>
      <x:c r="G2255" s="5" t="n">
        <x:v>2103.7</x:v>
      </x:c>
      <x:c r="H2255" s="7" t="n">
        <x:f>G2255/E2255-1</x:f>
        <x:v>-0.030727196494639286</x:v>
      </x:c>
      <x:c r="I2255" s="1" t="n">
        <x:v>1</x:v>
      </x:c>
      <x:c r="J2255" s="1" t="n">
        <x:v>1</x:v>
      </x:c>
      <x:c r="K2255" s="1" t="str">
        <x:v>搜狐/腾讯</x:v>
      </x:c>
    </x:row>
    <x:row r="2256" ht="25" customHeight="1">
      <x:c r="A2256" s="1" t="str">
        <x:v>sz399006</x:v>
      </x:c>
      <x:c r="B2256" s="1" t="str">
        <x:v>创业板指</x:v>
      </x:c>
      <x:c r="C2256" s="1" t="str">
        <x:v>2025-04</x:v>
      </x:c>
      <x:c r="D2256" s="1" t="str">
        <x:v>2025-03-31</x:v>
      </x:c>
      <x:c r="E2256" s="5" t="n">
        <x:v>2103.7</x:v>
      </x:c>
      <x:c r="F2256" s="6" t="str">
        <x:v>2025-04-30</x:v>
      </x:c>
      <x:c r="G2256" s="5" t="n">
        <x:v>1948.03</x:v>
      </x:c>
      <x:c r="H2256" s="7" t="n">
        <x:f>G2256/E2256-1</x:f>
        <x:v>-0.07399819365879157</x:v>
      </x:c>
      <x:c r="I2256" s="1" t="n">
        <x:v>1</x:v>
      </x:c>
      <x:c r="J2256" s="1" t="n">
        <x:v>1</x:v>
      </x:c>
      <x:c r="K2256" s="1" t="str">
        <x:v>搜狐/腾讯</x:v>
      </x:c>
    </x:row>
    <x:row r="2257" ht="25" customHeight="1">
      <x:c r="A2257" s="1" t="str">
        <x:v>sz399006</x:v>
      </x:c>
      <x:c r="B2257" s="1" t="str">
        <x:v>创业板指</x:v>
      </x:c>
      <x:c r="C2257" s="1" t="str">
        <x:v>2025-05</x:v>
      </x:c>
      <x:c r="D2257" s="1" t="str">
        <x:v>2025-04-30</x:v>
      </x:c>
      <x:c r="E2257" s="5" t="n">
        <x:v>1948.03</x:v>
      </x:c>
      <x:c r="F2257" s="6" t="str">
        <x:v>2025-05-30</x:v>
      </x:c>
      <x:c r="G2257" s="5" t="n">
        <x:v>1993.19</x:v>
      </x:c>
      <x:c r="H2257" s="7" t="n">
        <x:f>G2257/E2257-1</x:f>
        <x:v>0.023182394521644945</x:v>
      </x:c>
      <x:c r="I2257" s="1" t="n">
        <x:v>1</x:v>
      </x:c>
      <x:c r="J2257" s="1" t="n">
        <x:v>1</x:v>
      </x:c>
      <x:c r="K2257" s="1" t="str">
        <x:v>搜狐/腾讯</x:v>
      </x:c>
    </x:row>
    <x:row r="2258" ht="25" customHeight="1">
      <x:c r="A2258" s="1" t="str">
        <x:v>sz399006</x:v>
      </x:c>
      <x:c r="B2258" s="1" t="str">
        <x:v>创业板指</x:v>
      </x:c>
      <x:c r="C2258" s="1" t="str">
        <x:v>2025-06</x:v>
      </x:c>
      <x:c r="D2258" s="1" t="str">
        <x:v>2025-05-30</x:v>
      </x:c>
      <x:c r="E2258" s="5" t="n">
        <x:v>1993.19</x:v>
      </x:c>
      <x:c r="F2258" s="6" t="str">
        <x:v>2025-06-30</x:v>
      </x:c>
      <x:c r="G2258" s="5" t="n">
        <x:v>2153.01</x:v>
      </x:c>
      <x:c r="H2258" s="7" t="n">
        <x:f>G2258/E2258-1</x:f>
        <x:v>0.08018302319397552</x:v>
      </x:c>
      <x:c r="I2258" s="1" t="n">
        <x:v>1</x:v>
      </x:c>
      <x:c r="J2258" s="1" t="n">
        <x:v>1</x:v>
      </x:c>
      <x:c r="K2258" s="1" t="str">
        <x:v>搜狐/腾讯</x:v>
      </x:c>
    </x:row>
    <x:row r="2259" ht="25" customHeight="1">
      <x:c r="A2259" s="1" t="str">
        <x:v>sz399006</x:v>
      </x:c>
      <x:c r="B2259" s="1" t="str">
        <x:v>创业板指</x:v>
      </x:c>
      <x:c r="C2259" s="1" t="str">
        <x:v>2025-07</x:v>
      </x:c>
      <x:c r="D2259" s="1" t="str">
        <x:v>2025-06-30</x:v>
      </x:c>
      <x:c r="E2259" s="5" t="n">
        <x:v>2153.01</x:v>
      </x:c>
      <x:c r="F2259" s="6" t="str">
        <x:v>2025-07-31</x:v>
      </x:c>
      <x:c r="G2259" s="5" t="n">
        <x:v>2328.31</x:v>
      </x:c>
      <x:c r="H2259" s="7" t="n">
        <x:f>G2259/E2259-1</x:f>
        <x:v>0.08142089446867384</x:v>
      </x:c>
      <x:c r="I2259" s="1" t="n">
        <x:v>1</x:v>
      </x:c>
      <x:c r="J2259" s="1" t="n">
        <x:v>1</x:v>
      </x:c>
      <x:c r="K2259" s="1" t="str">
        <x:v>搜狐/腾讯</x:v>
      </x:c>
    </x:row>
    <x:row r="2260" ht="25" customHeight="1">
      <x:c r="A2260" s="1" t="str">
        <x:v>sz399006</x:v>
      </x:c>
      <x:c r="B2260" s="1" t="str">
        <x:v>创业板指</x:v>
      </x:c>
      <x:c r="C2260" s="1" t="str">
        <x:v>2025-08</x:v>
      </x:c>
      <x:c r="D2260" s="1" t="str">
        <x:v>2025-07-31</x:v>
      </x:c>
      <x:c r="E2260" s="5" t="n">
        <x:v>2328.31</x:v>
      </x:c>
      <x:c r="F2260" s="6" t="str">
        <x:v>2025-08-29</x:v>
      </x:c>
      <x:c r="G2260" s="5" t="n">
        <x:v>2890.13</x:v>
      </x:c>
      <x:c r="H2260" s="7" t="n">
        <x:f>G2260/E2260-1</x:f>
        <x:v>0.2412994833162252</x:v>
      </x:c>
      <x:c r="I2260" s="1" t="n">
        <x:v>1</x:v>
      </x:c>
      <x:c r="J2260" s="1" t="n">
        <x:v>1</x:v>
      </x:c>
      <x:c r="K2260" s="1" t="str">
        <x:v>搜狐/腾讯</x:v>
      </x:c>
    </x:row>
    <x:row r="2261" ht="25" customHeight="1">
      <x:c r="A2261" s="1" t="str">
        <x:v>sz399006</x:v>
      </x:c>
      <x:c r="B2261" s="1" t="str">
        <x:v>创业板指</x:v>
      </x:c>
      <x:c r="C2261" s="1" t="str">
        <x:v>2025-09</x:v>
      </x:c>
      <x:c r="D2261" s="1" t="str">
        <x:v>2025-08-29</x:v>
      </x:c>
      <x:c r="E2261" s="5" t="n">
        <x:v>2890.13</x:v>
      </x:c>
      <x:c r="F2261" s="6" t="str">
        <x:v>2025-09-30</x:v>
      </x:c>
      <x:c r="G2261" s="5" t="n">
        <x:v>3238.16</x:v>
      </x:c>
      <x:c r="H2261" s="7" t="n">
        <x:f>G2261/E2261-1</x:f>
        <x:v>0.12042018871123439</x:v>
      </x:c>
      <x:c r="I2261" s="1" t="n">
        <x:v>1</x:v>
      </x:c>
      <x:c r="J2261" s="1" t="n">
        <x:v>1</x:v>
      </x:c>
      <x:c r="K2261" s="1" t="str">
        <x:v>搜狐/腾讯</x:v>
      </x:c>
    </x:row>
    <x:row r="2262" ht="25" customHeight="1">
      <x:c r="A2262" s="1" t="str">
        <x:v>sz399006</x:v>
      </x:c>
      <x:c r="B2262" s="1" t="str">
        <x:v>创业板指</x:v>
      </x:c>
      <x:c r="C2262" s="1" t="str">
        <x:v>2025-10</x:v>
      </x:c>
      <x:c r="D2262" s="1" t="str">
        <x:v>2025-09-30</x:v>
      </x:c>
      <x:c r="E2262" s="5" t="n">
        <x:v>3238.16</x:v>
      </x:c>
      <x:c r="F2262" s="6" t="str">
        <x:v>2025-10-31</x:v>
      </x:c>
      <x:c r="G2262" s="5" t="n">
        <x:v>3187.53</x:v>
      </x:c>
      <x:c r="H2262" s="7" t="n">
        <x:f>G2262/E2262-1</x:f>
        <x:v>-0.01563542258566586</x:v>
      </x:c>
      <x:c r="I2262" s="1" t="n">
        <x:v>1</x:v>
      </x:c>
      <x:c r="J2262" s="1" t="n">
        <x:v>1</x:v>
      </x:c>
      <x:c r="K2262" s="1" t="str">
        <x:v>搜狐/腾讯</x:v>
      </x:c>
    </x:row>
    <x:row r="2263" ht="25" customHeight="1">
      <x:c r="A2263" s="1" t="str">
        <x:v>sz399006</x:v>
      </x:c>
      <x:c r="B2263" s="1" t="str">
        <x:v>创业板指</x:v>
      </x:c>
      <x:c r="C2263" s="1" t="str">
        <x:v>2025-11</x:v>
      </x:c>
      <x:c r="D2263" s="1" t="str">
        <x:v>2025-10-31</x:v>
      </x:c>
      <x:c r="E2263" s="5" t="n">
        <x:v>3187.53</x:v>
      </x:c>
      <x:c r="F2263" s="6" t="str">
        <x:v>2025-11-28</x:v>
      </x:c>
      <x:c r="G2263" s="5" t="n">
        <x:v>3052.59</x:v>
      </x:c>
      <x:c r="H2263" s="7" t="n">
        <x:f>G2263/E2263-1</x:f>
        <x:v>-0.04233371921205453</x:v>
      </x:c>
      <x:c r="I2263" s="1" t="n">
        <x:v>1</x:v>
      </x:c>
      <x:c r="J2263" s="1" t="n">
        <x:v>1</x:v>
      </x:c>
      <x:c r="K2263" s="1" t="str">
        <x:v>搜狐/腾讯</x:v>
      </x:c>
    </x:row>
    <x:row r="2264" ht="25" customHeight="1">
      <x:c r="A2264" s="1" t="str">
        <x:v>sz399006</x:v>
      </x:c>
      <x:c r="B2264" s="1" t="str">
        <x:v>创业板指</x:v>
      </x:c>
      <x:c r="C2264" s="1" t="str">
        <x:v>2025-12</x:v>
      </x:c>
      <x:c r="D2264" s="1" t="str">
        <x:v>2025-11-28</x:v>
      </x:c>
      <x:c r="E2264" s="5" t="n">
        <x:v>3052.59</x:v>
      </x:c>
      <x:c r="F2264" s="6" t="str">
        <x:v>2025-12-31</x:v>
      </x:c>
      <x:c r="G2264" s="5" t="n">
        <x:v>3203.17</x:v>
      </x:c>
      <x:c r="H2264" s="7" t="n">
        <x:f>G2264/E2264-1</x:f>
        <x:v>0.04932860292407426</x:v>
      </x:c>
      <x:c r="I2264" s="1" t="n">
        <x:v>1</x:v>
      </x:c>
      <x:c r="J2264" s="1" t="n">
        <x:v>1</x:v>
      </x:c>
      <x:c r="K2264" s="1" t="str">
        <x:v>搜狐/腾讯</x:v>
      </x:c>
    </x:row>
    <x:row r="2265" ht="25" customHeight="1">
      <x:c r="A2265" s="1" t="str">
        <x:v>sz399006</x:v>
      </x:c>
      <x:c r="B2265" s="1" t="str">
        <x:v>创业板指</x:v>
      </x:c>
      <x:c r="C2265" s="1" t="str">
        <x:v>2026-01</x:v>
      </x:c>
      <x:c r="D2265" s="1" t="str">
        <x:v>2025-12-31</x:v>
      </x:c>
      <x:c r="E2265" s="5" t="n">
        <x:v>3203.17</x:v>
      </x:c>
      <x:c r="F2265" s="6" t="str">
        <x:v>2026-01-30</x:v>
      </x:c>
      <x:c r="G2265" s="5" t="n">
        <x:v>3346.36</x:v>
      </x:c>
      <x:c r="H2265" s="7" t="n">
        <x:f>G2265/E2265-1</x:f>
        <x:v>0.04470259149530009</x:v>
      </x:c>
      <x:c r="I2265" s="1" t="n">
        <x:v>1</x:v>
      </x:c>
      <x:c r="J2265" s="1" t="n">
        <x:v>1</x:v>
      </x:c>
      <x:c r="K2265" s="1" t="str">
        <x:v>搜狐/腾讯</x:v>
      </x:c>
    </x:row>
    <x:row r="2266" ht="25" customHeight="1">
      <x:c r="A2266" s="1" t="str">
        <x:v>sz399006</x:v>
      </x:c>
      <x:c r="B2266" s="1" t="str">
        <x:v>创业板指</x:v>
      </x:c>
      <x:c r="C2266" s="1" t="str">
        <x:v>2026-02</x:v>
      </x:c>
      <x:c r="D2266" s="1" t="str">
        <x:v>2026-01-30</x:v>
      </x:c>
      <x:c r="E2266" s="5" t="n">
        <x:v>3346.36</x:v>
      </x:c>
      <x:c r="F2266" s="6" t="str">
        <x:v>2026-02-27</x:v>
      </x:c>
      <x:c r="G2266" s="5" t="n">
        <x:v>3310.31</x:v>
      </x:c>
      <x:c r="H2266" s="7" t="n">
        <x:f>G2266/E2266-1</x:f>
        <x:v>-0.010772899508719957</x:v>
      </x:c>
      <x:c r="I2266" s="1" t="n">
        <x:v>1</x:v>
      </x:c>
      <x:c r="J2266" s="1" t="n">
        <x:v>1</x:v>
      </x:c>
      <x:c r="K2266" s="1" t="str">
        <x:v>搜狐/腾讯</x:v>
      </x:c>
    </x:row>
    <x:row r="2267" ht="25" customHeight="1">
      <x:c r="A2267" s="1" t="str">
        <x:v>sz399006</x:v>
      </x:c>
      <x:c r="B2267" s="1" t="str">
        <x:v>创业板指</x:v>
      </x:c>
      <x:c r="C2267" s="1" t="str">
        <x:v>2026-03</x:v>
      </x:c>
      <x:c r="D2267" s="1" t="str">
        <x:v>2026-02-27</x:v>
      </x:c>
      <x:c r="E2267" s="5" t="n">
        <x:v>3310.31</x:v>
      </x:c>
      <x:c r="F2267" s="6" t="str">
        <x:v>2026-03-31</x:v>
      </x:c>
      <x:c r="G2267" s="5" t="n">
        <x:v>3184.95</x:v>
      </x:c>
      <x:c r="H2267" s="7" t="n">
        <x:f>G2267/E2267-1</x:f>
        <x:v>-0.03786956508604933</x:v>
      </x:c>
      <x:c r="I2267" s="1" t="n">
        <x:v>1</x:v>
      </x:c>
      <x:c r="J2267" s="1" t="n">
        <x:v>1</x:v>
      </x:c>
      <x:c r="K2267" s="1" t="str">
        <x:v>搜狐/腾讯</x:v>
      </x:c>
    </x:row>
    <x:row r="2268" ht="25" customHeight="1">
      <x:c r="A2268" s="1" t="str">
        <x:v>sz399006</x:v>
      </x:c>
      <x:c r="B2268" s="1" t="str">
        <x:v>创业板指</x:v>
      </x:c>
      <x:c r="C2268" s="1" t="str">
        <x:v>2026-04</x:v>
      </x:c>
      <x:c r="D2268" s="1" t="str">
        <x:v>2026-03-31</x:v>
      </x:c>
      <x:c r="E2268" s="5" t="n">
        <x:v>3184.95</x:v>
      </x:c>
      <x:c r="F2268" s="6" t="str">
        <x:v>2026-04-30</x:v>
      </x:c>
      <x:c r="G2268" s="5" t="n">
        <x:v>3677.15</x:v>
      </x:c>
      <x:c r="H2268" s="7" t="n">
        <x:f>G2268/E2268-1</x:f>
        <x:v>0.1545393177286929</x:v>
      </x:c>
      <x:c r="I2268" s="1" t="n">
        <x:v>1</x:v>
      </x:c>
      <x:c r="J2268" s="1" t="n">
        <x:v>1</x:v>
      </x:c>
      <x:c r="K2268" s="1" t="str">
        <x:v>搜狐/腾讯</x:v>
      </x:c>
    </x:row>
    <x:row r="2269" ht="25" customHeight="1">
      <x:c r="A2269" s="1" t="str">
        <x:v>sz399006</x:v>
      </x:c>
      <x:c r="B2269" s="1" t="str">
        <x:v>创业板指</x:v>
      </x:c>
      <x:c r="C2269" s="1" t="str">
        <x:v>2026-05</x:v>
      </x:c>
      <x:c r="D2269" s="1" t="str">
        <x:v>2026-04-30</x:v>
      </x:c>
      <x:c r="E2269" s="5" t="n">
        <x:v>3677.15</x:v>
      </x:c>
      <x:c r="F2269" s="6" t="str">
        <x:v>2026-05-29</x:v>
      </x:c>
      <x:c r="G2269" s="5" t="n">
        <x:v>4037.95</x:v>
      </x:c>
      <x:c r="H2269" s="7" t="n">
        <x:f>G2269/E2269-1</x:f>
        <x:v>0.09811946752240175</x:v>
      </x:c>
      <x:c r="I2269" s="1" t="n">
        <x:v>1</x:v>
      </x:c>
      <x:c r="J2269" s="1" t="n">
        <x:v>1</x:v>
      </x:c>
      <x:c r="K2269" s="1" t="str">
        <x:v>搜狐/腾讯</x:v>
      </x:c>
    </x:row>
    <x:row r="2270" ht="25" customHeight="1">
      <x:c r="A2270" s="1" t="str">
        <x:v>sz399006</x:v>
      </x:c>
      <x:c r="B2270" s="1" t="str">
        <x:v>创业板指</x:v>
      </x:c>
      <x:c r="C2270" s="1" t="str">
        <x:v>2026-06</x:v>
      </x:c>
      <x:c r="D2270" s="1" t="str">
        <x:v>2026-05-29</x:v>
      </x:c>
      <x:c r="E2270" s="5" t="n">
        <x:v>4037.95</x:v>
      </x:c>
      <x:c r="F2270" s="6" t="str">
        <x:v>2026-06-30</x:v>
      </x:c>
      <x:c r="G2270" s="5" t="n">
        <x:v>4342.71</x:v>
      </x:c>
      <x:c r="H2270" s="7" t="n">
        <x:f>G2270/E2270-1</x:f>
        <x:v>0.07547394098490567</x:v>
      </x:c>
      <x:c r="I2270" s="1" t="n">
        <x:v>1</x:v>
      </x:c>
      <x:c r="J2270" s="1" t="n">
        <x:v>1</x:v>
      </x:c>
      <x:c r="K2270" s="1" t="str">
        <x:v>搜狐/腾讯</x:v>
      </x:c>
    </x:row>
    <x:row r="2271" ht="25" customHeight="1">
      <x:c r="A2271" s="1" t="str">
        <x:v>sz399006</x:v>
      </x:c>
      <x:c r="B2271" s="1" t="str">
        <x:v>创业板指</x:v>
      </x:c>
      <x:c r="C2271" s="1" t="str">
        <x:v>2026-07</x:v>
      </x:c>
      <x:c r="D2271" s="1" t="str">
        <x:v>2026-06-30</x:v>
      </x:c>
      <x:c r="E2271" s="5" t="n">
        <x:v>4342.71</x:v>
      </x:c>
      <x:c r="F2271" s="6" t="str">
        <x:v>2026-07-31</x:v>
      </x:c>
      <x:c r="G2271" s="5" t="n">
        <x:v>3343.96</x:v>
      </x:c>
      <x:c r="H2271" s="7" t="n">
        <x:f>G2271/E2271-1</x:f>
        <x:v>-0.22998312113864383</x:v>
      </x:c>
      <x:c r="I2271" s="1" t="n">
        <x:v>1</x:v>
      </x:c>
      <x:c r="J2271" s="1" t="n">
        <x:v>1</x:v>
      </x:c>
      <x:c r="K2271" s="1" t="str">
        <x:v>搜狐/腾讯</x:v>
      </x:c>
    </x:row>
    <x:row r="2272" ht="25" customHeight="1">
      <x:c r="A2272" s="1" t="str">
        <x:v>sz399006</x:v>
      </x:c>
      <x:c r="B2272" s="1" t="str">
        <x:v>创业板指</x:v>
      </x:c>
      <x:c r="C2272" s="1" t="str">
        <x:v>2026-08</x:v>
      </x:c>
      <x:c r="D2272" s="1" t="str">
        <x:v>2026-07-31</x:v>
      </x:c>
      <x:c r="E2272" s="5" t="n">
        <x:v>3343.96</x:v>
      </x:c>
      <x:c r="F2272" s="6" t="str">
        <x:v>2026-08-31</x:v>
      </x:c>
      <x:c r="G2272" s="5" t="n">
        <x:v>3438.68</x:v>
      </x:c>
      <x:c r="H2272" s="7" t="n">
        <x:f>G2272/E2272-1</x:f>
        <x:v>0.028325697675809502</x:v>
      </x:c>
      <x:c r="I2272" s="1" t="n">
        <x:v>1</x:v>
      </x:c>
      <x:c r="J2272" s="1" t="n">
        <x:v>1</x:v>
      </x:c>
      <x:c r="K2272" s="1" t="str">
        <x:v>搜狐/腾讯</x:v>
      </x:c>
    </x:row>
    <x:row r="2273" ht="25" customHeight="1">
      <x:c r="A2273" s="1" t="str">
        <x:v>sz399006</x:v>
      </x:c>
      <x:c r="B2273" s="1" t="str">
        <x:v>创业板指</x:v>
      </x:c>
      <x:c r="C2273" s="1" t="str">
        <x:v>2026-09</x:v>
      </x:c>
      <x:c r="D2273" s="1" t="str">
        <x:v>2026-08-31</x:v>
      </x:c>
      <x:c r="E2273" s="5" t="n">
        <x:v>3438.68</x:v>
      </x:c>
      <x:c r="F2273" s="6" t="str">
        <x:v>2026-09-30</x:v>
      </x:c>
      <x:c r="G2273" s="5" t="n">
        <x:v>3135.28</x:v>
      </x:c>
      <x:c r="H2273" s="7" t="n">
        <x:f>G2273/E2273-1</x:f>
        <x:v>-0.08823153070364198</x:v>
      </x:c>
      <x:c r="I2273" s="1" t="n">
        <x:v>1</x:v>
      </x:c>
      <x:c r="J2273" s="1" t="n">
        <x:v>1</x:v>
      </x:c>
      <x:c r="K2273" s="1" t="str">
        <x:v>搜狐/腾讯</x:v>
      </x:c>
    </x:row>
    <x:row r="2274" ht="25" customHeight="1">
      <x:c r="A2274" s="1" t="str">
        <x:v>sz399006</x:v>
      </x:c>
      <x:c r="B2274" s="1" t="str">
        <x:v>创业板指</x:v>
      </x:c>
      <x:c r="C2274" s="1" t="str">
        <x:v>2026-10</x:v>
      </x:c>
      <x:c r="D2274" s="1" t="str">
        <x:v>2026-09-30</x:v>
      </x:c>
      <x:c r="E2274" s="5" t="n">
        <x:v>3135.28</x:v>
      </x:c>
      <x:c r="F2274" s="6" t="str">
        <x:v>2026-10-09</x:v>
      </x:c>
      <x:c r="G2274" s="5" t="n">
        <x:v>3043.34</x:v>
      </x:c>
      <x:c r="H2274" s="7" t="n">
        <x:f>G2274/E2274-1</x:f>
        <x:v>-0.0293243346686739</x:v>
      </x:c>
      <x:c r="I2274" s="1" t="n">
        <x:v>0</x:v>
      </x:c>
      <x:c r="J2274" s="1" t="n">
        <x:v>1</x:v>
      </x:c>
      <x:c r="K2274" s="1" t="str">
        <x:v>搜狐/腾讯</x:v>
      </x:c>
    </x:row>
    <x:row r="2275" ht="25" customHeight="1">
      <x:c r="A2275" s="1" t="str">
        <x:v>sh000922</x:v>
      </x:c>
      <x:c r="B2275" s="1" t="str">
        <x:v>中证红利</x:v>
      </x:c>
      <x:c r="C2275" s="1" t="str">
        <x:v>2005-01</x:v>
      </x:c>
      <x:c r="D2275" s="1" t="str">
        <x:v>2004-12-31</x:v>
      </x:c>
      <x:c r="E2275" s="5" t="n">
        <x:v>1000</x:v>
      </x:c>
      <x:c r="F2275" s="6" t="str">
        <x:v>2005-01-31</x:v>
      </x:c>
      <x:c r="G2275" s="5" t="n">
        <x:v>959.1</x:v>
      </x:c>
      <x:c r="H2275" s="7" t="n">
        <x:f>G2275/E2275-1</x:f>
        <x:v>-0.040899999999999936</x:v>
      </x:c>
      <x:c r="I2275" s="1" t="n">
        <x:v>1</x:v>
      </x:c>
      <x:c r="J2275" s="1" t="n">
        <x:v>0</x:v>
      </x:c>
      <x:c r="K2275" s="1" t="str">
        <x:v>中证官方优先</x:v>
      </x:c>
    </x:row>
    <x:row r="2276" ht="25" customHeight="1">
      <x:c r="A2276" s="1" t="str">
        <x:v>sh000922</x:v>
      </x:c>
      <x:c r="B2276" s="1" t="str">
        <x:v>中证红利</x:v>
      </x:c>
      <x:c r="C2276" s="1" t="str">
        <x:v>2005-02</x:v>
      </x:c>
      <x:c r="D2276" s="1" t="str">
        <x:v>2005-01-31</x:v>
      </x:c>
      <x:c r="E2276" s="5" t="n">
        <x:v>959.1</x:v>
      </x:c>
      <x:c r="F2276" s="6" t="str">
        <x:v>2005-02-28</x:v>
      </x:c>
      <x:c r="G2276" s="5" t="n">
        <x:v>1047.24</x:v>
      </x:c>
      <x:c r="H2276" s="7" t="n">
        <x:f>G2276/E2276-1</x:f>
        <x:v>0.09189865498905214</x:v>
      </x:c>
      <x:c r="I2276" s="1" t="n">
        <x:v>1</x:v>
      </x:c>
      <x:c r="J2276" s="1" t="n">
        <x:v>0</x:v>
      </x:c>
      <x:c r="K2276" s="1" t="str">
        <x:v>中证官方优先</x:v>
      </x:c>
    </x:row>
    <x:row r="2277" ht="25" customHeight="1">
      <x:c r="A2277" s="1" t="str">
        <x:v>sh000922</x:v>
      </x:c>
      <x:c r="B2277" s="1" t="str">
        <x:v>中证红利</x:v>
      </x:c>
      <x:c r="C2277" s="1" t="str">
        <x:v>2005-03</x:v>
      </x:c>
      <x:c r="D2277" s="1" t="str">
        <x:v>2005-02-28</x:v>
      </x:c>
      <x:c r="E2277" s="5" t="n">
        <x:v>1047.24</x:v>
      </x:c>
      <x:c r="F2277" s="6" t="str">
        <x:v>2005-03-31</x:v>
      </x:c>
      <x:c r="G2277" s="5" t="n">
        <x:v>956.04</x:v>
      </x:c>
      <x:c r="H2277" s="7" t="n">
        <x:f>G2277/E2277-1</x:f>
        <x:v>-0.08708605477254505</x:v>
      </x:c>
      <x:c r="I2277" s="1" t="n">
        <x:v>1</x:v>
      </x:c>
      <x:c r="J2277" s="1" t="n">
        <x:v>0</x:v>
      </x:c>
      <x:c r="K2277" s="1" t="str">
        <x:v>中证官方优先</x:v>
      </x:c>
    </x:row>
    <x:row r="2278" ht="25" customHeight="1">
      <x:c r="A2278" s="1" t="str">
        <x:v>sh000922</x:v>
      </x:c>
      <x:c r="B2278" s="1" t="str">
        <x:v>中证红利</x:v>
      </x:c>
      <x:c r="C2278" s="1" t="str">
        <x:v>2005-04</x:v>
      </x:c>
      <x:c r="D2278" s="1" t="str">
        <x:v>2005-03-31</x:v>
      </x:c>
      <x:c r="E2278" s="5" t="n">
        <x:v>956.04</x:v>
      </x:c>
      <x:c r="F2278" s="6" t="str">
        <x:v>2005-04-29</x:v>
      </x:c>
      <x:c r="G2278" s="5" t="n">
        <x:v>932.53</x:v>
      </x:c>
      <x:c r="H2278" s="7" t="n">
        <x:f>G2278/E2278-1</x:f>
        <x:v>-0.02459102129618007</x:v>
      </x:c>
      <x:c r="I2278" s="1" t="n">
        <x:v>1</x:v>
      </x:c>
      <x:c r="J2278" s="1" t="n">
        <x:v>0</x:v>
      </x:c>
      <x:c r="K2278" s="1" t="str">
        <x:v>中证官方优先</x:v>
      </x:c>
    </x:row>
    <x:row r="2279" ht="25" customHeight="1">
      <x:c r="A2279" s="1" t="str">
        <x:v>sh000922</x:v>
      </x:c>
      <x:c r="B2279" s="1" t="str">
        <x:v>中证红利</x:v>
      </x:c>
      <x:c r="C2279" s="1" t="str">
        <x:v>2005-05</x:v>
      </x:c>
      <x:c r="D2279" s="1" t="str">
        <x:v>2005-04-29</x:v>
      </x:c>
      <x:c r="E2279" s="5" t="n">
        <x:v>932.53</x:v>
      </x:c>
      <x:c r="F2279" s="6" t="str">
        <x:v>2005-05-31</x:v>
      </x:c>
      <x:c r="G2279" s="5" t="n">
        <x:v>841.31</x:v>
      </x:c>
      <x:c r="H2279" s="7" t="n">
        <x:f>G2279/E2279-1</x:f>
        <x:v>-0.09781990927905804</x:v>
      </x:c>
      <x:c r="I2279" s="1" t="n">
        <x:v>1</x:v>
      </x:c>
      <x:c r="J2279" s="1" t="n">
        <x:v>0</x:v>
      </x:c>
      <x:c r="K2279" s="1" t="str">
        <x:v>中证官方优先</x:v>
      </x:c>
    </x:row>
    <x:row r="2280" ht="25" customHeight="1">
      <x:c r="A2280" s="1" t="str">
        <x:v>sh000922</x:v>
      </x:c>
      <x:c r="B2280" s="1" t="str">
        <x:v>中证红利</x:v>
      </x:c>
      <x:c r="C2280" s="1" t="str">
        <x:v>2005-06</x:v>
      </x:c>
      <x:c r="D2280" s="1" t="str">
        <x:v>2005-05-31</x:v>
      </x:c>
      <x:c r="E2280" s="5" t="n">
        <x:v>841.31</x:v>
      </x:c>
      <x:c r="F2280" s="6" t="str">
        <x:v>2005-06-30</x:v>
      </x:c>
      <x:c r="G2280" s="5" t="n">
        <x:v>855.46</x:v>
      </x:c>
      <x:c r="H2280" s="7" t="n">
        <x:f>G2280/E2280-1</x:f>
        <x:v>0.016819008451106177</x:v>
      </x:c>
      <x:c r="I2280" s="1" t="n">
        <x:v>1</x:v>
      </x:c>
      <x:c r="J2280" s="1" t="n">
        <x:v>0</x:v>
      </x:c>
      <x:c r="K2280" s="1" t="str">
        <x:v>中证官方优先</x:v>
      </x:c>
    </x:row>
    <x:row r="2281" ht="25" customHeight="1">
      <x:c r="A2281" s="1" t="str">
        <x:v>sh000922</x:v>
      </x:c>
      <x:c r="B2281" s="1" t="str">
        <x:v>中证红利</x:v>
      </x:c>
      <x:c r="C2281" s="1" t="str">
        <x:v>2005-07</x:v>
      </x:c>
      <x:c r="D2281" s="1" t="str">
        <x:v>2005-06-30</x:v>
      </x:c>
      <x:c r="E2281" s="5" t="n">
        <x:v>855.46</x:v>
      </x:c>
      <x:c r="F2281" s="6" t="str">
        <x:v>2005-07-29</x:v>
      </x:c>
      <x:c r="G2281" s="5" t="n">
        <x:v>862.55</x:v>
      </x:c>
      <x:c r="H2281" s="7" t="n">
        <x:f>G2281/E2281-1</x:f>
        <x:v>0.00828793865288846</x:v>
      </x:c>
      <x:c r="I2281" s="1" t="n">
        <x:v>1</x:v>
      </x:c>
      <x:c r="J2281" s="1" t="n">
        <x:v>0</x:v>
      </x:c>
      <x:c r="K2281" s="1" t="str">
        <x:v>中证官方优先</x:v>
      </x:c>
    </x:row>
    <x:row r="2282" ht="25" customHeight="1">
      <x:c r="A2282" s="1" t="str">
        <x:v>sh000922</x:v>
      </x:c>
      <x:c r="B2282" s="1" t="str">
        <x:v>中证红利</x:v>
      </x:c>
      <x:c r="C2282" s="1" t="str">
        <x:v>2005-08</x:v>
      </x:c>
      <x:c r="D2282" s="1" t="str">
        <x:v>2005-07-29</x:v>
      </x:c>
      <x:c r="E2282" s="5" t="n">
        <x:v>862.55</x:v>
      </x:c>
      <x:c r="F2282" s="6" t="str">
        <x:v>2005-08-31</x:v>
      </x:c>
      <x:c r="G2282" s="5" t="n">
        <x:v>910.62</x:v>
      </x:c>
      <x:c r="H2282" s="7" t="n">
        <x:f>G2282/E2282-1</x:f>
        <x:v>0.05573010260274769</x:v>
      </x:c>
      <x:c r="I2282" s="1" t="n">
        <x:v>1</x:v>
      </x:c>
      <x:c r="J2282" s="1" t="n">
        <x:v>0</x:v>
      </x:c>
      <x:c r="K2282" s="1" t="str">
        <x:v>中证官方优先</x:v>
      </x:c>
    </x:row>
    <x:row r="2283" ht="25" customHeight="1">
      <x:c r="A2283" s="1" t="str">
        <x:v>sh000922</x:v>
      </x:c>
      <x:c r="B2283" s="1" t="str">
        <x:v>中证红利</x:v>
      </x:c>
      <x:c r="C2283" s="1" t="str">
        <x:v>2005-09</x:v>
      </x:c>
      <x:c r="D2283" s="1" t="str">
        <x:v>2005-08-31</x:v>
      </x:c>
      <x:c r="E2283" s="5" t="n">
        <x:v>910.62</x:v>
      </x:c>
      <x:c r="F2283" s="6" t="str">
        <x:v>2005-09-30</x:v>
      </x:c>
      <x:c r="G2283" s="5" t="n">
        <x:v>903.06</x:v>
      </x:c>
      <x:c r="H2283" s="7" t="n">
        <x:f>G2283/E2283-1</x:f>
        <x:v>-0.008302035975489286</x:v>
      </x:c>
      <x:c r="I2283" s="1" t="n">
        <x:v>1</x:v>
      </x:c>
      <x:c r="J2283" s="1" t="n">
        <x:v>0</x:v>
      </x:c>
      <x:c r="K2283" s="1" t="str">
        <x:v>中证官方优先</x:v>
      </x:c>
    </x:row>
    <x:row r="2284" ht="25" customHeight="1">
      <x:c r="A2284" s="1" t="str">
        <x:v>sh000922</x:v>
      </x:c>
      <x:c r="B2284" s="1" t="str">
        <x:v>中证红利</x:v>
      </x:c>
      <x:c r="C2284" s="1" t="str">
        <x:v>2005-10</x:v>
      </x:c>
      <x:c r="D2284" s="1" t="str">
        <x:v>2005-09-30</x:v>
      </x:c>
      <x:c r="E2284" s="5" t="n">
        <x:v>903.06</x:v>
      </x:c>
      <x:c r="F2284" s="6" t="str">
        <x:v>2005-10-31</x:v>
      </x:c>
      <x:c r="G2284" s="5" t="n">
        <x:v>842.28</x:v>
      </x:c>
      <x:c r="H2284" s="7" t="n">
        <x:f>G2284/E2284-1</x:f>
        <x:v>-0.06730449803999727</x:v>
      </x:c>
      <x:c r="I2284" s="1" t="n">
        <x:v>1</x:v>
      </x:c>
      <x:c r="J2284" s="1" t="n">
        <x:v>0</x:v>
      </x:c>
      <x:c r="K2284" s="1" t="str">
        <x:v>中证官方优先</x:v>
      </x:c>
    </x:row>
    <x:row r="2285" ht="25" customHeight="1">
      <x:c r="A2285" s="1" t="str">
        <x:v>sh000922</x:v>
      </x:c>
      <x:c r="B2285" s="1" t="str">
        <x:v>中证红利</x:v>
      </x:c>
      <x:c r="C2285" s="1" t="str">
        <x:v>2005-11</x:v>
      </x:c>
      <x:c r="D2285" s="1" t="str">
        <x:v>2005-10-31</x:v>
      </x:c>
      <x:c r="E2285" s="5" t="n">
        <x:v>842.28</x:v>
      </x:c>
      <x:c r="F2285" s="6" t="str">
        <x:v>2005-11-30</x:v>
      </x:c>
      <x:c r="G2285" s="5" t="n">
        <x:v>834.36</x:v>
      </x:c>
      <x:c r="H2285" s="7" t="n">
        <x:f>G2285/E2285-1</x:f>
        <x:v>-0.009403048867359987</x:v>
      </x:c>
      <x:c r="I2285" s="1" t="n">
        <x:v>1</x:v>
      </x:c>
      <x:c r="J2285" s="1" t="n">
        <x:v>0</x:v>
      </x:c>
      <x:c r="K2285" s="1" t="str">
        <x:v>中证官方优先</x:v>
      </x:c>
    </x:row>
    <x:row r="2286" ht="25" customHeight="1">
      <x:c r="A2286" s="1" t="str">
        <x:v>sh000922</x:v>
      </x:c>
      <x:c r="B2286" s="1" t="str">
        <x:v>中证红利</x:v>
      </x:c>
      <x:c r="C2286" s="1" t="str">
        <x:v>2005-12</x:v>
      </x:c>
      <x:c r="D2286" s="1" t="str">
        <x:v>2005-11-30</x:v>
      </x:c>
      <x:c r="E2286" s="5" t="n">
        <x:v>834.36</x:v>
      </x:c>
      <x:c r="F2286" s="6" t="str">
        <x:v>2005-12-30</x:v>
      </x:c>
      <x:c r="G2286" s="5" t="n">
        <x:v>890.49</x:v>
      </x:c>
      <x:c r="H2286" s="7" t="n">
        <x:f>G2286/E2286-1</x:f>
        <x:v>0.0672731195167553</x:v>
      </x:c>
      <x:c r="I2286" s="1" t="n">
        <x:v>1</x:v>
      </x:c>
      <x:c r="J2286" s="1" t="n">
        <x:v>0</x:v>
      </x:c>
      <x:c r="K2286" s="1" t="str">
        <x:v>中证官方优先</x:v>
      </x:c>
    </x:row>
    <x:row r="2287" ht="25" customHeight="1">
      <x:c r="A2287" s="1" t="str">
        <x:v>sh000922</x:v>
      </x:c>
      <x:c r="B2287" s="1" t="str">
        <x:v>中证红利</x:v>
      </x:c>
      <x:c r="C2287" s="1" t="str">
        <x:v>2006-01</x:v>
      </x:c>
      <x:c r="D2287" s="1" t="str">
        <x:v>2005-12-30</x:v>
      </x:c>
      <x:c r="E2287" s="5" t="n">
        <x:v>890.49</x:v>
      </x:c>
      <x:c r="F2287" s="6" t="str">
        <x:v>2006-01-25</x:v>
      </x:c>
      <x:c r="G2287" s="5" t="n">
        <x:v>961.83</x:v>
      </x:c>
      <x:c r="H2287" s="7" t="n">
        <x:f>G2287/E2287-1</x:f>
        <x:v>0.08011319610551504</x:v>
      </x:c>
      <x:c r="I2287" s="1" t="n">
        <x:v>1</x:v>
      </x:c>
      <x:c r="J2287" s="1" t="n">
        <x:v>0</x:v>
      </x:c>
      <x:c r="K2287" s="1" t="str">
        <x:v>中证官方优先</x:v>
      </x:c>
    </x:row>
    <x:row r="2288" ht="25" customHeight="1">
      <x:c r="A2288" s="1" t="str">
        <x:v>sh000922</x:v>
      </x:c>
      <x:c r="B2288" s="1" t="str">
        <x:v>中证红利</x:v>
      </x:c>
      <x:c r="C2288" s="1" t="str">
        <x:v>2006-02</x:v>
      </x:c>
      <x:c r="D2288" s="1" t="str">
        <x:v>2006-01-25</x:v>
      </x:c>
      <x:c r="E2288" s="5" t="n">
        <x:v>961.83</x:v>
      </x:c>
      <x:c r="F2288" s="6" t="str">
        <x:v>2006-02-28</x:v>
      </x:c>
      <x:c r="G2288" s="5" t="n">
        <x:v>997.97</x:v>
      </x:c>
      <x:c r="H2288" s="7" t="n">
        <x:f>G2288/E2288-1</x:f>
        <x:v>0.03757420750028584</x:v>
      </x:c>
      <x:c r="I2288" s="1" t="n">
        <x:v>1</x:v>
      </x:c>
      <x:c r="J2288" s="1" t="n">
        <x:v>0</x:v>
      </x:c>
      <x:c r="K2288" s="1" t="str">
        <x:v>中证官方优先</x:v>
      </x:c>
    </x:row>
    <x:row r="2289" ht="25" customHeight="1">
      <x:c r="A2289" s="1" t="str">
        <x:v>sh000922</x:v>
      </x:c>
      <x:c r="B2289" s="1" t="str">
        <x:v>中证红利</x:v>
      </x:c>
      <x:c r="C2289" s="1" t="str">
        <x:v>2006-03</x:v>
      </x:c>
      <x:c r="D2289" s="1" t="str">
        <x:v>2006-02-28</x:v>
      </x:c>
      <x:c r="E2289" s="5" t="n">
        <x:v>997.97</x:v>
      </x:c>
      <x:c r="F2289" s="6" t="str">
        <x:v>2006-03-31</x:v>
      </x:c>
      <x:c r="G2289" s="5" t="n">
        <x:v>999.83</x:v>
      </x:c>
      <x:c r="H2289" s="7" t="n">
        <x:f>G2289/E2289-1</x:f>
        <x:v>0.001863783480465342</x:v>
      </x:c>
      <x:c r="I2289" s="1" t="n">
        <x:v>1</x:v>
      </x:c>
      <x:c r="J2289" s="1" t="n">
        <x:v>0</x:v>
      </x:c>
      <x:c r="K2289" s="1" t="str">
        <x:v>中证官方优先</x:v>
      </x:c>
    </x:row>
    <x:row r="2290" ht="25" customHeight="1">
      <x:c r="A2290" s="1" t="str">
        <x:v>sh000922</x:v>
      </x:c>
      <x:c r="B2290" s="1" t="str">
        <x:v>中证红利</x:v>
      </x:c>
      <x:c r="C2290" s="1" t="str">
        <x:v>2006-04</x:v>
      </x:c>
      <x:c r="D2290" s="1" t="str">
        <x:v>2006-03-31</x:v>
      </x:c>
      <x:c r="E2290" s="5" t="n">
        <x:v>999.83</x:v>
      </x:c>
      <x:c r="F2290" s="6" t="str">
        <x:v>2006-04-28</x:v>
      </x:c>
      <x:c r="G2290" s="5" t="n">
        <x:v>1066.88</x:v>
      </x:c>
      <x:c r="H2290" s="7" t="n">
        <x:f>G2290/E2290-1</x:f>
        <x:v>0.06706140043807451</x:v>
      </x:c>
      <x:c r="I2290" s="1" t="n">
        <x:v>1</x:v>
      </x:c>
      <x:c r="J2290" s="1" t="n">
        <x:v>0</x:v>
      </x:c>
      <x:c r="K2290" s="1" t="str">
        <x:v>中证官方优先</x:v>
      </x:c>
    </x:row>
    <x:row r="2291" ht="25" customHeight="1">
      <x:c r="A2291" s="1" t="str">
        <x:v>sh000922</x:v>
      </x:c>
      <x:c r="B2291" s="1" t="str">
        <x:v>中证红利</x:v>
      </x:c>
      <x:c r="C2291" s="1" t="str">
        <x:v>2006-05</x:v>
      </x:c>
      <x:c r="D2291" s="1" t="str">
        <x:v>2006-04-28</x:v>
      </x:c>
      <x:c r="E2291" s="5" t="n">
        <x:v>1066.88</x:v>
      </x:c>
      <x:c r="F2291" s="6" t="str">
        <x:v>2006-05-31</x:v>
      </x:c>
      <x:c r="G2291" s="5" t="n">
        <x:v>1240.45</x:v>
      </x:c>
      <x:c r="H2291" s="7" t="n">
        <x:f>G2291/E2291-1</x:f>
        <x:v>0.1626893371325735</x:v>
      </x:c>
      <x:c r="I2291" s="1" t="n">
        <x:v>1</x:v>
      </x:c>
      <x:c r="J2291" s="1" t="n">
        <x:v>0</x:v>
      </x:c>
      <x:c r="K2291" s="1" t="str">
        <x:v>中证官方优先</x:v>
      </x:c>
    </x:row>
    <x:row r="2292" ht="25" customHeight="1">
      <x:c r="A2292" s="1" t="str">
        <x:v>sh000922</x:v>
      </x:c>
      <x:c r="B2292" s="1" t="str">
        <x:v>中证红利</x:v>
      </x:c>
      <x:c r="C2292" s="1" t="str">
        <x:v>2006-06</x:v>
      </x:c>
      <x:c r="D2292" s="1" t="str">
        <x:v>2006-05-31</x:v>
      </x:c>
      <x:c r="E2292" s="5" t="n">
        <x:v>1240.45</x:v>
      </x:c>
      <x:c r="F2292" s="6" t="str">
        <x:v>2006-06-30</x:v>
      </x:c>
      <x:c r="G2292" s="5" t="n">
        <x:v>1247.73</x:v>
      </x:c>
      <x:c r="H2292" s="7" t="n">
        <x:f>G2292/E2292-1</x:f>
        <x:v>0.005868837921721992</x:v>
      </x:c>
      <x:c r="I2292" s="1" t="n">
        <x:v>1</x:v>
      </x:c>
      <x:c r="J2292" s="1" t="n">
        <x:v>0</x:v>
      </x:c>
      <x:c r="K2292" s="1" t="str">
        <x:v>中证官方优先</x:v>
      </x:c>
    </x:row>
    <x:row r="2293" ht="25" customHeight="1">
      <x:c r="A2293" s="1" t="str">
        <x:v>sh000922</x:v>
      </x:c>
      <x:c r="B2293" s="1" t="str">
        <x:v>中证红利</x:v>
      </x:c>
      <x:c r="C2293" s="1" t="str">
        <x:v>2006-07</x:v>
      </x:c>
      <x:c r="D2293" s="1" t="str">
        <x:v>2006-06-30</x:v>
      </x:c>
      <x:c r="E2293" s="5" t="n">
        <x:v>1247.73</x:v>
      </x:c>
      <x:c r="F2293" s="6" t="str">
        <x:v>2006-07-31</x:v>
      </x:c>
      <x:c r="G2293" s="5" t="n">
        <x:v>1145.26</x:v>
      </x:c>
      <x:c r="H2293" s="7" t="n">
        <x:f>G2293/E2293-1</x:f>
        <x:v>-0.08212513925288323</x:v>
      </x:c>
      <x:c r="I2293" s="1" t="n">
        <x:v>1</x:v>
      </x:c>
      <x:c r="J2293" s="1" t="n">
        <x:v>0</x:v>
      </x:c>
      <x:c r="K2293" s="1" t="str">
        <x:v>中证官方优先</x:v>
      </x:c>
    </x:row>
    <x:row r="2294" ht="25" customHeight="1">
      <x:c r="A2294" s="1" t="str">
        <x:v>sh000922</x:v>
      </x:c>
      <x:c r="B2294" s="1" t="str">
        <x:v>中证红利</x:v>
      </x:c>
      <x:c r="C2294" s="1" t="str">
        <x:v>2006-08</x:v>
      </x:c>
      <x:c r="D2294" s="1" t="str">
        <x:v>2006-07-31</x:v>
      </x:c>
      <x:c r="E2294" s="5" t="n">
        <x:v>1145.26</x:v>
      </x:c>
      <x:c r="F2294" s="6" t="str">
        <x:v>2006-08-31</x:v>
      </x:c>
      <x:c r="G2294" s="5" t="n">
        <x:v>1179.85</x:v>
      </x:c>
      <x:c r="H2294" s="7" t="n">
        <x:f>G2294/E2294-1</x:f>
        <x:v>0.03020274872081452</x:v>
      </x:c>
      <x:c r="I2294" s="1" t="n">
        <x:v>1</x:v>
      </x:c>
      <x:c r="J2294" s="1" t="n">
        <x:v>0</x:v>
      </x:c>
      <x:c r="K2294" s="1" t="str">
        <x:v>中证官方优先</x:v>
      </x:c>
    </x:row>
    <x:row r="2295" ht="25" customHeight="1">
      <x:c r="A2295" s="1" t="str">
        <x:v>sh000922</x:v>
      </x:c>
      <x:c r="B2295" s="1" t="str">
        <x:v>中证红利</x:v>
      </x:c>
      <x:c r="C2295" s="1" t="str">
        <x:v>2006-09</x:v>
      </x:c>
      <x:c r="D2295" s="1" t="str">
        <x:v>2006-08-31</x:v>
      </x:c>
      <x:c r="E2295" s="5" t="n">
        <x:v>1179.85</x:v>
      </x:c>
      <x:c r="F2295" s="6" t="str">
        <x:v>2006-09-29</x:v>
      </x:c>
      <x:c r="G2295" s="5" t="n">
        <x:v>1208.23</x:v>
      </x:c>
      <x:c r="H2295" s="7" t="n">
        <x:f>G2295/E2295-1</x:f>
        <x:v>0.02405390515743533</x:v>
      </x:c>
      <x:c r="I2295" s="1" t="n">
        <x:v>1</x:v>
      </x:c>
      <x:c r="J2295" s="1" t="n">
        <x:v>0</x:v>
      </x:c>
      <x:c r="K2295" s="1" t="str">
        <x:v>中证官方优先</x:v>
      </x:c>
    </x:row>
    <x:row r="2296" ht="25" customHeight="1">
      <x:c r="A2296" s="1" t="str">
        <x:v>sh000922</x:v>
      </x:c>
      <x:c r="B2296" s="1" t="str">
        <x:v>中证红利</x:v>
      </x:c>
      <x:c r="C2296" s="1" t="str">
        <x:v>2006-10</x:v>
      </x:c>
      <x:c r="D2296" s="1" t="str">
        <x:v>2006-09-29</x:v>
      </x:c>
      <x:c r="E2296" s="5" t="n">
        <x:v>1208.23</x:v>
      </x:c>
      <x:c r="F2296" s="6" t="str">
        <x:v>2006-10-31</x:v>
      </x:c>
      <x:c r="G2296" s="5" t="n">
        <x:v>1302.22</x:v>
      </x:c>
      <x:c r="H2296" s="7" t="n">
        <x:f>G2296/E2296-1</x:f>
        <x:v>0.07779148009898784</x:v>
      </x:c>
      <x:c r="I2296" s="1" t="n">
        <x:v>1</x:v>
      </x:c>
      <x:c r="J2296" s="1" t="n">
        <x:v>0</x:v>
      </x:c>
      <x:c r="K2296" s="1" t="str">
        <x:v>中证官方优先</x:v>
      </x:c>
    </x:row>
    <x:row r="2297" ht="25" customHeight="1">
      <x:c r="A2297" s="1" t="str">
        <x:v>sh000922</x:v>
      </x:c>
      <x:c r="B2297" s="1" t="str">
        <x:v>中证红利</x:v>
      </x:c>
      <x:c r="C2297" s="1" t="str">
        <x:v>2006-11</x:v>
      </x:c>
      <x:c r="D2297" s="1" t="str">
        <x:v>2006-10-31</x:v>
      </x:c>
      <x:c r="E2297" s="5" t="n">
        <x:v>1302.22</x:v>
      </x:c>
      <x:c r="F2297" s="6" t="str">
        <x:v>2006-11-30</x:v>
      </x:c>
      <x:c r="G2297" s="5" t="n">
        <x:v>1524.85</x:v>
      </x:c>
      <x:c r="H2297" s="7" t="n">
        <x:f>G2297/E2297-1</x:f>
        <x:v>0.17096189583941257</x:v>
      </x:c>
      <x:c r="I2297" s="1" t="n">
        <x:v>1</x:v>
      </x:c>
      <x:c r="J2297" s="1" t="n">
        <x:v>0</x:v>
      </x:c>
      <x:c r="K2297" s="1" t="str">
        <x:v>中证官方优先</x:v>
      </x:c>
    </x:row>
    <x:row r="2298" ht="25" customHeight="1">
      <x:c r="A2298" s="1" t="str">
        <x:v>sh000922</x:v>
      </x:c>
      <x:c r="B2298" s="1" t="str">
        <x:v>中证红利</x:v>
      </x:c>
      <x:c r="C2298" s="1" t="str">
        <x:v>2006-12</x:v>
      </x:c>
      <x:c r="D2298" s="1" t="str">
        <x:v>2006-11-30</x:v>
      </x:c>
      <x:c r="E2298" s="5" t="n">
        <x:v>1524.85</x:v>
      </x:c>
      <x:c r="F2298" s="6" t="str">
        <x:v>2006-12-29</x:v>
      </x:c>
      <x:c r="G2298" s="5" t="n">
        <x:v>1763.69</x:v>
      </x:c>
      <x:c r="H2298" s="7" t="n">
        <x:f>G2298/E2298-1</x:f>
        <x:v>0.15663179984916553</x:v>
      </x:c>
      <x:c r="I2298" s="1" t="n">
        <x:v>1</x:v>
      </x:c>
      <x:c r="J2298" s="1" t="n">
        <x:v>0</x:v>
      </x:c>
      <x:c r="K2298" s="1" t="str">
        <x:v>中证官方优先</x:v>
      </x:c>
    </x:row>
    <x:row r="2299" ht="25" customHeight="1">
      <x:c r="A2299" s="1" t="str">
        <x:v>sh000922</x:v>
      </x:c>
      <x:c r="B2299" s="1" t="str">
        <x:v>中证红利</x:v>
      </x:c>
      <x:c r="C2299" s="1" t="str">
        <x:v>2007-01</x:v>
      </x:c>
      <x:c r="D2299" s="1" t="str">
        <x:v>2006-12-29</x:v>
      </x:c>
      <x:c r="E2299" s="5" t="n">
        <x:v>1763.69</x:v>
      </x:c>
      <x:c r="F2299" s="6" t="str">
        <x:v>2007-01-31</x:v>
      </x:c>
      <x:c r="G2299" s="5" t="n">
        <x:v>2136.56</x:v>
      </x:c>
      <x:c r="H2299" s="7" t="n">
        <x:f>G2299/E2299-1</x:f>
        <x:v>0.21141470439816512</x:v>
      </x:c>
      <x:c r="I2299" s="1" t="n">
        <x:v>1</x:v>
      </x:c>
      <x:c r="J2299" s="1" t="n">
        <x:v>0</x:v>
      </x:c>
      <x:c r="K2299" s="1" t="str">
        <x:v>中证官方优先</x:v>
      </x:c>
    </x:row>
    <x:row r="2300" ht="25" customHeight="1">
      <x:c r="A2300" s="1" t="str">
        <x:v>sh000922</x:v>
      </x:c>
      <x:c r="B2300" s="1" t="str">
        <x:v>中证红利</x:v>
      </x:c>
      <x:c r="C2300" s="1" t="str">
        <x:v>2007-02</x:v>
      </x:c>
      <x:c r="D2300" s="1" t="str">
        <x:v>2007-01-31</x:v>
      </x:c>
      <x:c r="E2300" s="5" t="n">
        <x:v>2136.56</x:v>
      </x:c>
      <x:c r="F2300" s="6" t="str">
        <x:v>2007-02-28</x:v>
      </x:c>
      <x:c r="G2300" s="5" t="n">
        <x:v>2385.03</x:v>
      </x:c>
      <x:c r="H2300" s="7" t="n">
        <x:f>G2300/E2300-1</x:f>
        <x:v>0.11629441719399414</x:v>
      </x:c>
      <x:c r="I2300" s="1" t="n">
        <x:v>1</x:v>
      </x:c>
      <x:c r="J2300" s="1" t="n">
        <x:v>0</x:v>
      </x:c>
      <x:c r="K2300" s="1" t="str">
        <x:v>中证官方优先</x:v>
      </x:c>
    </x:row>
    <x:row r="2301" ht="25" customHeight="1">
      <x:c r="A2301" s="1" t="str">
        <x:v>sh000922</x:v>
      </x:c>
      <x:c r="B2301" s="1" t="str">
        <x:v>中证红利</x:v>
      </x:c>
      <x:c r="C2301" s="1" t="str">
        <x:v>2007-03</x:v>
      </x:c>
      <x:c r="D2301" s="1" t="str">
        <x:v>2007-02-28</x:v>
      </x:c>
      <x:c r="E2301" s="5" t="n">
        <x:v>2385.03</x:v>
      </x:c>
      <x:c r="F2301" s="6" t="str">
        <x:v>2007-03-30</x:v>
      </x:c>
      <x:c r="G2301" s="5" t="n">
        <x:v>2564.18</x:v>
      </x:c>
      <x:c r="H2301" s="7" t="n">
        <x:f>G2301/E2301-1</x:f>
        <x:v>0.07511435914852216</x:v>
      </x:c>
      <x:c r="I2301" s="1" t="n">
        <x:v>1</x:v>
      </x:c>
      <x:c r="J2301" s="1" t="n">
        <x:v>0</x:v>
      </x:c>
      <x:c r="K2301" s="1" t="str">
        <x:v>中证官方优先</x:v>
      </x:c>
    </x:row>
    <x:row r="2302" ht="25" customHeight="1">
      <x:c r="A2302" s="1" t="str">
        <x:v>sh000922</x:v>
      </x:c>
      <x:c r="B2302" s="1" t="str">
        <x:v>中证红利</x:v>
      </x:c>
      <x:c r="C2302" s="1" t="str">
        <x:v>2007-04</x:v>
      </x:c>
      <x:c r="D2302" s="1" t="str">
        <x:v>2007-03-30</x:v>
      </x:c>
      <x:c r="E2302" s="5" t="n">
        <x:v>2564.18</x:v>
      </x:c>
      <x:c r="F2302" s="6" t="str">
        <x:v>2007-04-30</x:v>
      </x:c>
      <x:c r="G2302" s="5" t="n">
        <x:v>3386.36</x:v>
      </x:c>
      <x:c r="H2302" s="7" t="n">
        <x:f>G2302/E2302-1</x:f>
        <x:v>0.32064051665639703</x:v>
      </x:c>
      <x:c r="I2302" s="1" t="n">
        <x:v>1</x:v>
      </x:c>
      <x:c r="J2302" s="1" t="n">
        <x:v>0</x:v>
      </x:c>
      <x:c r="K2302" s="1" t="str">
        <x:v>中证官方优先</x:v>
      </x:c>
    </x:row>
    <x:row r="2303" ht="25" customHeight="1">
      <x:c r="A2303" s="1" t="str">
        <x:v>sh000922</x:v>
      </x:c>
      <x:c r="B2303" s="1" t="str">
        <x:v>中证红利</x:v>
      </x:c>
      <x:c r="C2303" s="1" t="str">
        <x:v>2007-05</x:v>
      </x:c>
      <x:c r="D2303" s="1" t="str">
        <x:v>2007-04-30</x:v>
      </x:c>
      <x:c r="E2303" s="5" t="n">
        <x:v>3386.36</x:v>
      </x:c>
      <x:c r="F2303" s="6" t="str">
        <x:v>2007-05-31</x:v>
      </x:c>
      <x:c r="G2303" s="5" t="n">
        <x:v>3689.33</x:v>
      </x:c>
      <x:c r="H2303" s="7" t="n">
        <x:f>G2303/E2303-1</x:f>
        <x:v>0.08946774707945981</x:v>
      </x:c>
      <x:c r="I2303" s="1" t="n">
        <x:v>1</x:v>
      </x:c>
      <x:c r="J2303" s="1" t="n">
        <x:v>0</x:v>
      </x:c>
      <x:c r="K2303" s="1" t="str">
        <x:v>中证官方优先</x:v>
      </x:c>
    </x:row>
    <x:row r="2304" ht="25" customHeight="1">
      <x:c r="A2304" s="1" t="str">
        <x:v>sh000922</x:v>
      </x:c>
      <x:c r="B2304" s="1" t="str">
        <x:v>中证红利</x:v>
      </x:c>
      <x:c r="C2304" s="1" t="str">
        <x:v>2007-06</x:v>
      </x:c>
      <x:c r="D2304" s="1" t="str">
        <x:v>2007-05-31</x:v>
      </x:c>
      <x:c r="E2304" s="5" t="n">
        <x:v>3689.33</x:v>
      </x:c>
      <x:c r="F2304" s="6" t="str">
        <x:v>2007-06-29</x:v>
      </x:c>
      <x:c r="G2304" s="5" t="n">
        <x:v>3464.77</x:v>
      </x:c>
      <x:c r="H2304" s="7" t="n">
        <x:f>G2304/E2304-1</x:f>
        <x:v>-0.06086742037172055</x:v>
      </x:c>
      <x:c r="I2304" s="1" t="n">
        <x:v>1</x:v>
      </x:c>
      <x:c r="J2304" s="1" t="n">
        <x:v>0</x:v>
      </x:c>
      <x:c r="K2304" s="1" t="str">
        <x:v>中证官方优先</x:v>
      </x:c>
    </x:row>
    <x:row r="2305" ht="25" customHeight="1">
      <x:c r="A2305" s="1" t="str">
        <x:v>sh000922</x:v>
      </x:c>
      <x:c r="B2305" s="1" t="str">
        <x:v>中证红利</x:v>
      </x:c>
      <x:c r="C2305" s="1" t="str">
        <x:v>2007-07</x:v>
      </x:c>
      <x:c r="D2305" s="1" t="str">
        <x:v>2007-06-29</x:v>
      </x:c>
      <x:c r="E2305" s="5" t="n">
        <x:v>3464.77</x:v>
      </x:c>
      <x:c r="F2305" s="6" t="str">
        <x:v>2007-07-31</x:v>
      </x:c>
      <x:c r="G2305" s="5" t="n">
        <x:v>4164.31</x:v>
      </x:c>
      <x:c r="H2305" s="7" t="n">
        <x:f>G2305/E2305-1</x:f>
        <x:v>0.2019008476753148</x:v>
      </x:c>
      <x:c r="I2305" s="1" t="n">
        <x:v>1</x:v>
      </x:c>
      <x:c r="J2305" s="1" t="n">
        <x:v>0</x:v>
      </x:c>
      <x:c r="K2305" s="1" t="str">
        <x:v>中证官方优先</x:v>
      </x:c>
    </x:row>
    <x:row r="2306" ht="25" customHeight="1">
      <x:c r="A2306" s="1" t="str">
        <x:v>sh000922</x:v>
      </x:c>
      <x:c r="B2306" s="1" t="str">
        <x:v>中证红利</x:v>
      </x:c>
      <x:c r="C2306" s="1" t="str">
        <x:v>2007-08</x:v>
      </x:c>
      <x:c r="D2306" s="1" t="str">
        <x:v>2007-07-31</x:v>
      </x:c>
      <x:c r="E2306" s="5" t="n">
        <x:v>4164.31</x:v>
      </x:c>
      <x:c r="F2306" s="6" t="str">
        <x:v>2007-08-31</x:v>
      </x:c>
      <x:c r="G2306" s="5" t="n">
        <x:v>4894.49</x:v>
      </x:c>
      <x:c r="H2306" s="7" t="n">
        <x:f>G2306/E2306-1</x:f>
        <x:v>0.17534237364653427</x:v>
      </x:c>
      <x:c r="I2306" s="1" t="n">
        <x:v>1</x:v>
      </x:c>
      <x:c r="J2306" s="1" t="n">
        <x:v>0</x:v>
      </x:c>
      <x:c r="K2306" s="1" t="str">
        <x:v>中证官方优先</x:v>
      </x:c>
    </x:row>
    <x:row r="2307" ht="25" customHeight="1">
      <x:c r="A2307" s="1" t="str">
        <x:v>sh000922</x:v>
      </x:c>
      <x:c r="B2307" s="1" t="str">
        <x:v>中证红利</x:v>
      </x:c>
      <x:c r="C2307" s="1" t="str">
        <x:v>2007-09</x:v>
      </x:c>
      <x:c r="D2307" s="1" t="str">
        <x:v>2007-08-31</x:v>
      </x:c>
      <x:c r="E2307" s="5" t="n">
        <x:v>4894.49</x:v>
      </x:c>
      <x:c r="F2307" s="6" t="str">
        <x:v>2007-09-28</x:v>
      </x:c>
      <x:c r="G2307" s="5" t="n">
        <x:v>5426.17</x:v>
      </x:c>
      <x:c r="H2307" s="7" t="n">
        <x:f>G2307/E2307-1</x:f>
        <x:v>0.10862827383445484</x:v>
      </x:c>
      <x:c r="I2307" s="1" t="n">
        <x:v>1</x:v>
      </x:c>
      <x:c r="J2307" s="1" t="n">
        <x:v>0</x:v>
      </x:c>
      <x:c r="K2307" s="1" t="str">
        <x:v>中证官方优先</x:v>
      </x:c>
    </x:row>
    <x:row r="2308" ht="25" customHeight="1">
      <x:c r="A2308" s="1" t="str">
        <x:v>sh000922</x:v>
      </x:c>
      <x:c r="B2308" s="1" t="str">
        <x:v>中证红利</x:v>
      </x:c>
      <x:c r="C2308" s="1" t="str">
        <x:v>2007-10</x:v>
      </x:c>
      <x:c r="D2308" s="1" t="str">
        <x:v>2007-09-28</x:v>
      </x:c>
      <x:c r="E2308" s="5" t="n">
        <x:v>5426.17</x:v>
      </x:c>
      <x:c r="F2308" s="6" t="str">
        <x:v>2007-10-31</x:v>
      </x:c>
      <x:c r="G2308" s="5" t="n">
        <x:v>5185.23</x:v>
      </x:c>
      <x:c r="H2308" s="7" t="n">
        <x:f>G2308/E2308-1</x:f>
        <x:v>-0.04440332684011017</x:v>
      </x:c>
      <x:c r="I2308" s="1" t="n">
        <x:v>1</x:v>
      </x:c>
      <x:c r="J2308" s="1" t="n">
        <x:v>0</x:v>
      </x:c>
      <x:c r="K2308" s="1" t="str">
        <x:v>中证官方优先</x:v>
      </x:c>
    </x:row>
    <x:row r="2309" ht="25" customHeight="1">
      <x:c r="A2309" s="1" t="str">
        <x:v>sh000922</x:v>
      </x:c>
      <x:c r="B2309" s="1" t="str">
        <x:v>中证红利</x:v>
      </x:c>
      <x:c r="C2309" s="1" t="str">
        <x:v>2007-11</x:v>
      </x:c>
      <x:c r="D2309" s="1" t="str">
        <x:v>2007-10-31</x:v>
      </x:c>
      <x:c r="E2309" s="5" t="n">
        <x:v>5185.23</x:v>
      </x:c>
      <x:c r="F2309" s="6" t="str">
        <x:v>2007-11-30</x:v>
      </x:c>
      <x:c r="G2309" s="5" t="n">
        <x:v>4265.16</x:v>
      </x:c>
      <x:c r="H2309" s="7" t="n">
        <x:f>G2309/E2309-1</x:f>
        <x:v>-0.17744053783535152</x:v>
      </x:c>
      <x:c r="I2309" s="1" t="n">
        <x:v>1</x:v>
      </x:c>
      <x:c r="J2309" s="1" t="n">
        <x:v>0</x:v>
      </x:c>
      <x:c r="K2309" s="1" t="str">
        <x:v>中证官方优先</x:v>
      </x:c>
    </x:row>
    <x:row r="2310" ht="25" customHeight="1">
      <x:c r="A2310" s="1" t="str">
        <x:v>sh000922</x:v>
      </x:c>
      <x:c r="B2310" s="1" t="str">
        <x:v>中证红利</x:v>
      </x:c>
      <x:c r="C2310" s="1" t="str">
        <x:v>2007-12</x:v>
      </x:c>
      <x:c r="D2310" s="1" t="str">
        <x:v>2007-11-30</x:v>
      </x:c>
      <x:c r="E2310" s="5" t="n">
        <x:v>4265.16</x:v>
      </x:c>
      <x:c r="F2310" s="6" t="str">
        <x:v>2007-12-28</x:v>
      </x:c>
      <x:c r="G2310" s="5" t="n">
        <x:v>5102.8</x:v>
      </x:c>
      <x:c r="H2310" s="7" t="n">
        <x:f>G2310/E2310-1</x:f>
        <x:v>0.1963912256515583</x:v>
      </x:c>
      <x:c r="I2310" s="1" t="n">
        <x:v>1</x:v>
      </x:c>
      <x:c r="J2310" s="1" t="n">
        <x:v>0</x:v>
      </x:c>
      <x:c r="K2310" s="1" t="str">
        <x:v>中证官方优先</x:v>
      </x:c>
    </x:row>
    <x:row r="2311" ht="25" customHeight="1">
      <x:c r="A2311" s="1" t="str">
        <x:v>sh000922</x:v>
      </x:c>
      <x:c r="B2311" s="1" t="str">
        <x:v>中证红利</x:v>
      </x:c>
      <x:c r="C2311" s="1" t="str">
        <x:v>2008-01</x:v>
      </x:c>
      <x:c r="D2311" s="1" t="str">
        <x:v>2007-12-28</x:v>
      </x:c>
      <x:c r="E2311" s="5" t="n">
        <x:v>5102.8</x:v>
      </x:c>
      <x:c r="F2311" s="6" t="str">
        <x:v>2008-01-31</x:v>
      </x:c>
      <x:c r="G2311" s="5" t="n">
        <x:v>4589.11</x:v>
      </x:c>
      <x:c r="H2311" s="7" t="n">
        <x:f>G2311/E2311-1</x:f>
        <x:v>-0.1006682605628283</x:v>
      </x:c>
      <x:c r="I2311" s="1" t="n">
        <x:v>1</x:v>
      </x:c>
      <x:c r="J2311" s="1" t="n">
        <x:v>0</x:v>
      </x:c>
      <x:c r="K2311" s="1" t="str">
        <x:v>中证官方优先</x:v>
      </x:c>
    </x:row>
    <x:row r="2312" ht="25" customHeight="1">
      <x:c r="A2312" s="1" t="str">
        <x:v>sh000922</x:v>
      </x:c>
      <x:c r="B2312" s="1" t="str">
        <x:v>中证红利</x:v>
      </x:c>
      <x:c r="C2312" s="1" t="str">
        <x:v>2008-02</x:v>
      </x:c>
      <x:c r="D2312" s="1" t="str">
        <x:v>2008-01-31</x:v>
      </x:c>
      <x:c r="E2312" s="5" t="n">
        <x:v>4589.11</x:v>
      </x:c>
      <x:c r="F2312" s="6" t="str">
        <x:v>2008-02-29</x:v>
      </x:c>
      <x:c r="G2312" s="5" t="n">
        <x:v>4819.84</x:v>
      </x:c>
      <x:c r="H2312" s="7" t="n">
        <x:f>G2312/E2312-1</x:f>
        <x:v>0.05027772269568609</x:v>
      </x:c>
      <x:c r="I2312" s="1" t="n">
        <x:v>1</x:v>
      </x:c>
      <x:c r="J2312" s="1" t="n">
        <x:v>0</x:v>
      </x:c>
      <x:c r="K2312" s="1" t="str">
        <x:v>中证官方优先</x:v>
      </x:c>
    </x:row>
    <x:row r="2313" ht="25" customHeight="1">
      <x:c r="A2313" s="1" t="str">
        <x:v>sh000922</x:v>
      </x:c>
      <x:c r="B2313" s="1" t="str">
        <x:v>中证红利</x:v>
      </x:c>
      <x:c r="C2313" s="1" t="str">
        <x:v>2008-03</x:v>
      </x:c>
      <x:c r="D2313" s="1" t="str">
        <x:v>2008-02-29</x:v>
      </x:c>
      <x:c r="E2313" s="5" t="n">
        <x:v>4819.84</x:v>
      </x:c>
      <x:c r="F2313" s="6" t="str">
        <x:v>2008-03-31</x:v>
      </x:c>
      <x:c r="G2313" s="5" t="n">
        <x:v>3808.97</x:v>
      </x:c>
      <x:c r="H2313" s="7" t="n">
        <x:f>G2313/E2313-1</x:f>
        <x:v>-0.2097310284158811</x:v>
      </x:c>
      <x:c r="I2313" s="1" t="n">
        <x:v>1</x:v>
      </x:c>
      <x:c r="J2313" s="1" t="n">
        <x:v>0</x:v>
      </x:c>
      <x:c r="K2313" s="1" t="str">
        <x:v>中证官方优先</x:v>
      </x:c>
    </x:row>
    <x:row r="2314" ht="25" customHeight="1">
      <x:c r="A2314" s="1" t="str">
        <x:v>sh000922</x:v>
      </x:c>
      <x:c r="B2314" s="1" t="str">
        <x:v>中证红利</x:v>
      </x:c>
      <x:c r="C2314" s="1" t="str">
        <x:v>2008-04</x:v>
      </x:c>
      <x:c r="D2314" s="1" t="str">
        <x:v>2008-03-31</x:v>
      </x:c>
      <x:c r="E2314" s="5" t="n">
        <x:v>3808.97</x:v>
      </x:c>
      <x:c r="F2314" s="6" t="str">
        <x:v>2008-04-30</x:v>
      </x:c>
      <x:c r="G2314" s="5" t="n">
        <x:v>3966.07</x:v>
      </x:c>
      <x:c r="H2314" s="7" t="n">
        <x:f>G2314/E2314-1</x:f>
        <x:v>0.04124474595494321</x:v>
      </x:c>
      <x:c r="I2314" s="1" t="n">
        <x:v>1</x:v>
      </x:c>
      <x:c r="J2314" s="1" t="n">
        <x:v>0</x:v>
      </x:c>
      <x:c r="K2314" s="1" t="str">
        <x:v>中证官方优先</x:v>
      </x:c>
    </x:row>
    <x:row r="2315" ht="25" customHeight="1">
      <x:c r="A2315" s="1" t="str">
        <x:v>sh000922</x:v>
      </x:c>
      <x:c r="B2315" s="1" t="str">
        <x:v>中证红利</x:v>
      </x:c>
      <x:c r="C2315" s="1" t="str">
        <x:v>2008-05</x:v>
      </x:c>
      <x:c r="D2315" s="1" t="str">
        <x:v>2008-04-30</x:v>
      </x:c>
      <x:c r="E2315" s="5" t="n">
        <x:v>3966.07</x:v>
      </x:c>
      <x:c r="F2315" s="6" t="str">
        <x:v>2008-05-30</x:v>
      </x:c>
      <x:c r="G2315" s="5" t="n">
        <x:v>3734</x:v>
      </x:c>
      <x:c r="H2315" s="7" t="n">
        <x:f>G2315/E2315-1</x:f>
        <x:v>-0.05851384367900725</x:v>
      </x:c>
      <x:c r="I2315" s="1" t="n">
        <x:v>1</x:v>
      </x:c>
      <x:c r="J2315" s="1" t="n">
        <x:v>0</x:v>
      </x:c>
      <x:c r="K2315" s="1" t="str">
        <x:v>中证官方优先</x:v>
      </x:c>
    </x:row>
    <x:row r="2316" ht="25" customHeight="1">
      <x:c r="A2316" s="1" t="str">
        <x:v>sh000922</x:v>
      </x:c>
      <x:c r="B2316" s="1" t="str">
        <x:v>中证红利</x:v>
      </x:c>
      <x:c r="C2316" s="1" t="str">
        <x:v>2008-06</x:v>
      </x:c>
      <x:c r="D2316" s="1" t="str">
        <x:v>2008-05-30</x:v>
      </x:c>
      <x:c r="E2316" s="5" t="n">
        <x:v>3734</x:v>
      </x:c>
      <x:c r="F2316" s="6" t="str">
        <x:v>2008-06-30</x:v>
      </x:c>
      <x:c r="G2316" s="5" t="n">
        <x:v>2795.79</x:v>
      </x:c>
      <x:c r="H2316" s="7" t="n">
        <x:f>G2316/E2316-1</x:f>
        <x:v>-0.25126138189609004</x:v>
      </x:c>
      <x:c r="I2316" s="1" t="n">
        <x:v>1</x:v>
      </x:c>
      <x:c r="J2316" s="1" t="n">
        <x:v>1</x:v>
      </x:c>
      <x:c r="K2316" s="1" t="str">
        <x:v>中证官方优先</x:v>
      </x:c>
    </x:row>
    <x:row r="2317" ht="25" customHeight="1">
      <x:c r="A2317" s="1" t="str">
        <x:v>sh000922</x:v>
      </x:c>
      <x:c r="B2317" s="1" t="str">
        <x:v>中证红利</x:v>
      </x:c>
      <x:c r="C2317" s="1" t="str">
        <x:v>2008-07</x:v>
      </x:c>
      <x:c r="D2317" s="1" t="str">
        <x:v>2008-06-30</x:v>
      </x:c>
      <x:c r="E2317" s="5" t="n">
        <x:v>2795.79</x:v>
      </x:c>
      <x:c r="F2317" s="6" t="str">
        <x:v>2008-07-31</x:v>
      </x:c>
      <x:c r="G2317" s="5" t="n">
        <x:v>2783.51</x:v>
      </x:c>
      <x:c r="H2317" s="7" t="n">
        <x:f>G2317/E2317-1</x:f>
        <x:v>-0.004392318450241128</x:v>
      </x:c>
      <x:c r="I2317" s="1" t="n">
        <x:v>1</x:v>
      </x:c>
      <x:c r="J2317" s="1" t="n">
        <x:v>1</x:v>
      </x:c>
      <x:c r="K2317" s="1" t="str">
        <x:v>中证官方优先</x:v>
      </x:c>
    </x:row>
    <x:row r="2318" ht="25" customHeight="1">
      <x:c r="A2318" s="1" t="str">
        <x:v>sh000922</x:v>
      </x:c>
      <x:c r="B2318" s="1" t="str">
        <x:v>中证红利</x:v>
      </x:c>
      <x:c r="C2318" s="1" t="str">
        <x:v>2008-08</x:v>
      </x:c>
      <x:c r="D2318" s="1" t="str">
        <x:v>2008-07-31</x:v>
      </x:c>
      <x:c r="E2318" s="5" t="n">
        <x:v>2783.51</x:v>
      </x:c>
      <x:c r="F2318" s="6" t="str">
        <x:v>2008-08-29</x:v>
      </x:c>
      <x:c r="G2318" s="5" t="n">
        <x:v>2233.28</x:v>
      </x:c>
      <x:c r="H2318" s="7" t="n">
        <x:f>G2318/E2318-1</x:f>
        <x:v>-0.1976748781215084</x:v>
      </x:c>
      <x:c r="I2318" s="1" t="n">
        <x:v>1</x:v>
      </x:c>
      <x:c r="J2318" s="1" t="n">
        <x:v>1</x:v>
      </x:c>
      <x:c r="K2318" s="1" t="str">
        <x:v>中证官方优先</x:v>
      </x:c>
    </x:row>
    <x:row r="2319" ht="25" customHeight="1">
      <x:c r="A2319" s="1" t="str">
        <x:v>sh000922</x:v>
      </x:c>
      <x:c r="B2319" s="1" t="str">
        <x:v>中证红利</x:v>
      </x:c>
      <x:c r="C2319" s="1" t="str">
        <x:v>2008-09</x:v>
      </x:c>
      <x:c r="D2319" s="1" t="str">
        <x:v>2008-08-29</x:v>
      </x:c>
      <x:c r="E2319" s="5" t="n">
        <x:v>2233.28</x:v>
      </x:c>
      <x:c r="F2319" s="6" t="str">
        <x:v>2008-09-26</x:v>
      </x:c>
      <x:c r="G2319" s="5" t="n">
        <x:v>2203.04</x:v>
      </x:c>
      <x:c r="H2319" s="7" t="n">
        <x:f>G2319/E2319-1</x:f>
        <x:v>-0.013540621865596902</x:v>
      </x:c>
      <x:c r="I2319" s="1" t="n">
        <x:v>1</x:v>
      </x:c>
      <x:c r="J2319" s="1" t="n">
        <x:v>1</x:v>
      </x:c>
      <x:c r="K2319" s="1" t="str">
        <x:v>中证官方优先</x:v>
      </x:c>
    </x:row>
    <x:row r="2320" ht="25" customHeight="1">
      <x:c r="A2320" s="1" t="str">
        <x:v>sh000922</x:v>
      </x:c>
      <x:c r="B2320" s="1" t="str">
        <x:v>中证红利</x:v>
      </x:c>
      <x:c r="C2320" s="1" t="str">
        <x:v>2008-10</x:v>
      </x:c>
      <x:c r="D2320" s="1" t="str">
        <x:v>2008-09-26</x:v>
      </x:c>
      <x:c r="E2320" s="5" t="n">
        <x:v>2203.04</x:v>
      </x:c>
      <x:c r="F2320" s="6" t="str">
        <x:v>2008-10-31</x:v>
      </x:c>
      <x:c r="G2320" s="5" t="n">
        <x:v>1615.56</x:v>
      </x:c>
      <x:c r="H2320" s="7" t="n">
        <x:f>G2320/E2320-1</x:f>
        <x:v>-0.26666787711525897</x:v>
      </x:c>
      <x:c r="I2320" s="1" t="n">
        <x:v>1</x:v>
      </x:c>
      <x:c r="J2320" s="1" t="n">
        <x:v>1</x:v>
      </x:c>
      <x:c r="K2320" s="1" t="str">
        <x:v>中证官方优先</x:v>
      </x:c>
    </x:row>
    <x:row r="2321" ht="25" customHeight="1">
      <x:c r="A2321" s="1" t="str">
        <x:v>sh000922</x:v>
      </x:c>
      <x:c r="B2321" s="1" t="str">
        <x:v>中证红利</x:v>
      </x:c>
      <x:c r="C2321" s="1" t="str">
        <x:v>2008-11</x:v>
      </x:c>
      <x:c r="D2321" s="1" t="str">
        <x:v>2008-10-31</x:v>
      </x:c>
      <x:c r="E2321" s="5" t="n">
        <x:v>1615.56</x:v>
      </x:c>
      <x:c r="F2321" s="6" t="str">
        <x:v>2008-11-28</x:v>
      </x:c>
      <x:c r="G2321" s="5" t="n">
        <x:v>1798.44</x:v>
      </x:c>
      <x:c r="H2321" s="7" t="n">
        <x:f>G2321/E2321-1</x:f>
        <x:v>0.11319913837926165</x:v>
      </x:c>
      <x:c r="I2321" s="1" t="n">
        <x:v>1</x:v>
      </x:c>
      <x:c r="J2321" s="1" t="n">
        <x:v>1</x:v>
      </x:c>
      <x:c r="K2321" s="1" t="str">
        <x:v>中证官方优先</x:v>
      </x:c>
    </x:row>
    <x:row r="2322" ht="25" customHeight="1">
      <x:c r="A2322" s="1" t="str">
        <x:v>sh000922</x:v>
      </x:c>
      <x:c r="B2322" s="1" t="str">
        <x:v>中证红利</x:v>
      </x:c>
      <x:c r="C2322" s="1" t="str">
        <x:v>2008-12</x:v>
      </x:c>
      <x:c r="D2322" s="1" t="str">
        <x:v>2008-11-28</x:v>
      </x:c>
      <x:c r="E2322" s="5" t="n">
        <x:v>1798.44</x:v>
      </x:c>
      <x:c r="F2322" s="6" t="str">
        <x:v>2008-12-31</x:v>
      </x:c>
      <x:c r="G2322" s="5" t="n">
        <x:v>1711.02</x:v>
      </x:c>
      <x:c r="H2322" s="7" t="n">
        <x:f>G2322/E2322-1</x:f>
        <x:v>-0.04860879428838327</x:v>
      </x:c>
      <x:c r="I2322" s="1" t="n">
        <x:v>1</x:v>
      </x:c>
      <x:c r="J2322" s="1" t="n">
        <x:v>1</x:v>
      </x:c>
      <x:c r="K2322" s="1" t="str">
        <x:v>中证官方优先</x:v>
      </x:c>
    </x:row>
    <x:row r="2323" ht="25" customHeight="1">
      <x:c r="A2323" s="1" t="str">
        <x:v>sh000922</x:v>
      </x:c>
      <x:c r="B2323" s="1" t="str">
        <x:v>中证红利</x:v>
      </x:c>
      <x:c r="C2323" s="1" t="str">
        <x:v>2009-01</x:v>
      </x:c>
      <x:c r="D2323" s="1" t="str">
        <x:v>2008-12-31</x:v>
      </x:c>
      <x:c r="E2323" s="5" t="n">
        <x:v>1711.02</x:v>
      </x:c>
      <x:c r="F2323" s="6" t="str">
        <x:v>2009-01-23</x:v>
      </x:c>
      <x:c r="G2323" s="5" t="n">
        <x:v>1918.79</x:v>
      </x:c>
      <x:c r="H2323" s="7" t="n">
        <x:f>G2323/E2323-1</x:f>
        <x:v>0.12143049175345699</x:v>
      </x:c>
      <x:c r="I2323" s="1" t="n">
        <x:v>1</x:v>
      </x:c>
      <x:c r="J2323" s="1" t="n">
        <x:v>1</x:v>
      </x:c>
      <x:c r="K2323" s="1" t="str">
        <x:v>中证官方优先</x:v>
      </x:c>
    </x:row>
    <x:row r="2324" ht="25" customHeight="1">
      <x:c r="A2324" s="1" t="str">
        <x:v>sh000922</x:v>
      </x:c>
      <x:c r="B2324" s="1" t="str">
        <x:v>中证红利</x:v>
      </x:c>
      <x:c r="C2324" s="1" t="str">
        <x:v>2009-02</x:v>
      </x:c>
      <x:c r="D2324" s="1" t="str">
        <x:v>2009-01-23</x:v>
      </x:c>
      <x:c r="E2324" s="5" t="n">
        <x:v>1918.79</x:v>
      </x:c>
      <x:c r="F2324" s="6" t="str">
        <x:v>2009-02-27</x:v>
      </x:c>
      <x:c r="G2324" s="5" t="n">
        <x:v>2038.24</x:v>
      </x:c>
      <x:c r="H2324" s="7" t="n">
        <x:f>G2324/E2324-1</x:f>
        <x:v>0.062252773883541224</x:v>
      </x:c>
      <x:c r="I2324" s="1" t="n">
        <x:v>1</x:v>
      </x:c>
      <x:c r="J2324" s="1" t="n">
        <x:v>1</x:v>
      </x:c>
      <x:c r="K2324" s="1" t="str">
        <x:v>中证官方优先</x:v>
      </x:c>
    </x:row>
    <x:row r="2325" ht="25" customHeight="1">
      <x:c r="A2325" s="1" t="str">
        <x:v>sh000922</x:v>
      </x:c>
      <x:c r="B2325" s="1" t="str">
        <x:v>中证红利</x:v>
      </x:c>
      <x:c r="C2325" s="1" t="str">
        <x:v>2009-03</x:v>
      </x:c>
      <x:c r="D2325" s="1" t="str">
        <x:v>2009-02-27</x:v>
      </x:c>
      <x:c r="E2325" s="5" t="n">
        <x:v>2038.24</x:v>
      </x:c>
      <x:c r="F2325" s="6" t="str">
        <x:v>2009-03-31</x:v>
      </x:c>
      <x:c r="G2325" s="5" t="n">
        <x:v>2407.3</x:v>
      </x:c>
      <x:c r="H2325" s="7" t="n">
        <x:f>G2325/E2325-1</x:f>
        <x:v>0.18106798021822756</x:v>
      </x:c>
      <x:c r="I2325" s="1" t="n">
        <x:v>1</x:v>
      </x:c>
      <x:c r="J2325" s="1" t="n">
        <x:v>1</x:v>
      </x:c>
      <x:c r="K2325" s="1" t="str">
        <x:v>中证官方优先</x:v>
      </x:c>
    </x:row>
    <x:row r="2326" ht="25" customHeight="1">
      <x:c r="A2326" s="1" t="str">
        <x:v>sh000922</x:v>
      </x:c>
      <x:c r="B2326" s="1" t="str">
        <x:v>中证红利</x:v>
      </x:c>
      <x:c r="C2326" s="1" t="str">
        <x:v>2009-04</x:v>
      </x:c>
      <x:c r="D2326" s="1" t="str">
        <x:v>2009-03-31</x:v>
      </x:c>
      <x:c r="E2326" s="5" t="n">
        <x:v>2407.3</x:v>
      </x:c>
      <x:c r="F2326" s="6" t="str">
        <x:v>2009-04-30</x:v>
      </x:c>
      <x:c r="G2326" s="5" t="n">
        <x:v>2513.34</x:v>
      </x:c>
      <x:c r="H2326" s="7" t="n">
        <x:f>G2326/E2326-1</x:f>
        <x:v>0.044049349894072165</x:v>
      </x:c>
      <x:c r="I2326" s="1" t="n">
        <x:v>1</x:v>
      </x:c>
      <x:c r="J2326" s="1" t="n">
        <x:v>1</x:v>
      </x:c>
      <x:c r="K2326" s="1" t="str">
        <x:v>中证官方优先</x:v>
      </x:c>
    </x:row>
    <x:row r="2327" ht="25" customHeight="1">
      <x:c r="A2327" s="1" t="str">
        <x:v>sh000922</x:v>
      </x:c>
      <x:c r="B2327" s="1" t="str">
        <x:v>中证红利</x:v>
      </x:c>
      <x:c r="C2327" s="1" t="str">
        <x:v>2009-05</x:v>
      </x:c>
      <x:c r="D2327" s="1" t="str">
        <x:v>2009-04-30</x:v>
      </x:c>
      <x:c r="E2327" s="5" t="n">
        <x:v>2513.34</x:v>
      </x:c>
      <x:c r="F2327" s="6" t="str">
        <x:v>2009-05-27</x:v>
      </x:c>
      <x:c r="G2327" s="5" t="n">
        <x:v>2656.95</x:v>
      </x:c>
      <x:c r="H2327" s="7" t="n">
        <x:f>G2327/E2327-1</x:f>
        <x:v>0.05713910573181491</x:v>
      </x:c>
      <x:c r="I2327" s="1" t="n">
        <x:v>1</x:v>
      </x:c>
      <x:c r="J2327" s="1" t="n">
        <x:v>1</x:v>
      </x:c>
      <x:c r="K2327" s="1" t="str">
        <x:v>中证官方优先</x:v>
      </x:c>
    </x:row>
    <x:row r="2328" ht="25" customHeight="1">
      <x:c r="A2328" s="1" t="str">
        <x:v>sh000922</x:v>
      </x:c>
      <x:c r="B2328" s="1" t="str">
        <x:v>中证红利</x:v>
      </x:c>
      <x:c r="C2328" s="1" t="str">
        <x:v>2009-06</x:v>
      </x:c>
      <x:c r="D2328" s="1" t="str">
        <x:v>2009-05-27</x:v>
      </x:c>
      <x:c r="E2328" s="5" t="n">
        <x:v>2656.95</x:v>
      </x:c>
      <x:c r="F2328" s="6" t="str">
        <x:v>2009-06-30</x:v>
      </x:c>
      <x:c r="G2328" s="5" t="n">
        <x:v>2887.43</x:v>
      </x:c>
      <x:c r="H2328" s="7" t="n">
        <x:f>G2328/E2328-1</x:f>
        <x:v>0.08674608103276316</x:v>
      </x:c>
      <x:c r="I2328" s="1" t="n">
        <x:v>1</x:v>
      </x:c>
      <x:c r="J2328" s="1" t="n">
        <x:v>1</x:v>
      </x:c>
      <x:c r="K2328" s="1" t="str">
        <x:v>中证官方优先</x:v>
      </x:c>
    </x:row>
    <x:row r="2329" ht="25" customHeight="1">
      <x:c r="A2329" s="1" t="str">
        <x:v>sh000922</x:v>
      </x:c>
      <x:c r="B2329" s="1" t="str">
        <x:v>中证红利</x:v>
      </x:c>
      <x:c r="C2329" s="1" t="str">
        <x:v>2009-07</x:v>
      </x:c>
      <x:c r="D2329" s="1" t="str">
        <x:v>2009-06-30</x:v>
      </x:c>
      <x:c r="E2329" s="5" t="n">
        <x:v>2887.43</x:v>
      </x:c>
      <x:c r="F2329" s="6" t="str">
        <x:v>2009-07-31</x:v>
      </x:c>
      <x:c r="G2329" s="5" t="n">
        <x:v>3618.04</x:v>
      </x:c>
      <x:c r="H2329" s="7" t="n">
        <x:f>G2329/E2329-1</x:f>
        <x:v>0.2530312423158312</x:v>
      </x:c>
      <x:c r="I2329" s="1" t="n">
        <x:v>1</x:v>
      </x:c>
      <x:c r="J2329" s="1" t="n">
        <x:v>1</x:v>
      </x:c>
      <x:c r="K2329" s="1" t="str">
        <x:v>中证官方优先</x:v>
      </x:c>
    </x:row>
    <x:row r="2330" ht="25" customHeight="1">
      <x:c r="A2330" s="1" t="str">
        <x:v>sh000922</x:v>
      </x:c>
      <x:c r="B2330" s="1" t="str">
        <x:v>中证红利</x:v>
      </x:c>
      <x:c r="C2330" s="1" t="str">
        <x:v>2009-08</x:v>
      </x:c>
      <x:c r="D2330" s="1" t="str">
        <x:v>2009-07-31</x:v>
      </x:c>
      <x:c r="E2330" s="5" t="n">
        <x:v>3618.04</x:v>
      </x:c>
      <x:c r="F2330" s="6" t="str">
        <x:v>2009-08-31</x:v>
      </x:c>
      <x:c r="G2330" s="5" t="n">
        <x:v>2777.81</x:v>
      </x:c>
      <x:c r="H2330" s="7" t="n">
        <x:f>G2330/E2330-1</x:f>
        <x:v>-0.2322334744778941</x:v>
      </x:c>
      <x:c r="I2330" s="1" t="n">
        <x:v>1</x:v>
      </x:c>
      <x:c r="J2330" s="1" t="n">
        <x:v>1</x:v>
      </x:c>
      <x:c r="K2330" s="1" t="str">
        <x:v>中证官方优先</x:v>
      </x:c>
    </x:row>
    <x:row r="2331" ht="25" customHeight="1">
      <x:c r="A2331" s="1" t="str">
        <x:v>sh000922</x:v>
      </x:c>
      <x:c r="B2331" s="1" t="str">
        <x:v>中证红利</x:v>
      </x:c>
      <x:c r="C2331" s="1" t="str">
        <x:v>2009-09</x:v>
      </x:c>
      <x:c r="D2331" s="1" t="str">
        <x:v>2009-08-31</x:v>
      </x:c>
      <x:c r="E2331" s="5" t="n">
        <x:v>2777.81</x:v>
      </x:c>
      <x:c r="F2331" s="6" t="str">
        <x:v>2009-09-30</x:v>
      </x:c>
      <x:c r="G2331" s="5" t="n">
        <x:v>2826.99</x:v>
      </x:c>
      <x:c r="H2331" s="7" t="n">
        <x:f>G2331/E2331-1</x:f>
        <x:v>0.017704594626702264</x:v>
      </x:c>
      <x:c r="I2331" s="1" t="n">
        <x:v>1</x:v>
      </x:c>
      <x:c r="J2331" s="1" t="n">
        <x:v>1</x:v>
      </x:c>
      <x:c r="K2331" s="1" t="str">
        <x:v>中证官方优先</x:v>
      </x:c>
    </x:row>
    <x:row r="2332" ht="25" customHeight="1">
      <x:c r="A2332" s="1" t="str">
        <x:v>sh000922</x:v>
      </x:c>
      <x:c r="B2332" s="1" t="str">
        <x:v>中证红利</x:v>
      </x:c>
      <x:c r="C2332" s="1" t="str">
        <x:v>2009-10</x:v>
      </x:c>
      <x:c r="D2332" s="1" t="str">
        <x:v>2009-09-30</x:v>
      </x:c>
      <x:c r="E2332" s="5" t="n">
        <x:v>2826.99</x:v>
      </x:c>
      <x:c r="F2332" s="6" t="str">
        <x:v>2009-10-30</x:v>
      </x:c>
      <x:c r="G2332" s="5" t="n">
        <x:v>3131.57</x:v>
      </x:c>
      <x:c r="H2332" s="7" t="n">
        <x:f>G2332/E2332-1</x:f>
        <x:v>0.10774003445360636</x:v>
      </x:c>
      <x:c r="I2332" s="1" t="n">
        <x:v>1</x:v>
      </x:c>
      <x:c r="J2332" s="1" t="n">
        <x:v>1</x:v>
      </x:c>
      <x:c r="K2332" s="1" t="str">
        <x:v>中证官方优先</x:v>
      </x:c>
    </x:row>
    <x:row r="2333" ht="25" customHeight="1">
      <x:c r="A2333" s="1" t="str">
        <x:v>sh000922</x:v>
      </x:c>
      <x:c r="B2333" s="1" t="str">
        <x:v>中证红利</x:v>
      </x:c>
      <x:c r="C2333" s="1" t="str">
        <x:v>2009-11</x:v>
      </x:c>
      <x:c r="D2333" s="1" t="str">
        <x:v>2009-10-30</x:v>
      </x:c>
      <x:c r="E2333" s="5" t="n">
        <x:v>3131.57</x:v>
      </x:c>
      <x:c r="F2333" s="6" t="str">
        <x:v>2009-11-30</x:v>
      </x:c>
      <x:c r="G2333" s="5" t="n">
        <x:v>3520.22</x:v>
      </x:c>
      <x:c r="H2333" s="7" t="n">
        <x:f>G2333/E2333-1</x:f>
        <x:v>0.1241070772807249</x:v>
      </x:c>
      <x:c r="I2333" s="1" t="n">
        <x:v>1</x:v>
      </x:c>
      <x:c r="J2333" s="1" t="n">
        <x:v>1</x:v>
      </x:c>
      <x:c r="K2333" s="1" t="str">
        <x:v>中证官方优先</x:v>
      </x:c>
    </x:row>
    <x:row r="2334" ht="25" customHeight="1">
      <x:c r="A2334" s="1" t="str">
        <x:v>sh000922</x:v>
      </x:c>
      <x:c r="B2334" s="1" t="str">
        <x:v>中证红利</x:v>
      </x:c>
      <x:c r="C2334" s="1" t="str">
        <x:v>2009-12</x:v>
      </x:c>
      <x:c r="D2334" s="1" t="str">
        <x:v>2009-11-30</x:v>
      </x:c>
      <x:c r="E2334" s="5" t="n">
        <x:v>3520.22</x:v>
      </x:c>
      <x:c r="F2334" s="6" t="str">
        <x:v>2009-12-31</x:v>
      </x:c>
      <x:c r="G2334" s="5" t="n">
        <x:v>3566.12</x:v>
      </x:c>
      <x:c r="H2334" s="7" t="n">
        <x:f>G2334/E2334-1</x:f>
        <x:v>0.013038957792410821</x:v>
      </x:c>
      <x:c r="I2334" s="1" t="n">
        <x:v>1</x:v>
      </x:c>
      <x:c r="J2334" s="1" t="n">
        <x:v>1</x:v>
      </x:c>
      <x:c r="K2334" s="1" t="str">
        <x:v>中证官方优先</x:v>
      </x:c>
    </x:row>
    <x:row r="2335" ht="25" customHeight="1">
      <x:c r="A2335" s="1" t="str">
        <x:v>sh000922</x:v>
      </x:c>
      <x:c r="B2335" s="1" t="str">
        <x:v>中证红利</x:v>
      </x:c>
      <x:c r="C2335" s="1" t="str">
        <x:v>2010-01</x:v>
      </x:c>
      <x:c r="D2335" s="1" t="str">
        <x:v>2009-12-31</x:v>
      </x:c>
      <x:c r="E2335" s="5" t="n">
        <x:v>3566.12</x:v>
      </x:c>
      <x:c r="F2335" s="6" t="str">
        <x:v>2010-01-29</x:v>
      </x:c>
      <x:c r="G2335" s="5" t="n">
        <x:v>3197.7</x:v>
      </x:c>
      <x:c r="H2335" s="7" t="n">
        <x:f>G2335/E2335-1</x:f>
        <x:v>-0.10331116171076693</x:v>
      </x:c>
      <x:c r="I2335" s="1" t="n">
        <x:v>1</x:v>
      </x:c>
      <x:c r="J2335" s="1" t="n">
        <x:v>1</x:v>
      </x:c>
      <x:c r="K2335" s="1" t="str">
        <x:v>中证官方优先</x:v>
      </x:c>
    </x:row>
    <x:row r="2336" ht="25" customHeight="1">
      <x:c r="A2336" s="1" t="str">
        <x:v>sh000922</x:v>
      </x:c>
      <x:c r="B2336" s="1" t="str">
        <x:v>中证红利</x:v>
      </x:c>
      <x:c r="C2336" s="1" t="str">
        <x:v>2010-02</x:v>
      </x:c>
      <x:c r="D2336" s="1" t="str">
        <x:v>2010-01-29</x:v>
      </x:c>
      <x:c r="E2336" s="5" t="n">
        <x:v>3197.7</x:v>
      </x:c>
      <x:c r="F2336" s="6" t="str">
        <x:v>2010-02-26</x:v>
      </x:c>
      <x:c r="G2336" s="5" t="n">
        <x:v>3270.35</x:v>
      </x:c>
      <x:c r="H2336" s="7" t="n">
        <x:f>G2336/E2336-1</x:f>
        <x:v>0.022719454607999623</x:v>
      </x:c>
      <x:c r="I2336" s="1" t="n">
        <x:v>1</x:v>
      </x:c>
      <x:c r="J2336" s="1" t="n">
        <x:v>1</x:v>
      </x:c>
      <x:c r="K2336" s="1" t="str">
        <x:v>中证官方优先</x:v>
      </x:c>
    </x:row>
    <x:row r="2337" ht="25" customHeight="1">
      <x:c r="A2337" s="1" t="str">
        <x:v>sh000922</x:v>
      </x:c>
      <x:c r="B2337" s="1" t="str">
        <x:v>中证红利</x:v>
      </x:c>
      <x:c r="C2337" s="1" t="str">
        <x:v>2010-03</x:v>
      </x:c>
      <x:c r="D2337" s="1" t="str">
        <x:v>2010-02-26</x:v>
      </x:c>
      <x:c r="E2337" s="5" t="n">
        <x:v>3270.35</x:v>
      </x:c>
      <x:c r="F2337" s="6" t="str">
        <x:v>2010-03-31</x:v>
      </x:c>
      <x:c r="G2337" s="5" t="n">
        <x:v>3291.28</x:v>
      </x:c>
      <x:c r="H2337" s="7" t="n">
        <x:f>G2337/E2337-1</x:f>
        <x:v>0.006399926613359419</x:v>
      </x:c>
      <x:c r="I2337" s="1" t="n">
        <x:v>1</x:v>
      </x:c>
      <x:c r="J2337" s="1" t="n">
        <x:v>1</x:v>
      </x:c>
      <x:c r="K2337" s="1" t="str">
        <x:v>中证官方优先</x:v>
      </x:c>
    </x:row>
    <x:row r="2338" ht="25" customHeight="1">
      <x:c r="A2338" s="1" t="str">
        <x:v>sh000922</x:v>
      </x:c>
      <x:c r="B2338" s="1" t="str">
        <x:v>中证红利</x:v>
      </x:c>
      <x:c r="C2338" s="1" t="str">
        <x:v>2010-04</x:v>
      </x:c>
      <x:c r="D2338" s="1" t="str">
        <x:v>2010-03-31</x:v>
      </x:c>
      <x:c r="E2338" s="5" t="n">
        <x:v>3291.28</x:v>
      </x:c>
      <x:c r="F2338" s="6" t="str">
        <x:v>2010-04-30</x:v>
      </x:c>
      <x:c r="G2338" s="5" t="n">
        <x:v>3027.91</x:v>
      </x:c>
      <x:c r="H2338" s="7" t="n">
        <x:f>G2338/E2338-1</x:f>
        <x:v>-0.08002053912155771</x:v>
      </x:c>
      <x:c r="I2338" s="1" t="n">
        <x:v>1</x:v>
      </x:c>
      <x:c r="J2338" s="1" t="n">
        <x:v>1</x:v>
      </x:c>
      <x:c r="K2338" s="1" t="str">
        <x:v>中证官方优先</x:v>
      </x:c>
    </x:row>
    <x:row r="2339" ht="25" customHeight="1">
      <x:c r="A2339" s="1" t="str">
        <x:v>sh000922</x:v>
      </x:c>
      <x:c r="B2339" s="1" t="str">
        <x:v>中证红利</x:v>
      </x:c>
      <x:c r="C2339" s="1" t="str">
        <x:v>2010-05</x:v>
      </x:c>
      <x:c r="D2339" s="1" t="str">
        <x:v>2010-04-30</x:v>
      </x:c>
      <x:c r="E2339" s="5" t="n">
        <x:v>3027.91</x:v>
      </x:c>
      <x:c r="F2339" s="6" t="str">
        <x:v>2010-05-31</x:v>
      </x:c>
      <x:c r="G2339" s="5" t="n">
        <x:v>2768.06</x:v>
      </x:c>
      <x:c r="H2339" s="7" t="n">
        <x:f>G2339/E2339-1</x:f>
        <x:v>-0.08581827068836256</x:v>
      </x:c>
      <x:c r="I2339" s="1" t="n">
        <x:v>1</x:v>
      </x:c>
      <x:c r="J2339" s="1" t="n">
        <x:v>1</x:v>
      </x:c>
      <x:c r="K2339" s="1" t="str">
        <x:v>中证官方优先</x:v>
      </x:c>
    </x:row>
    <x:row r="2340" ht="25" customHeight="1">
      <x:c r="A2340" s="1" t="str">
        <x:v>sh000922</x:v>
      </x:c>
      <x:c r="B2340" s="1" t="str">
        <x:v>中证红利</x:v>
      </x:c>
      <x:c r="C2340" s="1" t="str">
        <x:v>2010-06</x:v>
      </x:c>
      <x:c r="D2340" s="1" t="str">
        <x:v>2010-05-31</x:v>
      </x:c>
      <x:c r="E2340" s="5" t="n">
        <x:v>2768.06</x:v>
      </x:c>
      <x:c r="F2340" s="6" t="str">
        <x:v>2010-06-30</x:v>
      </x:c>
      <x:c r="G2340" s="5" t="n">
        <x:v>2508.12</x:v>
      </x:c>
      <x:c r="H2340" s="7" t="n">
        <x:f>G2340/E2340-1</x:f>
        <x:v>-0.09390692398286171</x:v>
      </x:c>
      <x:c r="I2340" s="1" t="n">
        <x:v>1</x:v>
      </x:c>
      <x:c r="J2340" s="1" t="n">
        <x:v>1</x:v>
      </x:c>
      <x:c r="K2340" s="1" t="str">
        <x:v>中证官方优先</x:v>
      </x:c>
    </x:row>
    <x:row r="2341" ht="25" customHeight="1">
      <x:c r="A2341" s="1" t="str">
        <x:v>sh000922</x:v>
      </x:c>
      <x:c r="B2341" s="1" t="str">
        <x:v>中证红利</x:v>
      </x:c>
      <x:c r="C2341" s="1" t="str">
        <x:v>2010-07</x:v>
      </x:c>
      <x:c r="D2341" s="1" t="str">
        <x:v>2010-06-30</x:v>
      </x:c>
      <x:c r="E2341" s="5" t="n">
        <x:v>2508.12</x:v>
      </x:c>
      <x:c r="F2341" s="6" t="str">
        <x:v>2010-07-30</x:v>
      </x:c>
      <x:c r="G2341" s="5" t="n">
        <x:v>2797.42</x:v>
      </x:c>
      <x:c r="H2341" s="7" t="n">
        <x:f>G2341/E2341-1</x:f>
        <x:v>0.11534535827631864</x:v>
      </x:c>
      <x:c r="I2341" s="1" t="n">
        <x:v>1</x:v>
      </x:c>
      <x:c r="J2341" s="1" t="n">
        <x:v>1</x:v>
      </x:c>
      <x:c r="K2341" s="1" t="str">
        <x:v>中证官方优先</x:v>
      </x:c>
    </x:row>
    <x:row r="2342" ht="25" customHeight="1">
      <x:c r="A2342" s="1" t="str">
        <x:v>sh000922</x:v>
      </x:c>
      <x:c r="B2342" s="1" t="str">
        <x:v>中证红利</x:v>
      </x:c>
      <x:c r="C2342" s="1" t="str">
        <x:v>2010-08</x:v>
      </x:c>
      <x:c r="D2342" s="1" t="str">
        <x:v>2010-07-30</x:v>
      </x:c>
      <x:c r="E2342" s="5" t="n">
        <x:v>2797.42</x:v>
      </x:c>
      <x:c r="F2342" s="6" t="str">
        <x:v>2010-08-31</x:v>
      </x:c>
      <x:c r="G2342" s="5" t="n">
        <x:v>2840.62</x:v>
      </x:c>
      <x:c r="H2342" s="7" t="n">
        <x:f>G2342/E2342-1</x:f>
        <x:v>0.015442800866512618</x:v>
      </x:c>
      <x:c r="I2342" s="1" t="n">
        <x:v>1</x:v>
      </x:c>
      <x:c r="J2342" s="1" t="n">
        <x:v>1</x:v>
      </x:c>
      <x:c r="K2342" s="1" t="str">
        <x:v>中证官方优先</x:v>
      </x:c>
    </x:row>
    <x:row r="2343" ht="25" customHeight="1">
      <x:c r="A2343" s="1" t="str">
        <x:v>sh000922</x:v>
      </x:c>
      <x:c r="B2343" s="1" t="str">
        <x:v>中证红利</x:v>
      </x:c>
      <x:c r="C2343" s="1" t="str">
        <x:v>2010-09</x:v>
      </x:c>
      <x:c r="D2343" s="1" t="str">
        <x:v>2010-08-31</x:v>
      </x:c>
      <x:c r="E2343" s="5" t="n">
        <x:v>2840.62</x:v>
      </x:c>
      <x:c r="F2343" s="6" t="str">
        <x:v>2010-09-30</x:v>
      </x:c>
      <x:c r="G2343" s="5" t="n">
        <x:v>2842.85</x:v>
      </x:c>
      <x:c r="H2343" s="7" t="n">
        <x:f>G2343/E2343-1</x:f>
        <x:v>0.0007850398856588114</x:v>
      </x:c>
      <x:c r="I2343" s="1" t="n">
        <x:v>1</x:v>
      </x:c>
      <x:c r="J2343" s="1" t="n">
        <x:v>1</x:v>
      </x:c>
      <x:c r="K2343" s="1" t="str">
        <x:v>中证官方优先</x:v>
      </x:c>
    </x:row>
    <x:row r="2344" ht="25" customHeight="1">
      <x:c r="A2344" s="1" t="str">
        <x:v>sh000922</x:v>
      </x:c>
      <x:c r="B2344" s="1" t="str">
        <x:v>中证红利</x:v>
      </x:c>
      <x:c r="C2344" s="1" t="str">
        <x:v>2010-10</x:v>
      </x:c>
      <x:c r="D2344" s="1" t="str">
        <x:v>2010-09-30</x:v>
      </x:c>
      <x:c r="E2344" s="5" t="n">
        <x:v>2842.85</x:v>
      </x:c>
      <x:c r="F2344" s="6" t="str">
        <x:v>2010-10-29</x:v>
      </x:c>
      <x:c r="G2344" s="5" t="n">
        <x:v>3250.08</x:v>
      </x:c>
      <x:c r="H2344" s="7" t="n">
        <x:f>G2344/E2344-1</x:f>
        <x:v>0.14324709358566223</x:v>
      </x:c>
      <x:c r="I2344" s="1" t="n">
        <x:v>1</x:v>
      </x:c>
      <x:c r="J2344" s="1" t="n">
        <x:v>1</x:v>
      </x:c>
      <x:c r="K2344" s="1" t="str">
        <x:v>中证官方优先</x:v>
      </x:c>
    </x:row>
    <x:row r="2345" ht="25" customHeight="1">
      <x:c r="A2345" s="1" t="str">
        <x:v>sh000922</x:v>
      </x:c>
      <x:c r="B2345" s="1" t="str">
        <x:v>中证红利</x:v>
      </x:c>
      <x:c r="C2345" s="1" t="str">
        <x:v>2010-11</x:v>
      </x:c>
      <x:c r="D2345" s="1" t="str">
        <x:v>2010-10-29</x:v>
      </x:c>
      <x:c r="E2345" s="5" t="n">
        <x:v>3250.08</x:v>
      </x:c>
      <x:c r="F2345" s="6" t="str">
        <x:v>2010-11-30</x:v>
      </x:c>
      <x:c r="G2345" s="5" t="n">
        <x:v>3040.73</x:v>
      </x:c>
      <x:c r="H2345" s="7" t="n">
        <x:f>G2345/E2345-1</x:f>
        <x:v>-0.0644137990449466</x:v>
      </x:c>
      <x:c r="I2345" s="1" t="n">
        <x:v>1</x:v>
      </x:c>
      <x:c r="J2345" s="1" t="n">
        <x:v>1</x:v>
      </x:c>
      <x:c r="K2345" s="1" t="str">
        <x:v>中证官方优先</x:v>
      </x:c>
    </x:row>
    <x:row r="2346" ht="25" customHeight="1">
      <x:c r="A2346" s="1" t="str">
        <x:v>sh000922</x:v>
      </x:c>
      <x:c r="B2346" s="1" t="str">
        <x:v>中证红利</x:v>
      </x:c>
      <x:c r="C2346" s="1" t="str">
        <x:v>2010-12</x:v>
      </x:c>
      <x:c r="D2346" s="1" t="str">
        <x:v>2010-11-30</x:v>
      </x:c>
      <x:c r="E2346" s="5" t="n">
        <x:v>3040.73</x:v>
      </x:c>
      <x:c r="F2346" s="6" t="str">
        <x:v>2010-12-31</x:v>
      </x:c>
      <x:c r="G2346" s="5" t="n">
        <x:v>3092.6</x:v>
      </x:c>
      <x:c r="H2346" s="7" t="n">
        <x:f>G2346/E2346-1</x:f>
        <x:v>0.017058403738575922</x:v>
      </x:c>
      <x:c r="I2346" s="1" t="n">
        <x:v>1</x:v>
      </x:c>
      <x:c r="J2346" s="1" t="n">
        <x:v>1</x:v>
      </x:c>
      <x:c r="K2346" s="1" t="str">
        <x:v>中证官方优先</x:v>
      </x:c>
    </x:row>
    <x:row r="2347" ht="25" customHeight="1">
      <x:c r="A2347" s="1" t="str">
        <x:v>sh000922</x:v>
      </x:c>
      <x:c r="B2347" s="1" t="str">
        <x:v>中证红利</x:v>
      </x:c>
      <x:c r="C2347" s="1" t="str">
        <x:v>2011-01</x:v>
      </x:c>
      <x:c r="D2347" s="1" t="str">
        <x:v>2010-12-31</x:v>
      </x:c>
      <x:c r="E2347" s="5" t="n">
        <x:v>3092.6</x:v>
      </x:c>
      <x:c r="F2347" s="6" t="str">
        <x:v>2011-01-31</x:v>
      </x:c>
      <x:c r="G2347" s="5" t="n">
        <x:v>3043.73</x:v>
      </x:c>
      <x:c r="H2347" s="7" t="n">
        <x:f>G2347/E2347-1</x:f>
        <x:v>-0.01580223759943089</x:v>
      </x:c>
      <x:c r="I2347" s="1" t="n">
        <x:v>1</x:v>
      </x:c>
      <x:c r="J2347" s="1" t="n">
        <x:v>1</x:v>
      </x:c>
      <x:c r="K2347" s="1" t="str">
        <x:v>中证官方优先</x:v>
      </x:c>
    </x:row>
    <x:row r="2348" ht="25" customHeight="1">
      <x:c r="A2348" s="1" t="str">
        <x:v>sh000922</x:v>
      </x:c>
      <x:c r="B2348" s="1" t="str">
        <x:v>中证红利</x:v>
      </x:c>
      <x:c r="C2348" s="1" t="str">
        <x:v>2011-02</x:v>
      </x:c>
      <x:c r="D2348" s="1" t="str">
        <x:v>2011-01-31</x:v>
      </x:c>
      <x:c r="E2348" s="5" t="n">
        <x:v>3043.73</x:v>
      </x:c>
      <x:c r="F2348" s="6" t="str">
        <x:v>2011-02-28</x:v>
      </x:c>
      <x:c r="G2348" s="5" t="n">
        <x:v>3226.03</x:v>
      </x:c>
      <x:c r="H2348" s="7" t="n">
        <x:f>G2348/E2348-1</x:f>
        <x:v>0.059893617370791796</x:v>
      </x:c>
      <x:c r="I2348" s="1" t="n">
        <x:v>1</x:v>
      </x:c>
      <x:c r="J2348" s="1" t="n">
        <x:v>1</x:v>
      </x:c>
      <x:c r="K2348" s="1" t="str">
        <x:v>中证官方优先</x:v>
      </x:c>
    </x:row>
    <x:row r="2349" ht="25" customHeight="1">
      <x:c r="A2349" s="1" t="str">
        <x:v>sh000922</x:v>
      </x:c>
      <x:c r="B2349" s="1" t="str">
        <x:v>中证红利</x:v>
      </x:c>
      <x:c r="C2349" s="1" t="str">
        <x:v>2011-03</x:v>
      </x:c>
      <x:c r="D2349" s="1" t="str">
        <x:v>2011-02-28</x:v>
      </x:c>
      <x:c r="E2349" s="5" t="n">
        <x:v>3226.03</x:v>
      </x:c>
      <x:c r="F2349" s="6" t="str">
        <x:v>2011-03-31</x:v>
      </x:c>
      <x:c r="G2349" s="5" t="n">
        <x:v>3234.11</x:v>
      </x:c>
      <x:c r="H2349" s="7" t="n">
        <x:f>G2349/E2349-1</x:f>
        <x:v>0.0025046264293884235</x:v>
      </x:c>
      <x:c r="I2349" s="1" t="n">
        <x:v>1</x:v>
      </x:c>
      <x:c r="J2349" s="1" t="n">
        <x:v>1</x:v>
      </x:c>
      <x:c r="K2349" s="1" t="str">
        <x:v>中证官方优先</x:v>
      </x:c>
    </x:row>
    <x:row r="2350" ht="25" customHeight="1">
      <x:c r="A2350" s="1" t="str">
        <x:v>sh000922</x:v>
      </x:c>
      <x:c r="B2350" s="1" t="str">
        <x:v>中证红利</x:v>
      </x:c>
      <x:c r="C2350" s="1" t="str">
        <x:v>2011-04</x:v>
      </x:c>
      <x:c r="D2350" s="1" t="str">
        <x:v>2011-03-31</x:v>
      </x:c>
      <x:c r="E2350" s="5" t="n">
        <x:v>3234.11</x:v>
      </x:c>
      <x:c r="F2350" s="6" t="str">
        <x:v>2011-04-29</x:v>
      </x:c>
      <x:c r="G2350" s="5" t="n">
        <x:v>3211.36</x:v>
      </x:c>
      <x:c r="H2350" s="7" t="n">
        <x:f>G2350/E2350-1</x:f>
        <x:v>-0.007034392769571851</x:v>
      </x:c>
      <x:c r="I2350" s="1" t="n">
        <x:v>1</x:v>
      </x:c>
      <x:c r="J2350" s="1" t="n">
        <x:v>1</x:v>
      </x:c>
      <x:c r="K2350" s="1" t="str">
        <x:v>中证官方优先</x:v>
      </x:c>
    </x:row>
    <x:row r="2351" ht="25" customHeight="1">
      <x:c r="A2351" s="1" t="str">
        <x:v>sh000922</x:v>
      </x:c>
      <x:c r="B2351" s="1" t="str">
        <x:v>中证红利</x:v>
      </x:c>
      <x:c r="C2351" s="1" t="str">
        <x:v>2011-05</x:v>
      </x:c>
      <x:c r="D2351" s="1" t="str">
        <x:v>2011-04-29</x:v>
      </x:c>
      <x:c r="E2351" s="5" t="n">
        <x:v>3211.36</x:v>
      </x:c>
      <x:c r="F2351" s="6" t="str">
        <x:v>2011-05-31</x:v>
      </x:c>
      <x:c r="G2351" s="5" t="n">
        <x:v>3016.73</x:v>
      </x:c>
      <x:c r="H2351" s="7" t="n">
        <x:f>G2351/E2351-1</x:f>
        <x:v>-0.060606721139953246</x:v>
      </x:c>
      <x:c r="I2351" s="1" t="n">
        <x:v>1</x:v>
      </x:c>
      <x:c r="J2351" s="1" t="n">
        <x:v>1</x:v>
      </x:c>
      <x:c r="K2351" s="1" t="str">
        <x:v>中证官方优先</x:v>
      </x:c>
    </x:row>
    <x:row r="2352" ht="25" customHeight="1">
      <x:c r="A2352" s="1" t="str">
        <x:v>sh000922</x:v>
      </x:c>
      <x:c r="B2352" s="1" t="str">
        <x:v>中证红利</x:v>
      </x:c>
      <x:c r="C2352" s="1" t="str">
        <x:v>2011-06</x:v>
      </x:c>
      <x:c r="D2352" s="1" t="str">
        <x:v>2011-05-31</x:v>
      </x:c>
      <x:c r="E2352" s="5" t="n">
        <x:v>3016.73</x:v>
      </x:c>
      <x:c r="F2352" s="6" t="str">
        <x:v>2011-06-30</x:v>
      </x:c>
      <x:c r="G2352" s="5" t="n">
        <x:v>3027.75</x:v>
      </x:c>
      <x:c r="H2352" s="7" t="n">
        <x:f>G2352/E2352-1</x:f>
        <x:v>0.0036529619820135917</x:v>
      </x:c>
      <x:c r="I2352" s="1" t="n">
        <x:v>1</x:v>
      </x:c>
      <x:c r="J2352" s="1" t="n">
        <x:v>1</x:v>
      </x:c>
      <x:c r="K2352" s="1" t="str">
        <x:v>中证官方优先</x:v>
      </x:c>
    </x:row>
    <x:row r="2353" ht="25" customHeight="1">
      <x:c r="A2353" s="1" t="str">
        <x:v>sh000922</x:v>
      </x:c>
      <x:c r="B2353" s="1" t="str">
        <x:v>中证红利</x:v>
      </x:c>
      <x:c r="C2353" s="1" t="str">
        <x:v>2011-07</x:v>
      </x:c>
      <x:c r="D2353" s="1" t="str">
        <x:v>2011-06-30</x:v>
      </x:c>
      <x:c r="E2353" s="5" t="n">
        <x:v>3027.75</x:v>
      </x:c>
      <x:c r="F2353" s="6" t="str">
        <x:v>2011-07-29</x:v>
      </x:c>
      <x:c r="G2353" s="5" t="n">
        <x:v>2951.43</x:v>
      </x:c>
      <x:c r="H2353" s="7" t="n">
        <x:f>G2353/E2353-1</x:f>
        <x:v>-0.025206836759970375</x:v>
      </x:c>
      <x:c r="I2353" s="1" t="n">
        <x:v>1</x:v>
      </x:c>
      <x:c r="J2353" s="1" t="n">
        <x:v>1</x:v>
      </x:c>
      <x:c r="K2353" s="1" t="str">
        <x:v>中证官方优先</x:v>
      </x:c>
    </x:row>
    <x:row r="2354" ht="25" customHeight="1">
      <x:c r="A2354" s="1" t="str">
        <x:v>sh000922</x:v>
      </x:c>
      <x:c r="B2354" s="1" t="str">
        <x:v>中证红利</x:v>
      </x:c>
      <x:c r="C2354" s="1" t="str">
        <x:v>2011-08</x:v>
      </x:c>
      <x:c r="D2354" s="1" t="str">
        <x:v>2011-07-29</x:v>
      </x:c>
      <x:c r="E2354" s="5" t="n">
        <x:v>2951.43</x:v>
      </x:c>
      <x:c r="F2354" s="6" t="str">
        <x:v>2011-08-31</x:v>
      </x:c>
      <x:c r="G2354" s="5" t="n">
        <x:v>2800.04</x:v>
      </x:c>
      <x:c r="H2354" s="7" t="n">
        <x:f>G2354/E2354-1</x:f>
        <x:v>-0.05129377962546966</x:v>
      </x:c>
      <x:c r="I2354" s="1" t="n">
        <x:v>1</x:v>
      </x:c>
      <x:c r="J2354" s="1" t="n">
        <x:v>1</x:v>
      </x:c>
      <x:c r="K2354" s="1" t="str">
        <x:v>中证官方优先</x:v>
      </x:c>
    </x:row>
    <x:row r="2355" ht="25" customHeight="1">
      <x:c r="A2355" s="1" t="str">
        <x:v>sh000922</x:v>
      </x:c>
      <x:c r="B2355" s="1" t="str">
        <x:v>中证红利</x:v>
      </x:c>
      <x:c r="C2355" s="1" t="str">
        <x:v>2011-09</x:v>
      </x:c>
      <x:c r="D2355" s="1" t="str">
        <x:v>2011-08-31</x:v>
      </x:c>
      <x:c r="E2355" s="5" t="n">
        <x:v>2800.04</x:v>
      </x:c>
      <x:c r="F2355" s="6" t="str">
        <x:v>2011-09-30</x:v>
      </x:c>
      <x:c r="G2355" s="5" t="n">
        <x:v>2595</x:v>
      </x:c>
      <x:c r="H2355" s="7" t="n">
        <x:f>G2355/E2355-1</x:f>
        <x:v>-0.0732275253210668</x:v>
      </x:c>
      <x:c r="I2355" s="1" t="n">
        <x:v>1</x:v>
      </x:c>
      <x:c r="J2355" s="1" t="n">
        <x:v>1</x:v>
      </x:c>
      <x:c r="K2355" s="1" t="str">
        <x:v>中证官方优先</x:v>
      </x:c>
    </x:row>
    <x:row r="2356" ht="25" customHeight="1">
      <x:c r="A2356" s="1" t="str">
        <x:v>sh000922</x:v>
      </x:c>
      <x:c r="B2356" s="1" t="str">
        <x:v>中证红利</x:v>
      </x:c>
      <x:c r="C2356" s="1" t="str">
        <x:v>2011-10</x:v>
      </x:c>
      <x:c r="D2356" s="1" t="str">
        <x:v>2011-09-30</x:v>
      </x:c>
      <x:c r="E2356" s="5" t="n">
        <x:v>2595</x:v>
      </x:c>
      <x:c r="F2356" s="6" t="str">
        <x:v>2011-10-31</x:v>
      </x:c>
      <x:c r="G2356" s="5" t="n">
        <x:v>2673.53</x:v>
      </x:c>
      <x:c r="H2356" s="7" t="n">
        <x:f>G2356/E2356-1</x:f>
        <x:v>0.030262042389210153</x:v>
      </x:c>
      <x:c r="I2356" s="1" t="n">
        <x:v>1</x:v>
      </x:c>
      <x:c r="J2356" s="1" t="n">
        <x:v>1</x:v>
      </x:c>
      <x:c r="K2356" s="1" t="str">
        <x:v>中证官方优先</x:v>
      </x:c>
    </x:row>
    <x:row r="2357" ht="25" customHeight="1">
      <x:c r="A2357" s="1" t="str">
        <x:v>sh000922</x:v>
      </x:c>
      <x:c r="B2357" s="1" t="str">
        <x:v>中证红利</x:v>
      </x:c>
      <x:c r="C2357" s="1" t="str">
        <x:v>2011-11</x:v>
      </x:c>
      <x:c r="D2357" s="1" t="str">
        <x:v>2011-10-31</x:v>
      </x:c>
      <x:c r="E2357" s="5" t="n">
        <x:v>2673.53</x:v>
      </x:c>
      <x:c r="F2357" s="6" t="str">
        <x:v>2011-11-30</x:v>
      </x:c>
      <x:c r="G2357" s="5" t="n">
        <x:v>2526.56</x:v>
      </x:c>
      <x:c r="H2357" s="7" t="n">
        <x:f>G2357/E2357-1</x:f>
        <x:v>-0.054972265132614995</x:v>
      </x:c>
      <x:c r="I2357" s="1" t="n">
        <x:v>1</x:v>
      </x:c>
      <x:c r="J2357" s="1" t="n">
        <x:v>1</x:v>
      </x:c>
      <x:c r="K2357" s="1" t="str">
        <x:v>中证官方优先</x:v>
      </x:c>
    </x:row>
    <x:row r="2358" ht="25" customHeight="1">
      <x:c r="A2358" s="1" t="str">
        <x:v>sh000922</x:v>
      </x:c>
      <x:c r="B2358" s="1" t="str">
        <x:v>中证红利</x:v>
      </x:c>
      <x:c r="C2358" s="1" t="str">
        <x:v>2011-12</x:v>
      </x:c>
      <x:c r="D2358" s="1" t="str">
        <x:v>2011-11-30</x:v>
      </x:c>
      <x:c r="E2358" s="5" t="n">
        <x:v>2526.56</x:v>
      </x:c>
      <x:c r="F2358" s="6" t="str">
        <x:v>2011-12-30</x:v>
      </x:c>
      <x:c r="G2358" s="5" t="n">
        <x:v>2363.78</x:v>
      </x:c>
      <x:c r="H2358" s="7" t="n">
        <x:f>G2358/E2358-1</x:f>
        <x:v>-0.06442752200620594</x:v>
      </x:c>
      <x:c r="I2358" s="1" t="n">
        <x:v>1</x:v>
      </x:c>
      <x:c r="J2358" s="1" t="n">
        <x:v>1</x:v>
      </x:c>
      <x:c r="K2358" s="1" t="str">
        <x:v>中证官方优先</x:v>
      </x:c>
    </x:row>
    <x:row r="2359" ht="25" customHeight="1">
      <x:c r="A2359" s="1" t="str">
        <x:v>sh000922</x:v>
      </x:c>
      <x:c r="B2359" s="1" t="str">
        <x:v>中证红利</x:v>
      </x:c>
      <x:c r="C2359" s="1" t="str">
        <x:v>2012-01</x:v>
      </x:c>
      <x:c r="D2359" s="1" t="str">
        <x:v>2011-12-30</x:v>
      </x:c>
      <x:c r="E2359" s="5" t="n">
        <x:v>2363.78</x:v>
      </x:c>
      <x:c r="F2359" s="6" t="str">
        <x:v>2012-01-31</x:v>
      </x:c>
      <x:c r="G2359" s="5" t="n">
        <x:v>2490.31</x:v>
      </x:c>
      <x:c r="H2359" s="7" t="n">
        <x:f>G2359/E2359-1</x:f>
        <x:v>0.05352867018081198</x:v>
      </x:c>
      <x:c r="I2359" s="1" t="n">
        <x:v>1</x:v>
      </x:c>
      <x:c r="J2359" s="1" t="n">
        <x:v>1</x:v>
      </x:c>
      <x:c r="K2359" s="1" t="str">
        <x:v>中证官方优先</x:v>
      </x:c>
    </x:row>
    <x:row r="2360" ht="25" customHeight="1">
      <x:c r="A2360" s="1" t="str">
        <x:v>sh000922</x:v>
      </x:c>
      <x:c r="B2360" s="1" t="str">
        <x:v>中证红利</x:v>
      </x:c>
      <x:c r="C2360" s="1" t="str">
        <x:v>2012-02</x:v>
      </x:c>
      <x:c r="D2360" s="1" t="str">
        <x:v>2012-01-31</x:v>
      </x:c>
      <x:c r="E2360" s="5" t="n">
        <x:v>2490.31</x:v>
      </x:c>
      <x:c r="F2360" s="6" t="str">
        <x:v>2012-02-29</x:v>
      </x:c>
      <x:c r="G2360" s="5" t="n">
        <x:v>2625.79</x:v>
      </x:c>
      <x:c r="H2360" s="7" t="n">
        <x:f>G2360/E2360-1</x:f>
        <x:v>0.054402865506703924</x:v>
      </x:c>
      <x:c r="I2360" s="1" t="n">
        <x:v>1</x:v>
      </x:c>
      <x:c r="J2360" s="1" t="n">
        <x:v>1</x:v>
      </x:c>
      <x:c r="K2360" s="1" t="str">
        <x:v>中证官方优先</x:v>
      </x:c>
    </x:row>
    <x:row r="2361" ht="25" customHeight="1">
      <x:c r="A2361" s="1" t="str">
        <x:v>sh000922</x:v>
      </x:c>
      <x:c r="B2361" s="1" t="str">
        <x:v>中证红利</x:v>
      </x:c>
      <x:c r="C2361" s="1" t="str">
        <x:v>2012-03</x:v>
      </x:c>
      <x:c r="D2361" s="1" t="str">
        <x:v>2012-02-29</x:v>
      </x:c>
      <x:c r="E2361" s="5" t="n">
        <x:v>2625.79</x:v>
      </x:c>
      <x:c r="F2361" s="6" t="str">
        <x:v>2012-03-30</x:v>
      </x:c>
      <x:c r="G2361" s="5" t="n">
        <x:v>2463.93</x:v>
      </x:c>
      <x:c r="H2361" s="7" t="n">
        <x:f>G2361/E2361-1</x:f>
        <x:v>-0.06164240095361784</x:v>
      </x:c>
      <x:c r="I2361" s="1" t="n">
        <x:v>1</x:v>
      </x:c>
      <x:c r="J2361" s="1" t="n">
        <x:v>1</x:v>
      </x:c>
      <x:c r="K2361" s="1" t="str">
        <x:v>中证官方优先</x:v>
      </x:c>
    </x:row>
    <x:row r="2362" ht="25" customHeight="1">
      <x:c r="A2362" s="1" t="str">
        <x:v>sh000922</x:v>
      </x:c>
      <x:c r="B2362" s="1" t="str">
        <x:v>中证红利</x:v>
      </x:c>
      <x:c r="C2362" s="1" t="str">
        <x:v>2012-04</x:v>
      </x:c>
      <x:c r="D2362" s="1" t="str">
        <x:v>2012-03-30</x:v>
      </x:c>
      <x:c r="E2362" s="5" t="n">
        <x:v>2463.93</x:v>
      </x:c>
      <x:c r="F2362" s="6" t="str">
        <x:v>2012-04-27</x:v>
      </x:c>
      <x:c r="G2362" s="5" t="n">
        <x:v>2604.71</x:v>
      </x:c>
      <x:c r="H2362" s="7" t="n">
        <x:f>G2362/E2362-1</x:f>
        <x:v>0.057136363451883776</x:v>
      </x:c>
      <x:c r="I2362" s="1" t="n">
        <x:v>1</x:v>
      </x:c>
      <x:c r="J2362" s="1" t="n">
        <x:v>1</x:v>
      </x:c>
      <x:c r="K2362" s="1" t="str">
        <x:v>中证官方优先</x:v>
      </x:c>
    </x:row>
    <x:row r="2363" ht="25" customHeight="1">
      <x:c r="A2363" s="1" t="str">
        <x:v>sh000922</x:v>
      </x:c>
      <x:c r="B2363" s="1" t="str">
        <x:v>中证红利</x:v>
      </x:c>
      <x:c r="C2363" s="1" t="str">
        <x:v>2012-05</x:v>
      </x:c>
      <x:c r="D2363" s="1" t="str">
        <x:v>2012-04-27</x:v>
      </x:c>
      <x:c r="E2363" s="5" t="n">
        <x:v>2604.71</x:v>
      </x:c>
      <x:c r="F2363" s="6" t="str">
        <x:v>2012-05-31</x:v>
      </x:c>
      <x:c r="G2363" s="5" t="n">
        <x:v>2580.99</x:v>
      </x:c>
      <x:c r="H2363" s="7" t="n">
        <x:f>G2363/E2363-1</x:f>
        <x:v>-0.009106580003148235</x:v>
      </x:c>
      <x:c r="I2363" s="1" t="n">
        <x:v>1</x:v>
      </x:c>
      <x:c r="J2363" s="1" t="n">
        <x:v>1</x:v>
      </x:c>
      <x:c r="K2363" s="1" t="str">
        <x:v>中证官方优先</x:v>
      </x:c>
    </x:row>
    <x:row r="2364" ht="25" customHeight="1">
      <x:c r="A2364" s="1" t="str">
        <x:v>sh000922</x:v>
      </x:c>
      <x:c r="B2364" s="1" t="str">
        <x:v>中证红利</x:v>
      </x:c>
      <x:c r="C2364" s="1" t="str">
        <x:v>2012-06</x:v>
      </x:c>
      <x:c r="D2364" s="1" t="str">
        <x:v>2012-05-31</x:v>
      </x:c>
      <x:c r="E2364" s="5" t="n">
        <x:v>2580.99</x:v>
      </x:c>
      <x:c r="F2364" s="6" t="str">
        <x:v>2012-06-29</x:v>
      </x:c>
      <x:c r="G2364" s="5" t="n">
        <x:v>2394.1</x:v>
      </x:c>
      <x:c r="H2364" s="7" t="n">
        <x:f>G2364/E2364-1</x:f>
        <x:v>-0.07241019918713354</x:v>
      </x:c>
      <x:c r="I2364" s="1" t="n">
        <x:v>1</x:v>
      </x:c>
      <x:c r="J2364" s="1" t="n">
        <x:v>1</x:v>
      </x:c>
      <x:c r="K2364" s="1" t="str">
        <x:v>中证官方优先</x:v>
      </x:c>
    </x:row>
    <x:row r="2365" ht="25" customHeight="1">
      <x:c r="A2365" s="1" t="str">
        <x:v>sh000922</x:v>
      </x:c>
      <x:c r="B2365" s="1" t="str">
        <x:v>中证红利</x:v>
      </x:c>
      <x:c r="C2365" s="1" t="str">
        <x:v>2012-07</x:v>
      </x:c>
      <x:c r="D2365" s="1" t="str">
        <x:v>2012-06-29</x:v>
      </x:c>
      <x:c r="E2365" s="5" t="n">
        <x:v>2394.1</x:v>
      </x:c>
      <x:c r="F2365" s="6" t="str">
        <x:v>2012-07-31</x:v>
      </x:c>
      <x:c r="G2365" s="5" t="n">
        <x:v>2271.36</x:v>
      </x:c>
      <x:c r="H2365" s="7" t="n">
        <x:f>G2365/E2365-1</x:f>
        <x:v>-0.05126769976191459</x:v>
      </x:c>
      <x:c r="I2365" s="1" t="n">
        <x:v>1</x:v>
      </x:c>
      <x:c r="J2365" s="1" t="n">
        <x:v>1</x:v>
      </x:c>
      <x:c r="K2365" s="1" t="str">
        <x:v>中证官方优先</x:v>
      </x:c>
    </x:row>
    <x:row r="2366" ht="25" customHeight="1">
      <x:c r="A2366" s="1" t="str">
        <x:v>sh000922</x:v>
      </x:c>
      <x:c r="B2366" s="1" t="str">
        <x:v>中证红利</x:v>
      </x:c>
      <x:c r="C2366" s="1" t="str">
        <x:v>2012-08</x:v>
      </x:c>
      <x:c r="D2366" s="1" t="str">
        <x:v>2012-07-31</x:v>
      </x:c>
      <x:c r="E2366" s="5" t="n">
        <x:v>2271.36</x:v>
      </x:c>
      <x:c r="F2366" s="6" t="str">
        <x:v>2012-08-31</x:v>
      </x:c>
      <x:c r="G2366" s="5" t="n">
        <x:v>2168.27</x:v>
      </x:c>
      <x:c r="H2366" s="7" t="n">
        <x:f>G2366/E2366-1</x:f>
        <x:v>-0.04538690476190488</x:v>
      </x:c>
      <x:c r="I2366" s="1" t="n">
        <x:v>1</x:v>
      </x:c>
      <x:c r="J2366" s="1" t="n">
        <x:v>1</x:v>
      </x:c>
      <x:c r="K2366" s="1" t="str">
        <x:v>中证官方优先</x:v>
      </x:c>
    </x:row>
    <x:row r="2367" ht="25" customHeight="1">
      <x:c r="A2367" s="1" t="str">
        <x:v>sh000922</x:v>
      </x:c>
      <x:c r="B2367" s="1" t="str">
        <x:v>中证红利</x:v>
      </x:c>
      <x:c r="C2367" s="1" t="str">
        <x:v>2012-09</x:v>
      </x:c>
      <x:c r="D2367" s="1" t="str">
        <x:v>2012-08-31</x:v>
      </x:c>
      <x:c r="E2367" s="5" t="n">
        <x:v>2168.27</x:v>
      </x:c>
      <x:c r="F2367" s="6" t="str">
        <x:v>2012-09-28</x:v>
      </x:c>
      <x:c r="G2367" s="5" t="n">
        <x:v>2242.93</x:v>
      </x:c>
      <x:c r="H2367" s="7" t="n">
        <x:f>G2367/E2367-1</x:f>
        <x:v>0.034432981132423546</x:v>
      </x:c>
      <x:c r="I2367" s="1" t="n">
        <x:v>1</x:v>
      </x:c>
      <x:c r="J2367" s="1" t="n">
        <x:v>1</x:v>
      </x:c>
      <x:c r="K2367" s="1" t="str">
        <x:v>中证官方优先</x:v>
      </x:c>
    </x:row>
    <x:row r="2368" ht="25" customHeight="1">
      <x:c r="A2368" s="1" t="str">
        <x:v>sh000922</x:v>
      </x:c>
      <x:c r="B2368" s="1" t="str">
        <x:v>中证红利</x:v>
      </x:c>
      <x:c r="C2368" s="1" t="str">
        <x:v>2012-10</x:v>
      </x:c>
      <x:c r="D2368" s="1" t="str">
        <x:v>2012-09-28</x:v>
      </x:c>
      <x:c r="E2368" s="5" t="n">
        <x:v>2242.93</x:v>
      </x:c>
      <x:c r="F2368" s="6" t="str">
        <x:v>2012-10-31</x:v>
      </x:c>
      <x:c r="G2368" s="5" t="n">
        <x:v>2213.34</x:v>
      </x:c>
      <x:c r="H2368" s="7" t="n">
        <x:f>G2368/E2368-1</x:f>
        <x:v>-0.013192565082280616</x:v>
      </x:c>
      <x:c r="I2368" s="1" t="n">
        <x:v>1</x:v>
      </x:c>
      <x:c r="J2368" s="1" t="n">
        <x:v>1</x:v>
      </x:c>
      <x:c r="K2368" s="1" t="str">
        <x:v>中证官方优先</x:v>
      </x:c>
    </x:row>
    <x:row r="2369" ht="25" customHeight="1">
      <x:c r="A2369" s="1" t="str">
        <x:v>sh000922</x:v>
      </x:c>
      <x:c r="B2369" s="1" t="str">
        <x:v>中证红利</x:v>
      </x:c>
      <x:c r="C2369" s="1" t="str">
        <x:v>2012-11</x:v>
      </x:c>
      <x:c r="D2369" s="1" t="str">
        <x:v>2012-10-31</x:v>
      </x:c>
      <x:c r="E2369" s="5" t="n">
        <x:v>2213.34</x:v>
      </x:c>
      <x:c r="F2369" s="6" t="str">
        <x:v>2012-11-30</x:v>
      </x:c>
      <x:c r="G2369" s="5" t="n">
        <x:v>2122.62</x:v>
      </x:c>
      <x:c r="H2369" s="7" t="n">
        <x:f>G2369/E2369-1</x:f>
        <x:v>-0.04098782834991477</x:v>
      </x:c>
      <x:c r="I2369" s="1" t="n">
        <x:v>1</x:v>
      </x:c>
      <x:c r="J2369" s="1" t="n">
        <x:v>1</x:v>
      </x:c>
      <x:c r="K2369" s="1" t="str">
        <x:v>中证官方优先</x:v>
      </x:c>
    </x:row>
    <x:row r="2370" ht="25" customHeight="1">
      <x:c r="A2370" s="1" t="str">
        <x:v>sh000922</x:v>
      </x:c>
      <x:c r="B2370" s="1" t="str">
        <x:v>中证红利</x:v>
      </x:c>
      <x:c r="C2370" s="1" t="str">
        <x:v>2012-12</x:v>
      </x:c>
      <x:c r="D2370" s="1" t="str">
        <x:v>2012-11-30</x:v>
      </x:c>
      <x:c r="E2370" s="5" t="n">
        <x:v>2122.62</x:v>
      </x:c>
      <x:c r="F2370" s="6" t="str">
        <x:v>2012-12-31</x:v>
      </x:c>
      <x:c r="G2370" s="5" t="n">
        <x:v>2530.56</x:v>
      </x:c>
      <x:c r="H2370" s="7" t="n">
        <x:f>G2370/E2370-1</x:f>
        <x:v>0.19218701416174344</x:v>
      </x:c>
      <x:c r="I2370" s="1" t="n">
        <x:v>1</x:v>
      </x:c>
      <x:c r="J2370" s="1" t="n">
        <x:v>1</x:v>
      </x:c>
      <x:c r="K2370" s="1" t="str">
        <x:v>中证官方优先</x:v>
      </x:c>
    </x:row>
    <x:row r="2371" ht="25" customHeight="1">
      <x:c r="A2371" s="1" t="str">
        <x:v>sh000922</x:v>
      </x:c>
      <x:c r="B2371" s="1" t="str">
        <x:v>中证红利</x:v>
      </x:c>
      <x:c r="C2371" s="1" t="str">
        <x:v>2013-01</x:v>
      </x:c>
      <x:c r="D2371" s="1" t="str">
        <x:v>2012-12-31</x:v>
      </x:c>
      <x:c r="E2371" s="5" t="n">
        <x:v>2530.56</x:v>
      </x:c>
      <x:c r="F2371" s="6" t="str">
        <x:v>2013-01-31</x:v>
      </x:c>
      <x:c r="G2371" s="5" t="n">
        <x:v>2747.54</x:v>
      </x:c>
      <x:c r="H2371" s="7" t="n">
        <x:f>G2371/E2371-1</x:f>
        <x:v>0.0857438669701569</x:v>
      </x:c>
      <x:c r="I2371" s="1" t="n">
        <x:v>1</x:v>
      </x:c>
      <x:c r="J2371" s="1" t="n">
        <x:v>1</x:v>
      </x:c>
      <x:c r="K2371" s="1" t="str">
        <x:v>中证官方优先</x:v>
      </x:c>
    </x:row>
    <x:row r="2372" ht="25" customHeight="1">
      <x:c r="A2372" s="1" t="str">
        <x:v>sh000922</x:v>
      </x:c>
      <x:c r="B2372" s="1" t="str">
        <x:v>中证红利</x:v>
      </x:c>
      <x:c r="C2372" s="1" t="str">
        <x:v>2013-02</x:v>
      </x:c>
      <x:c r="D2372" s="1" t="str">
        <x:v>2013-01-31</x:v>
      </x:c>
      <x:c r="E2372" s="5" t="n">
        <x:v>2747.54</x:v>
      </x:c>
      <x:c r="F2372" s="6" t="str">
        <x:v>2013-02-28</x:v>
      </x:c>
      <x:c r="G2372" s="5" t="n">
        <x:v>2712.25</x:v>
      </x:c>
      <x:c r="H2372" s="7" t="n">
        <x:f>G2372/E2372-1</x:f>
        <x:v>-0.012844217008669556</x:v>
      </x:c>
      <x:c r="I2372" s="1" t="n">
        <x:v>1</x:v>
      </x:c>
      <x:c r="J2372" s="1" t="n">
        <x:v>1</x:v>
      </x:c>
      <x:c r="K2372" s="1" t="str">
        <x:v>中证官方优先</x:v>
      </x:c>
    </x:row>
    <x:row r="2373" ht="25" customHeight="1">
      <x:c r="A2373" s="1" t="str">
        <x:v>sh000922</x:v>
      </x:c>
      <x:c r="B2373" s="1" t="str">
        <x:v>中证红利</x:v>
      </x:c>
      <x:c r="C2373" s="1" t="str">
        <x:v>2013-03</x:v>
      </x:c>
      <x:c r="D2373" s="1" t="str">
        <x:v>2013-02-28</x:v>
      </x:c>
      <x:c r="E2373" s="5" t="n">
        <x:v>2712.25</x:v>
      </x:c>
      <x:c r="F2373" s="6" t="str">
        <x:v>2013-03-29</x:v>
      </x:c>
      <x:c r="G2373" s="5" t="n">
        <x:v>2522.29</x:v>
      </x:c>
      <x:c r="H2373" s="7" t="n">
        <x:f>G2373/E2373-1</x:f>
        <x:v>-0.0700377915015209</x:v>
      </x:c>
      <x:c r="I2373" s="1" t="n">
        <x:v>1</x:v>
      </x:c>
      <x:c r="J2373" s="1" t="n">
        <x:v>1</x:v>
      </x:c>
      <x:c r="K2373" s="1" t="str">
        <x:v>中证官方优先</x:v>
      </x:c>
    </x:row>
    <x:row r="2374" ht="25" customHeight="1">
      <x:c r="A2374" s="1" t="str">
        <x:v>sh000922</x:v>
      </x:c>
      <x:c r="B2374" s="1" t="str">
        <x:v>中证红利</x:v>
      </x:c>
      <x:c r="C2374" s="1" t="str">
        <x:v>2013-04</x:v>
      </x:c>
      <x:c r="D2374" s="1" t="str">
        <x:v>2013-03-29</x:v>
      </x:c>
      <x:c r="E2374" s="5" t="n">
        <x:v>2522.29</x:v>
      </x:c>
      <x:c r="F2374" s="6" t="str">
        <x:v>2013-04-26</x:v>
      </x:c>
      <x:c r="G2374" s="5" t="n">
        <x:v>2474.5</x:v>
      </x:c>
      <x:c r="H2374" s="7" t="n">
        <x:f>G2374/E2374-1</x:f>
        <x:v>-0.018947067942227114</x:v>
      </x:c>
      <x:c r="I2374" s="1" t="n">
        <x:v>1</x:v>
      </x:c>
      <x:c r="J2374" s="1" t="n">
        <x:v>1</x:v>
      </x:c>
      <x:c r="K2374" s="1" t="str">
        <x:v>中证官方优先</x:v>
      </x:c>
    </x:row>
    <x:row r="2375" ht="25" customHeight="1">
      <x:c r="A2375" s="1" t="str">
        <x:v>sh000922</x:v>
      </x:c>
      <x:c r="B2375" s="1" t="str">
        <x:v>中证红利</x:v>
      </x:c>
      <x:c r="C2375" s="1" t="str">
        <x:v>2013-05</x:v>
      </x:c>
      <x:c r="D2375" s="1" t="str">
        <x:v>2013-04-26</x:v>
      </x:c>
      <x:c r="E2375" s="5" t="n">
        <x:v>2474.5</x:v>
      </x:c>
      <x:c r="F2375" s="6" t="str">
        <x:v>2013-05-31</x:v>
      </x:c>
      <x:c r="G2375" s="5" t="n">
        <x:v>2613.04</x:v>
      </x:c>
      <x:c r="H2375" s="7" t="n">
        <x:f>G2375/E2375-1</x:f>
        <x:v>0.05598706809456444</x:v>
      </x:c>
      <x:c r="I2375" s="1" t="n">
        <x:v>1</x:v>
      </x:c>
      <x:c r="J2375" s="1" t="n">
        <x:v>1</x:v>
      </x:c>
      <x:c r="K2375" s="1" t="str">
        <x:v>中证官方优先</x:v>
      </x:c>
    </x:row>
    <x:row r="2376" ht="25" customHeight="1">
      <x:c r="A2376" s="1" t="str">
        <x:v>sh000922</x:v>
      </x:c>
      <x:c r="B2376" s="1" t="str">
        <x:v>中证红利</x:v>
      </x:c>
      <x:c r="C2376" s="1" t="str">
        <x:v>2013-06</x:v>
      </x:c>
      <x:c r="D2376" s="1" t="str">
        <x:v>2013-05-31</x:v>
      </x:c>
      <x:c r="E2376" s="5" t="n">
        <x:v>2613.04</x:v>
      </x:c>
      <x:c r="F2376" s="6" t="str">
        <x:v>2013-06-28</x:v>
      </x:c>
      <x:c r="G2376" s="5" t="n">
        <x:v>2182.98</x:v>
      </x:c>
      <x:c r="H2376" s="7" t="n">
        <x:f>G2376/E2376-1</x:f>
        <x:v>-0.16458224902795204</x:v>
      </x:c>
      <x:c r="I2376" s="1" t="n">
        <x:v>1</x:v>
      </x:c>
      <x:c r="J2376" s="1" t="n">
        <x:v>1</x:v>
      </x:c>
      <x:c r="K2376" s="1" t="str">
        <x:v>中证官方优先</x:v>
      </x:c>
    </x:row>
    <x:row r="2377" ht="25" customHeight="1">
      <x:c r="A2377" s="1" t="str">
        <x:v>sh000922</x:v>
      </x:c>
      <x:c r="B2377" s="1" t="str">
        <x:v>中证红利</x:v>
      </x:c>
      <x:c r="C2377" s="1" t="str">
        <x:v>2013-07</x:v>
      </x:c>
      <x:c r="D2377" s="1" t="str">
        <x:v>2013-06-28</x:v>
      </x:c>
      <x:c r="E2377" s="5" t="n">
        <x:v>2182.98</x:v>
      </x:c>
      <x:c r="F2377" s="6" t="str">
        <x:v>2013-07-31</x:v>
      </x:c>
      <x:c r="G2377" s="5" t="n">
        <x:v>2153.9</x:v>
      </x:c>
      <x:c r="H2377" s="7" t="n">
        <x:f>G2377/E2377-1</x:f>
        <x:v>-0.013321239773154137</x:v>
      </x:c>
      <x:c r="I2377" s="1" t="n">
        <x:v>1</x:v>
      </x:c>
      <x:c r="J2377" s="1" t="n">
        <x:v>1</x:v>
      </x:c>
      <x:c r="K2377" s="1" t="str">
        <x:v>中证官方优先</x:v>
      </x:c>
    </x:row>
    <x:row r="2378" ht="25" customHeight="1">
      <x:c r="A2378" s="1" t="str">
        <x:v>sh000922</x:v>
      </x:c>
      <x:c r="B2378" s="1" t="str">
        <x:v>中证红利</x:v>
      </x:c>
      <x:c r="C2378" s="1" t="str">
        <x:v>2013-08</x:v>
      </x:c>
      <x:c r="D2378" s="1" t="str">
        <x:v>2013-07-31</x:v>
      </x:c>
      <x:c r="E2378" s="5" t="n">
        <x:v>2153.9</x:v>
      </x:c>
      <x:c r="F2378" s="6" t="str">
        <x:v>2013-08-30</x:v>
      </x:c>
      <x:c r="G2378" s="5" t="n">
        <x:v>2271.29</x:v>
      </x:c>
      <x:c r="H2378" s="7" t="n">
        <x:f>G2378/E2378-1</x:f>
        <x:v>0.054501137471563155</x:v>
      </x:c>
      <x:c r="I2378" s="1" t="n">
        <x:v>1</x:v>
      </x:c>
      <x:c r="J2378" s="1" t="n">
        <x:v>1</x:v>
      </x:c>
      <x:c r="K2378" s="1" t="str">
        <x:v>中证官方优先</x:v>
      </x:c>
    </x:row>
    <x:row r="2379" ht="25" customHeight="1">
      <x:c r="A2379" s="1" t="str">
        <x:v>sh000922</x:v>
      </x:c>
      <x:c r="B2379" s="1" t="str">
        <x:v>中证红利</x:v>
      </x:c>
      <x:c r="C2379" s="1" t="str">
        <x:v>2013-09</x:v>
      </x:c>
      <x:c r="D2379" s="1" t="str">
        <x:v>2013-08-30</x:v>
      </x:c>
      <x:c r="E2379" s="5" t="n">
        <x:v>2271.29</x:v>
      </x:c>
      <x:c r="F2379" s="6" t="str">
        <x:v>2013-09-30</x:v>
      </x:c>
      <x:c r="G2379" s="5" t="n">
        <x:v>2368.54</x:v>
      </x:c>
      <x:c r="H2379" s="7" t="n">
        <x:f>G2379/E2379-1</x:f>
        <x:v>0.042817077519823554</x:v>
      </x:c>
      <x:c r="I2379" s="1" t="n">
        <x:v>1</x:v>
      </x:c>
      <x:c r="J2379" s="1" t="n">
        <x:v>1</x:v>
      </x:c>
      <x:c r="K2379" s="1" t="str">
        <x:v>中证官方优先</x:v>
      </x:c>
    </x:row>
    <x:row r="2380" ht="25" customHeight="1">
      <x:c r="A2380" s="1" t="str">
        <x:v>sh000922</x:v>
      </x:c>
      <x:c r="B2380" s="1" t="str">
        <x:v>中证红利</x:v>
      </x:c>
      <x:c r="C2380" s="1" t="str">
        <x:v>2013-10</x:v>
      </x:c>
      <x:c r="D2380" s="1" t="str">
        <x:v>2013-09-30</x:v>
      </x:c>
      <x:c r="E2380" s="5" t="n">
        <x:v>2368.54</x:v>
      </x:c>
      <x:c r="F2380" s="6" t="str">
        <x:v>2013-10-31</x:v>
      </x:c>
      <x:c r="G2380" s="5" t="n">
        <x:v>2343.25</x:v>
      </x:c>
      <x:c r="H2380" s="7" t="n">
        <x:f>G2380/E2380-1</x:f>
        <x:v>-0.010677463754042549</x:v>
      </x:c>
      <x:c r="I2380" s="1" t="n">
        <x:v>1</x:v>
      </x:c>
      <x:c r="J2380" s="1" t="n">
        <x:v>1</x:v>
      </x:c>
      <x:c r="K2380" s="1" t="str">
        <x:v>中证官方优先</x:v>
      </x:c>
    </x:row>
    <x:row r="2381" ht="25" customHeight="1">
      <x:c r="A2381" s="1" t="str">
        <x:v>sh000922</x:v>
      </x:c>
      <x:c r="B2381" s="1" t="str">
        <x:v>中证红利</x:v>
      </x:c>
      <x:c r="C2381" s="1" t="str">
        <x:v>2013-11</x:v>
      </x:c>
      <x:c r="D2381" s="1" t="str">
        <x:v>2013-10-31</x:v>
      </x:c>
      <x:c r="E2381" s="5" t="n">
        <x:v>2343.25</x:v>
      </x:c>
      <x:c r="F2381" s="6" t="str">
        <x:v>2013-11-29</x:v>
      </x:c>
      <x:c r="G2381" s="5" t="n">
        <x:v>2379.23</x:v>
      </x:c>
      <x:c r="H2381" s="7" t="n">
        <x:f>G2381/E2381-1</x:f>
        <x:v>0.015354742345033534</x:v>
      </x:c>
      <x:c r="I2381" s="1" t="n">
        <x:v>1</x:v>
      </x:c>
      <x:c r="J2381" s="1" t="n">
        <x:v>1</x:v>
      </x:c>
      <x:c r="K2381" s="1" t="str">
        <x:v>中证官方优先</x:v>
      </x:c>
    </x:row>
    <x:row r="2382" ht="25" customHeight="1">
      <x:c r="A2382" s="1" t="str">
        <x:v>sh000922</x:v>
      </x:c>
      <x:c r="B2382" s="1" t="str">
        <x:v>中证红利</x:v>
      </x:c>
      <x:c r="C2382" s="1" t="str">
        <x:v>2013-12</x:v>
      </x:c>
      <x:c r="D2382" s="1" t="str">
        <x:v>2013-11-29</x:v>
      </x:c>
      <x:c r="E2382" s="5" t="n">
        <x:v>2379.23</x:v>
      </x:c>
      <x:c r="F2382" s="6" t="str">
        <x:v>2013-12-31</x:v>
      </x:c>
      <x:c r="G2382" s="5" t="n">
        <x:v>2273.68</x:v>
      </x:c>
      <x:c r="H2382" s="7" t="n">
        <x:f>G2382/E2382-1</x:f>
        <x:v>-0.044363092260941595</x:v>
      </x:c>
      <x:c r="I2382" s="1" t="n">
        <x:v>1</x:v>
      </x:c>
      <x:c r="J2382" s="1" t="n">
        <x:v>1</x:v>
      </x:c>
      <x:c r="K2382" s="1" t="str">
        <x:v>中证官方优先</x:v>
      </x:c>
    </x:row>
    <x:row r="2383" ht="25" customHeight="1">
      <x:c r="A2383" s="1" t="str">
        <x:v>sh000922</x:v>
      </x:c>
      <x:c r="B2383" s="1" t="str">
        <x:v>中证红利</x:v>
      </x:c>
      <x:c r="C2383" s="1" t="str">
        <x:v>2014-01</x:v>
      </x:c>
      <x:c r="D2383" s="1" t="str">
        <x:v>2013-12-31</x:v>
      </x:c>
      <x:c r="E2383" s="5" t="n">
        <x:v>2273.68</x:v>
      </x:c>
      <x:c r="F2383" s="6" t="str">
        <x:v>2014-01-30</x:v>
      </x:c>
      <x:c r="G2383" s="5" t="n">
        <x:v>2208.28</x:v>
      </x:c>
      <x:c r="H2383" s="7" t="n">
        <x:f>G2383/E2383-1</x:f>
        <x:v>-0.028763942155448308</x:v>
      </x:c>
      <x:c r="I2383" s="1" t="n">
        <x:v>1</x:v>
      </x:c>
      <x:c r="J2383" s="1" t="n">
        <x:v>1</x:v>
      </x:c>
      <x:c r="K2383" s="1" t="str">
        <x:v>中证官方优先</x:v>
      </x:c>
    </x:row>
    <x:row r="2384" ht="25" customHeight="1">
      <x:c r="A2384" s="1" t="str">
        <x:v>sh000922</x:v>
      </x:c>
      <x:c r="B2384" s="1" t="str">
        <x:v>中证红利</x:v>
      </x:c>
      <x:c r="C2384" s="1" t="str">
        <x:v>2014-02</x:v>
      </x:c>
      <x:c r="D2384" s="1" t="str">
        <x:v>2014-01-30</x:v>
      </x:c>
      <x:c r="E2384" s="5" t="n">
        <x:v>2208.28</x:v>
      </x:c>
      <x:c r="F2384" s="6" t="str">
        <x:v>2014-02-28</x:v>
      </x:c>
      <x:c r="G2384" s="5" t="n">
        <x:v>2276.91</x:v>
      </x:c>
      <x:c r="H2384" s="7" t="n">
        <x:f>G2384/E2384-1</x:f>
        <x:v>0.031078486423822937</x:v>
      </x:c>
      <x:c r="I2384" s="1" t="n">
        <x:v>1</x:v>
      </x:c>
      <x:c r="J2384" s="1" t="n">
        <x:v>1</x:v>
      </x:c>
      <x:c r="K2384" s="1" t="str">
        <x:v>中证官方优先</x:v>
      </x:c>
    </x:row>
    <x:row r="2385" ht="25" customHeight="1">
      <x:c r="A2385" s="1" t="str">
        <x:v>sh000922</x:v>
      </x:c>
      <x:c r="B2385" s="1" t="str">
        <x:v>中证红利</x:v>
      </x:c>
      <x:c r="C2385" s="1" t="str">
        <x:v>2014-03</x:v>
      </x:c>
      <x:c r="D2385" s="1" t="str">
        <x:v>2014-02-28</x:v>
      </x:c>
      <x:c r="E2385" s="5" t="n">
        <x:v>2276.91</x:v>
      </x:c>
      <x:c r="F2385" s="6" t="str">
        <x:v>2014-03-31</x:v>
      </x:c>
      <x:c r="G2385" s="5" t="n">
        <x:v>2244.32</x:v>
      </x:c>
      <x:c r="H2385" s="7" t="n">
        <x:f>G2385/E2385-1</x:f>
        <x:v>-0.014313257880197106</x:v>
      </x:c>
      <x:c r="I2385" s="1" t="n">
        <x:v>1</x:v>
      </x:c>
      <x:c r="J2385" s="1" t="n">
        <x:v>1</x:v>
      </x:c>
      <x:c r="K2385" s="1" t="str">
        <x:v>中证官方优先</x:v>
      </x:c>
    </x:row>
    <x:row r="2386" ht="25" customHeight="1">
      <x:c r="A2386" s="1" t="str">
        <x:v>sh000922</x:v>
      </x:c>
      <x:c r="B2386" s="1" t="str">
        <x:v>中证红利</x:v>
      </x:c>
      <x:c r="C2386" s="1" t="str">
        <x:v>2014-04</x:v>
      </x:c>
      <x:c r="D2386" s="1" t="str">
        <x:v>2014-03-31</x:v>
      </x:c>
      <x:c r="E2386" s="5" t="n">
        <x:v>2244.32</x:v>
      </x:c>
      <x:c r="F2386" s="6" t="str">
        <x:v>2014-04-30</x:v>
      </x:c>
      <x:c r="G2386" s="5" t="n">
        <x:v>2215.1</x:v>
      </x:c>
      <x:c r="H2386" s="7" t="n">
        <x:f>G2386/E2386-1</x:f>
        <x:v>-0.01301953375632725</x:v>
      </x:c>
      <x:c r="I2386" s="1" t="n">
        <x:v>1</x:v>
      </x:c>
      <x:c r="J2386" s="1" t="n">
        <x:v>1</x:v>
      </x:c>
      <x:c r="K2386" s="1" t="str">
        <x:v>中证官方优先</x:v>
      </x:c>
    </x:row>
    <x:row r="2387" ht="25" customHeight="1">
      <x:c r="A2387" s="1" t="str">
        <x:v>sh000922</x:v>
      </x:c>
      <x:c r="B2387" s="1" t="str">
        <x:v>中证红利</x:v>
      </x:c>
      <x:c r="C2387" s="1" t="str">
        <x:v>2014-05</x:v>
      </x:c>
      <x:c r="D2387" s="1" t="str">
        <x:v>2014-04-30</x:v>
      </x:c>
      <x:c r="E2387" s="5" t="n">
        <x:v>2215.1</x:v>
      </x:c>
      <x:c r="F2387" s="6" t="str">
        <x:v>2014-05-30</x:v>
      </x:c>
      <x:c r="G2387" s="5" t="n">
        <x:v>2204.89</x:v>
      </x:c>
      <x:c r="H2387" s="7" t="n">
        <x:f>G2387/E2387-1</x:f>
        <x:v>-0.004609272719064639</x:v>
      </x:c>
      <x:c r="I2387" s="1" t="n">
        <x:v>1</x:v>
      </x:c>
      <x:c r="J2387" s="1" t="n">
        <x:v>1</x:v>
      </x:c>
      <x:c r="K2387" s="1" t="str">
        <x:v>中证官方优先</x:v>
      </x:c>
    </x:row>
    <x:row r="2388" ht="25" customHeight="1">
      <x:c r="A2388" s="1" t="str">
        <x:v>sh000922</x:v>
      </x:c>
      <x:c r="B2388" s="1" t="str">
        <x:v>中证红利</x:v>
      </x:c>
      <x:c r="C2388" s="1" t="str">
        <x:v>2014-06</x:v>
      </x:c>
      <x:c r="D2388" s="1" t="str">
        <x:v>2014-05-30</x:v>
      </x:c>
      <x:c r="E2388" s="5" t="n">
        <x:v>2204.89</x:v>
      </x:c>
      <x:c r="F2388" s="6" t="str">
        <x:v>2014-06-30</x:v>
      </x:c>
      <x:c r="G2388" s="5" t="n">
        <x:v>2232.08</x:v>
      </x:c>
      <x:c r="H2388" s="7" t="n">
        <x:f>G2388/E2388-1</x:f>
        <x:v>0.012331680945534718</x:v>
      </x:c>
      <x:c r="I2388" s="1" t="n">
        <x:v>1</x:v>
      </x:c>
      <x:c r="J2388" s="1" t="n">
        <x:v>1</x:v>
      </x:c>
      <x:c r="K2388" s="1" t="str">
        <x:v>中证官方优先</x:v>
      </x:c>
    </x:row>
    <x:row r="2389" ht="25" customHeight="1">
      <x:c r="A2389" s="1" t="str">
        <x:v>sh000922</x:v>
      </x:c>
      <x:c r="B2389" s="1" t="str">
        <x:v>中证红利</x:v>
      </x:c>
      <x:c r="C2389" s="1" t="str">
        <x:v>2014-07</x:v>
      </x:c>
      <x:c r="D2389" s="1" t="str">
        <x:v>2014-06-30</x:v>
      </x:c>
      <x:c r="E2389" s="5" t="n">
        <x:v>2232.08</x:v>
      </x:c>
      <x:c r="F2389" s="6" t="str">
        <x:v>2014-07-31</x:v>
      </x:c>
      <x:c r="G2389" s="5" t="n">
        <x:v>2450.5</x:v>
      </x:c>
      <x:c r="H2389" s="7" t="n">
        <x:f>G2389/E2389-1</x:f>
        <x:v>0.09785491559442328</x:v>
      </x:c>
      <x:c r="I2389" s="1" t="n">
        <x:v>1</x:v>
      </x:c>
      <x:c r="J2389" s="1" t="n">
        <x:v>1</x:v>
      </x:c>
      <x:c r="K2389" s="1" t="str">
        <x:v>中证官方优先</x:v>
      </x:c>
    </x:row>
    <x:row r="2390" ht="25" customHeight="1">
      <x:c r="A2390" s="1" t="str">
        <x:v>sh000922</x:v>
      </x:c>
      <x:c r="B2390" s="1" t="str">
        <x:v>中证红利</x:v>
      </x:c>
      <x:c r="C2390" s="1" t="str">
        <x:v>2014-08</x:v>
      </x:c>
      <x:c r="D2390" s="1" t="str">
        <x:v>2014-07-31</x:v>
      </x:c>
      <x:c r="E2390" s="5" t="n">
        <x:v>2450.5</x:v>
      </x:c>
      <x:c r="F2390" s="6" t="str">
        <x:v>2014-08-29</x:v>
      </x:c>
      <x:c r="G2390" s="5" t="n">
        <x:v>2462.89</x:v>
      </x:c>
      <x:c r="H2390" s="7" t="n">
        <x:f>G2390/E2390-1</x:f>
        <x:v>0.005056110997755603</x:v>
      </x:c>
      <x:c r="I2390" s="1" t="n">
        <x:v>1</x:v>
      </x:c>
      <x:c r="J2390" s="1" t="n">
        <x:v>1</x:v>
      </x:c>
      <x:c r="K2390" s="1" t="str">
        <x:v>中证官方优先</x:v>
      </x:c>
    </x:row>
    <x:row r="2391" ht="25" customHeight="1">
      <x:c r="A2391" s="1" t="str">
        <x:v>sh000922</x:v>
      </x:c>
      <x:c r="B2391" s="1" t="str">
        <x:v>中证红利</x:v>
      </x:c>
      <x:c r="C2391" s="1" t="str">
        <x:v>2014-09</x:v>
      </x:c>
      <x:c r="D2391" s="1" t="str">
        <x:v>2014-08-29</x:v>
      </x:c>
      <x:c r="E2391" s="5" t="n">
        <x:v>2462.89</x:v>
      </x:c>
      <x:c r="F2391" s="6" t="str">
        <x:v>2014-09-30</x:v>
      </x:c>
      <x:c r="G2391" s="5" t="n">
        <x:v>2629.08</x:v>
      </x:c>
      <x:c r="H2391" s="7" t="n">
        <x:f>G2391/E2391-1</x:f>
        <x:v>0.06747763805935314</x:v>
      </x:c>
      <x:c r="I2391" s="1" t="n">
        <x:v>1</x:v>
      </x:c>
      <x:c r="J2391" s="1" t="n">
        <x:v>1</x:v>
      </x:c>
      <x:c r="K2391" s="1" t="str">
        <x:v>中证官方优先</x:v>
      </x:c>
    </x:row>
    <x:row r="2392" ht="25" customHeight="1">
      <x:c r="A2392" s="1" t="str">
        <x:v>sh000922</x:v>
      </x:c>
      <x:c r="B2392" s="1" t="str">
        <x:v>中证红利</x:v>
      </x:c>
      <x:c r="C2392" s="1" t="str">
        <x:v>2014-10</x:v>
      </x:c>
      <x:c r="D2392" s="1" t="str">
        <x:v>2014-09-30</x:v>
      </x:c>
      <x:c r="E2392" s="5" t="n">
        <x:v>2629.08</x:v>
      </x:c>
      <x:c r="F2392" s="6" t="str">
        <x:v>2014-10-31</x:v>
      </x:c>
      <x:c r="G2392" s="5" t="n">
        <x:v>2691.59</x:v>
      </x:c>
      <x:c r="H2392" s="7" t="n">
        <x:f>G2392/E2392-1</x:f>
        <x:v>0.023776378048595115</x:v>
      </x:c>
      <x:c r="I2392" s="1" t="n">
        <x:v>1</x:v>
      </x:c>
      <x:c r="J2392" s="1" t="n">
        <x:v>1</x:v>
      </x:c>
      <x:c r="K2392" s="1" t="str">
        <x:v>中证官方优先</x:v>
      </x:c>
    </x:row>
    <x:row r="2393" ht="25" customHeight="1">
      <x:c r="A2393" s="1" t="str">
        <x:v>sh000922</x:v>
      </x:c>
      <x:c r="B2393" s="1" t="str">
        <x:v>中证红利</x:v>
      </x:c>
      <x:c r="C2393" s="1" t="str">
        <x:v>2014-11</x:v>
      </x:c>
      <x:c r="D2393" s="1" t="str">
        <x:v>2014-10-31</x:v>
      </x:c>
      <x:c r="E2393" s="5" t="n">
        <x:v>2691.59</x:v>
      </x:c>
      <x:c r="F2393" s="6" t="str">
        <x:v>2014-11-28</x:v>
      </x:c>
      <x:c r="G2393" s="5" t="n">
        <x:v>2923.64</x:v>
      </x:c>
      <x:c r="H2393" s="7" t="n">
        <x:f>G2393/E2393-1</x:f>
        <x:v>0.08621298191775106</x:v>
      </x:c>
      <x:c r="I2393" s="1" t="n">
        <x:v>1</x:v>
      </x:c>
      <x:c r="J2393" s="1" t="n">
        <x:v>1</x:v>
      </x:c>
      <x:c r="K2393" s="1" t="str">
        <x:v>中证官方优先</x:v>
      </x:c>
    </x:row>
    <x:row r="2394" ht="25" customHeight="1">
      <x:c r="A2394" s="1" t="str">
        <x:v>sh000922</x:v>
      </x:c>
      <x:c r="B2394" s="1" t="str">
        <x:v>中证红利</x:v>
      </x:c>
      <x:c r="C2394" s="1" t="str">
        <x:v>2014-12</x:v>
      </x:c>
      <x:c r="D2394" s="1" t="str">
        <x:v>2014-11-28</x:v>
      </x:c>
      <x:c r="E2394" s="5" t="n">
        <x:v>2923.64</x:v>
      </x:c>
      <x:c r="F2394" s="6" t="str">
        <x:v>2014-12-31</x:v>
      </x:c>
      <x:c r="G2394" s="5" t="n">
        <x:v>3448.81</x:v>
      </x:c>
      <x:c r="H2394" s="7" t="n">
        <x:f>G2394/E2394-1</x:f>
        <x:v>0.17962881886962823</x:v>
      </x:c>
      <x:c r="I2394" s="1" t="n">
        <x:v>1</x:v>
      </x:c>
      <x:c r="J2394" s="1" t="n">
        <x:v>1</x:v>
      </x:c>
      <x:c r="K2394" s="1" t="str">
        <x:v>中证官方优先</x:v>
      </x:c>
    </x:row>
    <x:row r="2395" ht="25" customHeight="1">
      <x:c r="A2395" s="1" t="str">
        <x:v>sh000922</x:v>
      </x:c>
      <x:c r="B2395" s="1" t="str">
        <x:v>中证红利</x:v>
      </x:c>
      <x:c r="C2395" s="1" t="str">
        <x:v>2015-01</x:v>
      </x:c>
      <x:c r="D2395" s="1" t="str">
        <x:v>2014-12-31</x:v>
      </x:c>
      <x:c r="E2395" s="5" t="n">
        <x:v>3448.81</x:v>
      </x:c>
      <x:c r="F2395" s="6" t="str">
        <x:v>2015-01-30</x:v>
      </x:c>
      <x:c r="G2395" s="5" t="n">
        <x:v>3452.85</x:v>
      </x:c>
      <x:c r="H2395" s="7" t="n">
        <x:f>G2395/E2395-1</x:f>
        <x:v>0.0011714185472671002</x:v>
      </x:c>
      <x:c r="I2395" s="1" t="n">
        <x:v>1</x:v>
      </x:c>
      <x:c r="J2395" s="1" t="n">
        <x:v>1</x:v>
      </x:c>
      <x:c r="K2395" s="1" t="str">
        <x:v>中证官方优先</x:v>
      </x:c>
    </x:row>
    <x:row r="2396" ht="25" customHeight="1">
      <x:c r="A2396" s="1" t="str">
        <x:v>sh000922</x:v>
      </x:c>
      <x:c r="B2396" s="1" t="str">
        <x:v>中证红利</x:v>
      </x:c>
      <x:c r="C2396" s="1" t="str">
        <x:v>2015-02</x:v>
      </x:c>
      <x:c r="D2396" s="1" t="str">
        <x:v>2015-01-30</x:v>
      </x:c>
      <x:c r="E2396" s="5" t="n">
        <x:v>3452.85</x:v>
      </x:c>
      <x:c r="F2396" s="6" t="str">
        <x:v>2015-02-27</x:v>
      </x:c>
      <x:c r="G2396" s="5" t="n">
        <x:v>3522.47</x:v>
      </x:c>
      <x:c r="H2396" s="7" t="n">
        <x:f>G2396/E2396-1</x:f>
        <x:v>0.020163053709254752</x:v>
      </x:c>
      <x:c r="I2396" s="1" t="n">
        <x:v>1</x:v>
      </x:c>
      <x:c r="J2396" s="1" t="n">
        <x:v>1</x:v>
      </x:c>
      <x:c r="K2396" s="1" t="str">
        <x:v>中证官方优先</x:v>
      </x:c>
    </x:row>
    <x:row r="2397" ht="25" customHeight="1">
      <x:c r="A2397" s="1" t="str">
        <x:v>sh000922</x:v>
      </x:c>
      <x:c r="B2397" s="1" t="str">
        <x:v>中证红利</x:v>
      </x:c>
      <x:c r="C2397" s="1" t="str">
        <x:v>2015-03</x:v>
      </x:c>
      <x:c r="D2397" s="1" t="str">
        <x:v>2015-02-27</x:v>
      </x:c>
      <x:c r="E2397" s="5" t="n">
        <x:v>3522.47</x:v>
      </x:c>
      <x:c r="F2397" s="6" t="str">
        <x:v>2015-03-31</x:v>
      </x:c>
      <x:c r="G2397" s="5" t="n">
        <x:v>4167.37</x:v>
      </x:c>
      <x:c r="H2397" s="7" t="n">
        <x:f>G2397/E2397-1</x:f>
        <x:v>0.18308175797096937</x:v>
      </x:c>
      <x:c r="I2397" s="1" t="n">
        <x:v>1</x:v>
      </x:c>
      <x:c r="J2397" s="1" t="n">
        <x:v>1</x:v>
      </x:c>
      <x:c r="K2397" s="1" t="str">
        <x:v>中证官方优先</x:v>
      </x:c>
    </x:row>
    <x:row r="2398" ht="25" customHeight="1">
      <x:c r="A2398" s="1" t="str">
        <x:v>sh000922</x:v>
      </x:c>
      <x:c r="B2398" s="1" t="str">
        <x:v>中证红利</x:v>
      </x:c>
      <x:c r="C2398" s="1" t="str">
        <x:v>2015-04</x:v>
      </x:c>
      <x:c r="D2398" s="1" t="str">
        <x:v>2015-03-31</x:v>
      </x:c>
      <x:c r="E2398" s="5" t="n">
        <x:v>4167.37</x:v>
      </x:c>
      <x:c r="F2398" s="6" t="str">
        <x:v>2015-04-30</x:v>
      </x:c>
      <x:c r="G2398" s="5" t="n">
        <x:v>4955.86</x:v>
      </x:c>
      <x:c r="H2398" s="7" t="n">
        <x:f>G2398/E2398-1</x:f>
        <x:v>0.18920566208424017</x:v>
      </x:c>
      <x:c r="I2398" s="1" t="n">
        <x:v>1</x:v>
      </x:c>
      <x:c r="J2398" s="1" t="n">
        <x:v>1</x:v>
      </x:c>
      <x:c r="K2398" s="1" t="str">
        <x:v>中证官方优先</x:v>
      </x:c>
    </x:row>
    <x:row r="2399" ht="25" customHeight="1">
      <x:c r="A2399" s="1" t="str">
        <x:v>sh000922</x:v>
      </x:c>
      <x:c r="B2399" s="1" t="str">
        <x:v>中证红利</x:v>
      </x:c>
      <x:c r="C2399" s="1" t="str">
        <x:v>2015-05</x:v>
      </x:c>
      <x:c r="D2399" s="1" t="str">
        <x:v>2015-04-30</x:v>
      </x:c>
      <x:c r="E2399" s="5" t="n">
        <x:v>4955.86</x:v>
      </x:c>
      <x:c r="F2399" s="6" t="str">
        <x:v>2015-05-29</x:v>
      </x:c>
      <x:c r="G2399" s="5" t="n">
        <x:v>5369.28</x:v>
      </x:c>
      <x:c r="H2399" s="7" t="n">
        <x:f>G2399/E2399-1</x:f>
        <x:v>0.0834204356055257</x:v>
      </x:c>
      <x:c r="I2399" s="1" t="n">
        <x:v>1</x:v>
      </x:c>
      <x:c r="J2399" s="1" t="n">
        <x:v>1</x:v>
      </x:c>
      <x:c r="K2399" s="1" t="str">
        <x:v>中证官方优先</x:v>
      </x:c>
    </x:row>
    <x:row r="2400" ht="25" customHeight="1">
      <x:c r="A2400" s="1" t="str">
        <x:v>sh000922</x:v>
      </x:c>
      <x:c r="B2400" s="1" t="str">
        <x:v>中证红利</x:v>
      </x:c>
      <x:c r="C2400" s="1" t="str">
        <x:v>2015-06</x:v>
      </x:c>
      <x:c r="D2400" s="1" t="str">
        <x:v>2015-05-29</x:v>
      </x:c>
      <x:c r="E2400" s="5" t="n">
        <x:v>5369.28</x:v>
      </x:c>
      <x:c r="F2400" s="6" t="str">
        <x:v>2015-06-30</x:v>
      </x:c>
      <x:c r="G2400" s="5" t="n">
        <x:v>5118.2</x:v>
      </x:c>
      <x:c r="H2400" s="7" t="n">
        <x:f>G2400/E2400-1</x:f>
        <x:v>-0.046762321950056585</x:v>
      </x:c>
      <x:c r="I2400" s="1" t="n">
        <x:v>1</x:v>
      </x:c>
      <x:c r="J2400" s="1" t="n">
        <x:v>1</x:v>
      </x:c>
      <x:c r="K2400" s="1" t="str">
        <x:v>中证官方优先</x:v>
      </x:c>
    </x:row>
    <x:row r="2401" ht="25" customHeight="1">
      <x:c r="A2401" s="1" t="str">
        <x:v>sh000922</x:v>
      </x:c>
      <x:c r="B2401" s="1" t="str">
        <x:v>中证红利</x:v>
      </x:c>
      <x:c r="C2401" s="1" t="str">
        <x:v>2015-07</x:v>
      </x:c>
      <x:c r="D2401" s="1" t="str">
        <x:v>2015-06-30</x:v>
      </x:c>
      <x:c r="E2401" s="5" t="n">
        <x:v>5118.2</x:v>
      </x:c>
      <x:c r="F2401" s="6" t="str">
        <x:v>2015-07-31</x:v>
      </x:c>
      <x:c r="G2401" s="5" t="n">
        <x:v>4346.63</x:v>
      </x:c>
      <x:c r="H2401" s="7" t="n">
        <x:f>G2401/E2401-1</x:f>
        <x:v>-0.15075026376460465</x:v>
      </x:c>
      <x:c r="I2401" s="1" t="n">
        <x:v>1</x:v>
      </x:c>
      <x:c r="J2401" s="1" t="n">
        <x:v>1</x:v>
      </x:c>
      <x:c r="K2401" s="1" t="str">
        <x:v>中证官方优先</x:v>
      </x:c>
    </x:row>
    <x:row r="2402" ht="25" customHeight="1">
      <x:c r="A2402" s="1" t="str">
        <x:v>sh000922</x:v>
      </x:c>
      <x:c r="B2402" s="1" t="str">
        <x:v>中证红利</x:v>
      </x:c>
      <x:c r="C2402" s="1" t="str">
        <x:v>2015-08</x:v>
      </x:c>
      <x:c r="D2402" s="1" t="str">
        <x:v>2015-07-31</x:v>
      </x:c>
      <x:c r="E2402" s="5" t="n">
        <x:v>4346.63</x:v>
      </x:c>
      <x:c r="F2402" s="6" t="str">
        <x:v>2015-08-31</x:v>
      </x:c>
      <x:c r="G2402" s="5" t="n">
        <x:v>3784.07</x:v>
      </x:c>
      <x:c r="H2402" s="7" t="n">
        <x:f>G2402/E2402-1</x:f>
        <x:v>-0.12942440465372018</x:v>
      </x:c>
      <x:c r="I2402" s="1" t="n">
        <x:v>1</x:v>
      </x:c>
      <x:c r="J2402" s="1" t="n">
        <x:v>1</x:v>
      </x:c>
      <x:c r="K2402" s="1" t="str">
        <x:v>中证官方优先</x:v>
      </x:c>
    </x:row>
    <x:row r="2403" ht="25" customHeight="1">
      <x:c r="A2403" s="1" t="str">
        <x:v>sh000922</x:v>
      </x:c>
      <x:c r="B2403" s="1" t="str">
        <x:v>中证红利</x:v>
      </x:c>
      <x:c r="C2403" s="1" t="str">
        <x:v>2015-09</x:v>
      </x:c>
      <x:c r="D2403" s="1" t="str">
        <x:v>2015-08-31</x:v>
      </x:c>
      <x:c r="E2403" s="5" t="n">
        <x:v>3784.07</x:v>
      </x:c>
      <x:c r="F2403" s="6" t="str">
        <x:v>2015-09-30</x:v>
      </x:c>
      <x:c r="G2403" s="5" t="n">
        <x:v>3591.53</x:v>
      </x:c>
      <x:c r="H2403" s="7" t="n">
        <x:f>G2403/E2403-1</x:f>
        <x:v>-0.050881722589698364</x:v>
      </x:c>
      <x:c r="I2403" s="1" t="n">
        <x:v>1</x:v>
      </x:c>
      <x:c r="J2403" s="1" t="n">
        <x:v>1</x:v>
      </x:c>
      <x:c r="K2403" s="1" t="str">
        <x:v>中证官方优先</x:v>
      </x:c>
    </x:row>
    <x:row r="2404" ht="25" customHeight="1">
      <x:c r="A2404" s="1" t="str">
        <x:v>sh000922</x:v>
      </x:c>
      <x:c r="B2404" s="1" t="str">
        <x:v>中证红利</x:v>
      </x:c>
      <x:c r="C2404" s="1" t="str">
        <x:v>2015-10</x:v>
      </x:c>
      <x:c r="D2404" s="1" t="str">
        <x:v>2015-09-30</x:v>
      </x:c>
      <x:c r="E2404" s="5" t="n">
        <x:v>3591.53</x:v>
      </x:c>
      <x:c r="F2404" s="6" t="str">
        <x:v>2015-10-30</x:v>
      </x:c>
      <x:c r="G2404" s="5" t="n">
        <x:v>4016.33</x:v>
      </x:c>
      <x:c r="H2404" s="7" t="n">
        <x:f>G2404/E2404-1</x:f>
        <x:v>0.11827828251469419</x:v>
      </x:c>
      <x:c r="I2404" s="1" t="n">
        <x:v>1</x:v>
      </x:c>
      <x:c r="J2404" s="1" t="n">
        <x:v>1</x:v>
      </x:c>
      <x:c r="K2404" s="1" t="str">
        <x:v>中证官方优先</x:v>
      </x:c>
    </x:row>
    <x:row r="2405" ht="25" customHeight="1">
      <x:c r="A2405" s="1" t="str">
        <x:v>sh000922</x:v>
      </x:c>
      <x:c r="B2405" s="1" t="str">
        <x:v>中证红利</x:v>
      </x:c>
      <x:c r="C2405" s="1" t="str">
        <x:v>2015-11</x:v>
      </x:c>
      <x:c r="D2405" s="1" t="str">
        <x:v>2015-10-30</x:v>
      </x:c>
      <x:c r="E2405" s="5" t="n">
        <x:v>4016.33</x:v>
      </x:c>
      <x:c r="F2405" s="6" t="str">
        <x:v>2015-11-30</x:v>
      </x:c>
      <x:c r="G2405" s="5" t="n">
        <x:v>4232.35</x:v>
      </x:c>
      <x:c r="H2405" s="7" t="n">
        <x:f>G2405/E2405-1</x:f>
        <x:v>0.053785421018691215</x:v>
      </x:c>
      <x:c r="I2405" s="1" t="n">
        <x:v>1</x:v>
      </x:c>
      <x:c r="J2405" s="1" t="n">
        <x:v>1</x:v>
      </x:c>
      <x:c r="K2405" s="1" t="str">
        <x:v>中证官方优先</x:v>
      </x:c>
    </x:row>
    <x:row r="2406" ht="25" customHeight="1">
      <x:c r="A2406" s="1" t="str">
        <x:v>sh000922</x:v>
      </x:c>
      <x:c r="B2406" s="1" t="str">
        <x:v>中证红利</x:v>
      </x:c>
      <x:c r="C2406" s="1" t="str">
        <x:v>2015-12</x:v>
      </x:c>
      <x:c r="D2406" s="1" t="str">
        <x:v>2015-11-30</x:v>
      </x:c>
      <x:c r="E2406" s="5" t="n">
        <x:v>4232.35</x:v>
      </x:c>
      <x:c r="F2406" s="6" t="str">
        <x:v>2015-12-31</x:v>
      </x:c>
      <x:c r="G2406" s="5" t="n">
        <x:v>4375.17</x:v>
      </x:c>
      <x:c r="H2406" s="7" t="n">
        <x:f>G2406/E2406-1</x:f>
        <x:v>0.033744846243812576</x:v>
      </x:c>
      <x:c r="I2406" s="1" t="n">
        <x:v>1</x:v>
      </x:c>
      <x:c r="J2406" s="1" t="n">
        <x:v>1</x:v>
      </x:c>
      <x:c r="K2406" s="1" t="str">
        <x:v>中证官方优先</x:v>
      </x:c>
    </x:row>
    <x:row r="2407" ht="25" customHeight="1">
      <x:c r="A2407" s="1" t="str">
        <x:v>sh000922</x:v>
      </x:c>
      <x:c r="B2407" s="1" t="str">
        <x:v>中证红利</x:v>
      </x:c>
      <x:c r="C2407" s="1" t="str">
        <x:v>2016-01</x:v>
      </x:c>
      <x:c r="D2407" s="1" t="str">
        <x:v>2015-12-31</x:v>
      </x:c>
      <x:c r="E2407" s="5" t="n">
        <x:v>4375.17</x:v>
      </x:c>
      <x:c r="F2407" s="6" t="str">
        <x:v>2016-01-29</x:v>
      </x:c>
      <x:c r="G2407" s="5" t="n">
        <x:v>3430.87</x:v>
      </x:c>
      <x:c r="H2407" s="7" t="n">
        <x:f>G2407/E2407-1</x:f>
        <x:v>-0.2158316134001651</x:v>
      </x:c>
      <x:c r="I2407" s="1" t="n">
        <x:v>1</x:v>
      </x:c>
      <x:c r="J2407" s="1" t="n">
        <x:v>1</x:v>
      </x:c>
      <x:c r="K2407" s="1" t="str">
        <x:v>中证官方优先</x:v>
      </x:c>
    </x:row>
    <x:row r="2408" ht="25" customHeight="1">
      <x:c r="A2408" s="1" t="str">
        <x:v>sh000922</x:v>
      </x:c>
      <x:c r="B2408" s="1" t="str">
        <x:v>中证红利</x:v>
      </x:c>
      <x:c r="C2408" s="1" t="str">
        <x:v>2016-02</x:v>
      </x:c>
      <x:c r="D2408" s="1" t="str">
        <x:v>2016-01-29</x:v>
      </x:c>
      <x:c r="E2408" s="5" t="n">
        <x:v>3430.87</x:v>
      </x:c>
      <x:c r="F2408" s="6" t="str">
        <x:v>2016-02-29</x:v>
      </x:c>
      <x:c r="G2408" s="5" t="n">
        <x:v>3395.02</x:v>
      </x:c>
      <x:c r="H2408" s="7" t="n">
        <x:f>G2408/E2408-1</x:f>
        <x:v>-0.010449244652231071</x:v>
      </x:c>
      <x:c r="I2408" s="1" t="n">
        <x:v>1</x:v>
      </x:c>
      <x:c r="J2408" s="1" t="n">
        <x:v>1</x:v>
      </x:c>
      <x:c r="K2408" s="1" t="str">
        <x:v>中证官方优先</x:v>
      </x:c>
    </x:row>
    <x:row r="2409" ht="25" customHeight="1">
      <x:c r="A2409" s="1" t="str">
        <x:v>sh000922</x:v>
      </x:c>
      <x:c r="B2409" s="1" t="str">
        <x:v>中证红利</x:v>
      </x:c>
      <x:c r="C2409" s="1" t="str">
        <x:v>2016-03</x:v>
      </x:c>
      <x:c r="D2409" s="1" t="str">
        <x:v>2016-02-29</x:v>
      </x:c>
      <x:c r="E2409" s="5" t="n">
        <x:v>3395.02</x:v>
      </x:c>
      <x:c r="F2409" s="6" t="str">
        <x:v>2016-03-31</x:v>
      </x:c>
      <x:c r="G2409" s="5" t="n">
        <x:v>3793.31</x:v>
      </x:c>
      <x:c r="H2409" s="7" t="n">
        <x:f>G2409/E2409-1</x:f>
        <x:v>0.11731595101059789</x:v>
      </x:c>
      <x:c r="I2409" s="1" t="n">
        <x:v>1</x:v>
      </x:c>
      <x:c r="J2409" s="1" t="n">
        <x:v>1</x:v>
      </x:c>
      <x:c r="K2409" s="1" t="str">
        <x:v>中证官方优先</x:v>
      </x:c>
    </x:row>
    <x:row r="2410" ht="25" customHeight="1">
      <x:c r="A2410" s="1" t="str">
        <x:v>sh000922</x:v>
      </x:c>
      <x:c r="B2410" s="1" t="str">
        <x:v>中证红利</x:v>
      </x:c>
      <x:c r="C2410" s="1" t="str">
        <x:v>2016-04</x:v>
      </x:c>
      <x:c r="D2410" s="1" t="str">
        <x:v>2016-03-31</x:v>
      </x:c>
      <x:c r="E2410" s="5" t="n">
        <x:v>3793.31</x:v>
      </x:c>
      <x:c r="F2410" s="6" t="str">
        <x:v>2016-04-29</x:v>
      </x:c>
      <x:c r="G2410" s="5" t="n">
        <x:v>3751.26</x:v>
      </x:c>
      <x:c r="H2410" s="7" t="n">
        <x:f>G2410/E2410-1</x:f>
        <x:v>-0.011085305445639793</x:v>
      </x:c>
      <x:c r="I2410" s="1" t="n">
        <x:v>1</x:v>
      </x:c>
      <x:c r="J2410" s="1" t="n">
        <x:v>1</x:v>
      </x:c>
      <x:c r="K2410" s="1" t="str">
        <x:v>中证官方优先</x:v>
      </x:c>
    </x:row>
    <x:row r="2411" ht="25" customHeight="1">
      <x:c r="A2411" s="1" t="str">
        <x:v>sh000922</x:v>
      </x:c>
      <x:c r="B2411" s="1" t="str">
        <x:v>中证红利</x:v>
      </x:c>
      <x:c r="C2411" s="1" t="str">
        <x:v>2016-05</x:v>
      </x:c>
      <x:c r="D2411" s="1" t="str">
        <x:v>2016-04-29</x:v>
      </x:c>
      <x:c r="E2411" s="5" t="n">
        <x:v>3751.26</x:v>
      </x:c>
      <x:c r="F2411" s="6" t="str">
        <x:v>2016-05-31</x:v>
      </x:c>
      <x:c r="G2411" s="5" t="n">
        <x:v>3720.26</x:v>
      </x:c>
      <x:c r="H2411" s="7" t="n">
        <x:f>G2411/E2411-1</x:f>
        <x:v>-0.008263889999626794</x:v>
      </x:c>
      <x:c r="I2411" s="1" t="n">
        <x:v>1</x:v>
      </x:c>
      <x:c r="J2411" s="1" t="n">
        <x:v>1</x:v>
      </x:c>
      <x:c r="K2411" s="1" t="str">
        <x:v>中证官方优先</x:v>
      </x:c>
    </x:row>
    <x:row r="2412" ht="25" customHeight="1">
      <x:c r="A2412" s="1" t="str">
        <x:v>sh000922</x:v>
      </x:c>
      <x:c r="B2412" s="1" t="str">
        <x:v>中证红利</x:v>
      </x:c>
      <x:c r="C2412" s="1" t="str">
        <x:v>2016-06</x:v>
      </x:c>
      <x:c r="D2412" s="1" t="str">
        <x:v>2016-05-31</x:v>
      </x:c>
      <x:c r="E2412" s="5" t="n">
        <x:v>3720.26</x:v>
      </x:c>
      <x:c r="F2412" s="6" t="str">
        <x:v>2016-06-30</x:v>
      </x:c>
      <x:c r="G2412" s="5" t="n">
        <x:v>3703.5</x:v>
      </x:c>
      <x:c r="H2412" s="7" t="n">
        <x:f>G2412/E2412-1</x:f>
        <x:v>-0.004505061474198047</x:v>
      </x:c>
      <x:c r="I2412" s="1" t="n">
        <x:v>1</x:v>
      </x:c>
      <x:c r="J2412" s="1" t="n">
        <x:v>1</x:v>
      </x:c>
      <x:c r="K2412" s="1" t="str">
        <x:v>中证官方优先</x:v>
      </x:c>
    </x:row>
    <x:row r="2413" ht="25" customHeight="1">
      <x:c r="A2413" s="1" t="str">
        <x:v>sh000922</x:v>
      </x:c>
      <x:c r="B2413" s="1" t="str">
        <x:v>中证红利</x:v>
      </x:c>
      <x:c r="C2413" s="1" t="str">
        <x:v>2016-07</x:v>
      </x:c>
      <x:c r="D2413" s="1" t="str">
        <x:v>2016-06-30</x:v>
      </x:c>
      <x:c r="E2413" s="5" t="n">
        <x:v>3703.5</x:v>
      </x:c>
      <x:c r="F2413" s="6" t="str">
        <x:v>2016-07-29</x:v>
      </x:c>
      <x:c r="G2413" s="5" t="n">
        <x:v>3840.54</x:v>
      </x:c>
      <x:c r="H2413" s="7" t="n">
        <x:f>G2413/E2413-1</x:f>
        <x:v>0.0370028351559335</x:v>
      </x:c>
      <x:c r="I2413" s="1" t="n">
        <x:v>1</x:v>
      </x:c>
      <x:c r="J2413" s="1" t="n">
        <x:v>1</x:v>
      </x:c>
      <x:c r="K2413" s="1" t="str">
        <x:v>中证官方优先</x:v>
      </x:c>
    </x:row>
    <x:row r="2414" ht="25" customHeight="1">
      <x:c r="A2414" s="1" t="str">
        <x:v>sh000922</x:v>
      </x:c>
      <x:c r="B2414" s="1" t="str">
        <x:v>中证红利</x:v>
      </x:c>
      <x:c r="C2414" s="1" t="str">
        <x:v>2016-08</x:v>
      </x:c>
      <x:c r="D2414" s="1" t="str">
        <x:v>2016-07-29</x:v>
      </x:c>
      <x:c r="E2414" s="5" t="n">
        <x:v>3840.54</x:v>
      </x:c>
      <x:c r="F2414" s="6" t="str">
        <x:v>2016-08-31</x:v>
      </x:c>
      <x:c r="G2414" s="5" t="n">
        <x:v>3986.49</x:v>
      </x:c>
      <x:c r="H2414" s="7" t="n">
        <x:f>G2414/E2414-1</x:f>
        <x:v>0.038002468402880796</x:v>
      </x:c>
      <x:c r="I2414" s="1" t="n">
        <x:v>1</x:v>
      </x:c>
      <x:c r="J2414" s="1" t="n">
        <x:v>1</x:v>
      </x:c>
      <x:c r="K2414" s="1" t="str">
        <x:v>中证官方优先</x:v>
      </x:c>
    </x:row>
    <x:row r="2415" ht="25" customHeight="1">
      <x:c r="A2415" s="1" t="str">
        <x:v>sh000922</x:v>
      </x:c>
      <x:c r="B2415" s="1" t="str">
        <x:v>中证红利</x:v>
      </x:c>
      <x:c r="C2415" s="1" t="str">
        <x:v>2016-09</x:v>
      </x:c>
      <x:c r="D2415" s="1" t="str">
        <x:v>2016-08-31</x:v>
      </x:c>
      <x:c r="E2415" s="5" t="n">
        <x:v>3986.49</x:v>
      </x:c>
      <x:c r="F2415" s="6" t="str">
        <x:v>2016-09-30</x:v>
      </x:c>
      <x:c r="G2415" s="5" t="n">
        <x:v>3925.2</x:v>
      </x:c>
      <x:c r="H2415" s="7" t="n">
        <x:f>G2415/E2415-1</x:f>
        <x:v>-0.015374427127623491</x:v>
      </x:c>
      <x:c r="I2415" s="1" t="n">
        <x:v>1</x:v>
      </x:c>
      <x:c r="J2415" s="1" t="n">
        <x:v>1</x:v>
      </x:c>
      <x:c r="K2415" s="1" t="str">
        <x:v>中证官方优先</x:v>
      </x:c>
    </x:row>
    <x:row r="2416" ht="25" customHeight="1">
      <x:c r="A2416" s="1" t="str">
        <x:v>sh000922</x:v>
      </x:c>
      <x:c r="B2416" s="1" t="str">
        <x:v>中证红利</x:v>
      </x:c>
      <x:c r="C2416" s="1" t="str">
        <x:v>2016-10</x:v>
      </x:c>
      <x:c r="D2416" s="1" t="str">
        <x:v>2016-09-30</x:v>
      </x:c>
      <x:c r="E2416" s="5" t="n">
        <x:v>3925.2</x:v>
      </x:c>
      <x:c r="F2416" s="6" t="str">
        <x:v>2016-10-31</x:v>
      </x:c>
      <x:c r="G2416" s="5" t="n">
        <x:v>4031.49</x:v>
      </x:c>
      <x:c r="H2416" s="7" t="n">
        <x:f>G2416/E2416-1</x:f>
        <x:v>0.027078874961785404</x:v>
      </x:c>
      <x:c r="I2416" s="1" t="n">
        <x:v>1</x:v>
      </x:c>
      <x:c r="J2416" s="1" t="n">
        <x:v>1</x:v>
      </x:c>
      <x:c r="K2416" s="1" t="str">
        <x:v>中证官方优先</x:v>
      </x:c>
    </x:row>
    <x:row r="2417" ht="25" customHeight="1">
      <x:c r="A2417" s="1" t="str">
        <x:v>sh000922</x:v>
      </x:c>
      <x:c r="B2417" s="1" t="str">
        <x:v>中证红利</x:v>
      </x:c>
      <x:c r="C2417" s="1" t="str">
        <x:v>2016-11</x:v>
      </x:c>
      <x:c r="D2417" s="1" t="str">
        <x:v>2016-10-31</x:v>
      </x:c>
      <x:c r="E2417" s="5" t="n">
        <x:v>4031.49</x:v>
      </x:c>
      <x:c r="F2417" s="6" t="str">
        <x:v>2016-11-30</x:v>
      </x:c>
      <x:c r="G2417" s="5" t="n">
        <x:v>4250.25</x:v>
      </x:c>
      <x:c r="H2417" s="7" t="n">
        <x:f>G2417/E2417-1</x:f>
        <x:v>0.054262815981188206</x:v>
      </x:c>
      <x:c r="I2417" s="1" t="n">
        <x:v>1</x:v>
      </x:c>
      <x:c r="J2417" s="1" t="n">
        <x:v>1</x:v>
      </x:c>
      <x:c r="K2417" s="1" t="str">
        <x:v>中证官方优先</x:v>
      </x:c>
    </x:row>
    <x:row r="2418" ht="25" customHeight="1">
      <x:c r="A2418" s="1" t="str">
        <x:v>sh000922</x:v>
      </x:c>
      <x:c r="B2418" s="1" t="str">
        <x:v>中证红利</x:v>
      </x:c>
      <x:c r="C2418" s="1" t="str">
        <x:v>2016-12</x:v>
      </x:c>
      <x:c r="D2418" s="1" t="str">
        <x:v>2016-11-30</x:v>
      </x:c>
      <x:c r="E2418" s="5" t="n">
        <x:v>4250.25</x:v>
      </x:c>
      <x:c r="F2418" s="6" t="str">
        <x:v>2016-12-30</x:v>
      </x:c>
      <x:c r="G2418" s="5" t="n">
        <x:v>4040.73</x:v>
      </x:c>
      <x:c r="H2418" s="7" t="n">
        <x:f>G2418/E2418-1</x:f>
        <x:v>-0.04929592376919001</x:v>
      </x:c>
      <x:c r="I2418" s="1" t="n">
        <x:v>1</x:v>
      </x:c>
      <x:c r="J2418" s="1" t="n">
        <x:v>1</x:v>
      </x:c>
      <x:c r="K2418" s="1" t="str">
        <x:v>中证官方优先</x:v>
      </x:c>
    </x:row>
    <x:row r="2419" ht="25" customHeight="1">
      <x:c r="A2419" s="1" t="str">
        <x:v>sh000922</x:v>
      </x:c>
      <x:c r="B2419" s="1" t="str">
        <x:v>中证红利</x:v>
      </x:c>
      <x:c r="C2419" s="1" t="str">
        <x:v>2017-01</x:v>
      </x:c>
      <x:c r="D2419" s="1" t="str">
        <x:v>2016-12-30</x:v>
      </x:c>
      <x:c r="E2419" s="5" t="n">
        <x:v>4040.73</x:v>
      </x:c>
      <x:c r="F2419" s="6" t="str">
        <x:v>2017-01-26</x:v>
      </x:c>
      <x:c r="G2419" s="5" t="n">
        <x:v>4157.87</x:v>
      </x:c>
      <x:c r="H2419" s="7" t="n">
        <x:f>G2419/E2419-1</x:f>
        <x:v>0.028989811246977526</x:v>
      </x:c>
      <x:c r="I2419" s="1" t="n">
        <x:v>1</x:v>
      </x:c>
      <x:c r="J2419" s="1" t="n">
        <x:v>1</x:v>
      </x:c>
      <x:c r="K2419" s="1" t="str">
        <x:v>中证官方优先</x:v>
      </x:c>
    </x:row>
    <x:row r="2420" ht="25" customHeight="1">
      <x:c r="A2420" s="1" t="str">
        <x:v>sh000922</x:v>
      </x:c>
      <x:c r="B2420" s="1" t="str">
        <x:v>中证红利</x:v>
      </x:c>
      <x:c r="C2420" s="1" t="str">
        <x:v>2017-02</x:v>
      </x:c>
      <x:c r="D2420" s="1" t="str">
        <x:v>2017-01-26</x:v>
      </x:c>
      <x:c r="E2420" s="5" t="n">
        <x:v>4157.87</x:v>
      </x:c>
      <x:c r="F2420" s="6" t="str">
        <x:v>2017-02-28</x:v>
      </x:c>
      <x:c r="G2420" s="5" t="n">
        <x:v>4275.43</x:v>
      </x:c>
      <x:c r="H2420" s="7" t="n">
        <x:f>G2420/E2420-1</x:f>
        <x:v>0.028274092263586903</x:v>
      </x:c>
      <x:c r="I2420" s="1" t="n">
        <x:v>1</x:v>
      </x:c>
      <x:c r="J2420" s="1" t="n">
        <x:v>1</x:v>
      </x:c>
      <x:c r="K2420" s="1" t="str">
        <x:v>中证官方优先</x:v>
      </x:c>
    </x:row>
    <x:row r="2421" ht="25" customHeight="1">
      <x:c r="A2421" s="1" t="str">
        <x:v>sh000922</x:v>
      </x:c>
      <x:c r="B2421" s="1" t="str">
        <x:v>中证红利</x:v>
      </x:c>
      <x:c r="C2421" s="1" t="str">
        <x:v>2017-03</x:v>
      </x:c>
      <x:c r="D2421" s="1" t="str">
        <x:v>2017-02-28</x:v>
      </x:c>
      <x:c r="E2421" s="5" t="n">
        <x:v>4275.43</x:v>
      </x:c>
      <x:c r="F2421" s="6" t="str">
        <x:v>2017-03-31</x:v>
      </x:c>
      <x:c r="G2421" s="5" t="n">
        <x:v>4323.96</x:v>
      </x:c>
      <x:c r="H2421" s="7" t="n">
        <x:f>G2421/E2421-1</x:f>
        <x:v>0.011350905055163896</x:v>
      </x:c>
      <x:c r="I2421" s="1" t="n">
        <x:v>1</x:v>
      </x:c>
      <x:c r="J2421" s="1" t="n">
        <x:v>1</x:v>
      </x:c>
      <x:c r="K2421" s="1" t="str">
        <x:v>中证官方优先</x:v>
      </x:c>
    </x:row>
    <x:row r="2422" ht="25" customHeight="1">
      <x:c r="A2422" s="1" t="str">
        <x:v>sh000922</x:v>
      </x:c>
      <x:c r="B2422" s="1" t="str">
        <x:v>中证红利</x:v>
      </x:c>
      <x:c r="C2422" s="1" t="str">
        <x:v>2017-04</x:v>
      </x:c>
      <x:c r="D2422" s="1" t="str">
        <x:v>2017-03-31</x:v>
      </x:c>
      <x:c r="E2422" s="5" t="n">
        <x:v>4323.96</x:v>
      </x:c>
      <x:c r="F2422" s="6" t="str">
        <x:v>2017-04-28</x:v>
      </x:c>
      <x:c r="G2422" s="5" t="n">
        <x:v>4302.84</x:v>
      </x:c>
      <x:c r="H2422" s="7" t="n">
        <x:f>G2422/E2422-1</x:f>
        <x:v>-0.0048844115116698505</x:v>
      </x:c>
      <x:c r="I2422" s="1" t="n">
        <x:v>1</x:v>
      </x:c>
      <x:c r="J2422" s="1" t="n">
        <x:v>1</x:v>
      </x:c>
      <x:c r="K2422" s="1" t="str">
        <x:v>中证官方优先</x:v>
      </x:c>
    </x:row>
    <x:row r="2423" ht="25" customHeight="1">
      <x:c r="A2423" s="1" t="str">
        <x:v>sh000922</x:v>
      </x:c>
      <x:c r="B2423" s="1" t="str">
        <x:v>中证红利</x:v>
      </x:c>
      <x:c r="C2423" s="1" t="str">
        <x:v>2017-05</x:v>
      </x:c>
      <x:c r="D2423" s="1" t="str">
        <x:v>2017-04-28</x:v>
      </x:c>
      <x:c r="E2423" s="5" t="n">
        <x:v>4302.84</x:v>
      </x:c>
      <x:c r="F2423" s="6" t="str">
        <x:v>2017-05-31</x:v>
      </x:c>
      <x:c r="G2423" s="5" t="n">
        <x:v>4338.31</x:v>
      </x:c>
      <x:c r="H2423" s="7" t="n">
        <x:f>G2423/E2423-1</x:f>
        <x:v>0.00824339273596042</x:v>
      </x:c>
      <x:c r="I2423" s="1" t="n">
        <x:v>1</x:v>
      </x:c>
      <x:c r="J2423" s="1" t="n">
        <x:v>1</x:v>
      </x:c>
      <x:c r="K2423" s="1" t="str">
        <x:v>中证官方优先</x:v>
      </x:c>
    </x:row>
    <x:row r="2424" ht="25" customHeight="1">
      <x:c r="A2424" s="1" t="str">
        <x:v>sh000922</x:v>
      </x:c>
      <x:c r="B2424" s="1" t="str">
        <x:v>中证红利</x:v>
      </x:c>
      <x:c r="C2424" s="1" t="str">
        <x:v>2017-06</x:v>
      </x:c>
      <x:c r="D2424" s="1" t="str">
        <x:v>2017-05-31</x:v>
      </x:c>
      <x:c r="E2424" s="5" t="n">
        <x:v>4338.31</x:v>
      </x:c>
      <x:c r="F2424" s="6" t="str">
        <x:v>2017-06-30</x:v>
      </x:c>
      <x:c r="G2424" s="5" t="n">
        <x:v>4527.24</x:v>
      </x:c>
      <x:c r="H2424" s="7" t="n">
        <x:f>G2424/E2424-1</x:f>
        <x:v>0.04354921616942997</x:v>
      </x:c>
      <x:c r="I2424" s="1" t="n">
        <x:v>1</x:v>
      </x:c>
      <x:c r="J2424" s="1" t="n">
        <x:v>1</x:v>
      </x:c>
      <x:c r="K2424" s="1" t="str">
        <x:v>中证官方优先</x:v>
      </x:c>
    </x:row>
    <x:row r="2425" ht="25" customHeight="1">
      <x:c r="A2425" s="1" t="str">
        <x:v>sh000922</x:v>
      </x:c>
      <x:c r="B2425" s="1" t="str">
        <x:v>中证红利</x:v>
      </x:c>
      <x:c r="C2425" s="1" t="str">
        <x:v>2017-07</x:v>
      </x:c>
      <x:c r="D2425" s="1" t="str">
        <x:v>2017-06-30</x:v>
      </x:c>
      <x:c r="E2425" s="5" t="n">
        <x:v>4527.24</x:v>
      </x:c>
      <x:c r="F2425" s="6" t="str">
        <x:v>2017-07-31</x:v>
      </x:c>
      <x:c r="G2425" s="5" t="n">
        <x:v>4599.89</x:v>
      </x:c>
      <x:c r="H2425" s="7" t="n">
        <x:f>G2425/E2425-1</x:f>
        <x:v>0.016047304759633008</x:v>
      </x:c>
      <x:c r="I2425" s="1" t="n">
        <x:v>1</x:v>
      </x:c>
      <x:c r="J2425" s="1" t="n">
        <x:v>1</x:v>
      </x:c>
      <x:c r="K2425" s="1" t="str">
        <x:v>中证官方优先</x:v>
      </x:c>
    </x:row>
    <x:row r="2426" ht="25" customHeight="1">
      <x:c r="A2426" s="1" t="str">
        <x:v>sh000922</x:v>
      </x:c>
      <x:c r="B2426" s="1" t="str">
        <x:v>中证红利</x:v>
      </x:c>
      <x:c r="C2426" s="1" t="str">
        <x:v>2017-08</x:v>
      </x:c>
      <x:c r="D2426" s="1" t="str">
        <x:v>2017-07-31</x:v>
      </x:c>
      <x:c r="E2426" s="5" t="n">
        <x:v>4599.89</x:v>
      </x:c>
      <x:c r="F2426" s="6" t="str">
        <x:v>2017-08-31</x:v>
      </x:c>
      <x:c r="G2426" s="5" t="n">
        <x:v>4653.35</x:v>
      </x:c>
      <x:c r="H2426" s="7" t="n">
        <x:f>G2426/E2426-1</x:f>
        <x:v>0.011622017048233735</x:v>
      </x:c>
      <x:c r="I2426" s="1" t="n">
        <x:v>1</x:v>
      </x:c>
      <x:c r="J2426" s="1" t="n">
        <x:v>1</x:v>
      </x:c>
      <x:c r="K2426" s="1" t="str">
        <x:v>中证官方优先</x:v>
      </x:c>
    </x:row>
    <x:row r="2427" ht="25" customHeight="1">
      <x:c r="A2427" s="1" t="str">
        <x:v>sh000922</x:v>
      </x:c>
      <x:c r="B2427" s="1" t="str">
        <x:v>中证红利</x:v>
      </x:c>
      <x:c r="C2427" s="1" t="str">
        <x:v>2017-09</x:v>
      </x:c>
      <x:c r="D2427" s="1" t="str">
        <x:v>2017-08-31</x:v>
      </x:c>
      <x:c r="E2427" s="5" t="n">
        <x:v>4653.35</x:v>
      </x:c>
      <x:c r="F2427" s="6" t="str">
        <x:v>2017-09-29</x:v>
      </x:c>
      <x:c r="G2427" s="5" t="n">
        <x:v>4672.25</x:v>
      </x:c>
      <x:c r="H2427" s="7" t="n">
        <x:f>G2427/E2427-1</x:f>
        <x:v>0.004061590037284901</x:v>
      </x:c>
      <x:c r="I2427" s="1" t="n">
        <x:v>1</x:v>
      </x:c>
      <x:c r="J2427" s="1" t="n">
        <x:v>1</x:v>
      </x:c>
      <x:c r="K2427" s="1" t="str">
        <x:v>中证官方优先</x:v>
      </x:c>
    </x:row>
    <x:row r="2428" ht="25" customHeight="1">
      <x:c r="A2428" s="1" t="str">
        <x:v>sh000922</x:v>
      </x:c>
      <x:c r="B2428" s="1" t="str">
        <x:v>中证红利</x:v>
      </x:c>
      <x:c r="C2428" s="1" t="str">
        <x:v>2017-10</x:v>
      </x:c>
      <x:c r="D2428" s="1" t="str">
        <x:v>2017-09-29</x:v>
      </x:c>
      <x:c r="E2428" s="5" t="n">
        <x:v>4672.25</x:v>
      </x:c>
      <x:c r="F2428" s="6" t="str">
        <x:v>2017-10-31</x:v>
      </x:c>
      <x:c r="G2428" s="5" t="n">
        <x:v>4767.55</x:v>
      </x:c>
      <x:c r="H2428" s="7" t="n">
        <x:f>G2428/E2428-1</x:f>
        <x:v>0.02039702498796081</x:v>
      </x:c>
      <x:c r="I2428" s="1" t="n">
        <x:v>1</x:v>
      </x:c>
      <x:c r="J2428" s="1" t="n">
        <x:v>1</x:v>
      </x:c>
      <x:c r="K2428" s="1" t="str">
        <x:v>中证官方优先</x:v>
      </x:c>
    </x:row>
    <x:row r="2429" ht="25" customHeight="1">
      <x:c r="A2429" s="1" t="str">
        <x:v>sh000922</x:v>
      </x:c>
      <x:c r="B2429" s="1" t="str">
        <x:v>中证红利</x:v>
      </x:c>
      <x:c r="C2429" s="1" t="str">
        <x:v>2017-11</x:v>
      </x:c>
      <x:c r="D2429" s="1" t="str">
        <x:v>2017-10-31</x:v>
      </x:c>
      <x:c r="E2429" s="5" t="n">
        <x:v>4767.55</x:v>
      </x:c>
      <x:c r="F2429" s="6" t="str">
        <x:v>2017-11-30</x:v>
      </x:c>
      <x:c r="G2429" s="5" t="n">
        <x:v>4725.78</x:v>
      </x:c>
      <x:c r="H2429" s="7" t="n">
        <x:f>G2429/E2429-1</x:f>
        <x:v>-0.008761313462889886</x:v>
      </x:c>
      <x:c r="I2429" s="1" t="n">
        <x:v>1</x:v>
      </x:c>
      <x:c r="J2429" s="1" t="n">
        <x:v>1</x:v>
      </x:c>
      <x:c r="K2429" s="1" t="str">
        <x:v>中证官方优先</x:v>
      </x:c>
    </x:row>
    <x:row r="2430" ht="25" customHeight="1">
      <x:c r="A2430" s="1" t="str">
        <x:v>sh000922</x:v>
      </x:c>
      <x:c r="B2430" s="1" t="str">
        <x:v>中证红利</x:v>
      </x:c>
      <x:c r="C2430" s="1" t="str">
        <x:v>2017-12</x:v>
      </x:c>
      <x:c r="D2430" s="1" t="str">
        <x:v>2017-11-30</x:v>
      </x:c>
      <x:c r="E2430" s="5" t="n">
        <x:v>4725.78</x:v>
      </x:c>
      <x:c r="F2430" s="6" t="str">
        <x:v>2017-12-29</x:v>
      </x:c>
      <x:c r="G2430" s="5" t="n">
        <x:v>4750.79</x:v>
      </x:c>
      <x:c r="H2430" s="7" t="n">
        <x:f>G2430/E2430-1</x:f>
        <x:v>0.005292248052173543</x:v>
      </x:c>
      <x:c r="I2430" s="1" t="n">
        <x:v>1</x:v>
      </x:c>
      <x:c r="J2430" s="1" t="n">
        <x:v>1</x:v>
      </x:c>
      <x:c r="K2430" s="1" t="str">
        <x:v>中证官方优先</x:v>
      </x:c>
    </x:row>
    <x:row r="2431" ht="25" customHeight="1">
      <x:c r="A2431" s="1" t="str">
        <x:v>sh000922</x:v>
      </x:c>
      <x:c r="B2431" s="1" t="str">
        <x:v>中证红利</x:v>
      </x:c>
      <x:c r="C2431" s="1" t="str">
        <x:v>2018-01</x:v>
      </x:c>
      <x:c r="D2431" s="1" t="str">
        <x:v>2017-12-29</x:v>
      </x:c>
      <x:c r="E2431" s="5" t="n">
        <x:v>4750.79</x:v>
      </x:c>
      <x:c r="F2431" s="6" t="str">
        <x:v>2018-01-31</x:v>
      </x:c>
      <x:c r="G2431" s="5" t="n">
        <x:v>5071.81</x:v>
      </x:c>
      <x:c r="H2431" s="7" t="n">
        <x:f>G2431/E2431-1</x:f>
        <x:v>0.06757191961757947</x:v>
      </x:c>
      <x:c r="I2431" s="1" t="n">
        <x:v>1</x:v>
      </x:c>
      <x:c r="J2431" s="1" t="n">
        <x:v>1</x:v>
      </x:c>
      <x:c r="K2431" s="1" t="str">
        <x:v>中证官方优先</x:v>
      </x:c>
    </x:row>
    <x:row r="2432" ht="25" customHeight="1">
      <x:c r="A2432" s="1" t="str">
        <x:v>sh000922</x:v>
      </x:c>
      <x:c r="B2432" s="1" t="str">
        <x:v>中证红利</x:v>
      </x:c>
      <x:c r="C2432" s="1" t="str">
        <x:v>2018-02</x:v>
      </x:c>
      <x:c r="D2432" s="1" t="str">
        <x:v>2018-01-31</x:v>
      </x:c>
      <x:c r="E2432" s="5" t="n">
        <x:v>5071.81</x:v>
      </x:c>
      <x:c r="F2432" s="6" t="str">
        <x:v>2018-02-28</x:v>
      </x:c>
      <x:c r="G2432" s="5" t="n">
        <x:v>4789.78</x:v>
      </x:c>
      <x:c r="H2432" s="7" t="n">
        <x:f>G2432/E2432-1</x:f>
        <x:v>-0.055607366995214846</x:v>
      </x:c>
      <x:c r="I2432" s="1" t="n">
        <x:v>1</x:v>
      </x:c>
      <x:c r="J2432" s="1" t="n">
        <x:v>1</x:v>
      </x:c>
      <x:c r="K2432" s="1" t="str">
        <x:v>中证官方优先</x:v>
      </x:c>
    </x:row>
    <x:row r="2433" ht="25" customHeight="1">
      <x:c r="A2433" s="1" t="str">
        <x:v>sh000922</x:v>
      </x:c>
      <x:c r="B2433" s="1" t="str">
        <x:v>中证红利</x:v>
      </x:c>
      <x:c r="C2433" s="1" t="str">
        <x:v>2018-03</x:v>
      </x:c>
      <x:c r="D2433" s="1" t="str">
        <x:v>2018-02-28</x:v>
      </x:c>
      <x:c r="E2433" s="5" t="n">
        <x:v>4789.78</x:v>
      </x:c>
      <x:c r="F2433" s="6" t="str">
        <x:v>2018-03-30</x:v>
      </x:c>
      <x:c r="G2433" s="5" t="n">
        <x:v>4601.87</x:v>
      </x:c>
      <x:c r="H2433" s="7" t="n">
        <x:f>G2433/E2433-1</x:f>
        <x:v>-0.039231446955810045</x:v>
      </x:c>
      <x:c r="I2433" s="1" t="n">
        <x:v>1</x:v>
      </x:c>
      <x:c r="J2433" s="1" t="n">
        <x:v>1</x:v>
      </x:c>
      <x:c r="K2433" s="1" t="str">
        <x:v>中证官方优先</x:v>
      </x:c>
    </x:row>
    <x:row r="2434" ht="25" customHeight="1">
      <x:c r="A2434" s="1" t="str">
        <x:v>sh000922</x:v>
      </x:c>
      <x:c r="B2434" s="1" t="str">
        <x:v>中证红利</x:v>
      </x:c>
      <x:c r="C2434" s="1" t="str">
        <x:v>2018-04</x:v>
      </x:c>
      <x:c r="D2434" s="1" t="str">
        <x:v>2018-03-30</x:v>
      </x:c>
      <x:c r="E2434" s="5" t="n">
        <x:v>4601.87</x:v>
      </x:c>
      <x:c r="F2434" s="6" t="str">
        <x:v>2018-04-27</x:v>
      </x:c>
      <x:c r="G2434" s="5" t="n">
        <x:v>4440.9</x:v>
      </x:c>
      <x:c r="H2434" s="7" t="n">
        <x:f>G2434/E2434-1</x:f>
        <x:v>-0.03497925843189842</x:v>
      </x:c>
      <x:c r="I2434" s="1" t="n">
        <x:v>1</x:v>
      </x:c>
      <x:c r="J2434" s="1" t="n">
        <x:v>1</x:v>
      </x:c>
      <x:c r="K2434" s="1" t="str">
        <x:v>中证官方优先</x:v>
      </x:c>
    </x:row>
    <x:row r="2435" ht="25" customHeight="1">
      <x:c r="A2435" s="1" t="str">
        <x:v>sh000922</x:v>
      </x:c>
      <x:c r="B2435" s="1" t="str">
        <x:v>中证红利</x:v>
      </x:c>
      <x:c r="C2435" s="1" t="str">
        <x:v>2018-05</x:v>
      </x:c>
      <x:c r="D2435" s="1" t="str">
        <x:v>2018-04-27</x:v>
      </x:c>
      <x:c r="E2435" s="5" t="n">
        <x:v>4440.9</x:v>
      </x:c>
      <x:c r="F2435" s="6" t="str">
        <x:v>2018-05-31</x:v>
      </x:c>
      <x:c r="G2435" s="5" t="n">
        <x:v>4559.62</x:v>
      </x:c>
      <x:c r="H2435" s="7" t="n">
        <x:f>G2435/E2435-1</x:f>
        <x:v>0.026733319822558554</x:v>
      </x:c>
      <x:c r="I2435" s="1" t="n">
        <x:v>1</x:v>
      </x:c>
      <x:c r="J2435" s="1" t="n">
        <x:v>1</x:v>
      </x:c>
      <x:c r="K2435" s="1" t="str">
        <x:v>中证官方优先</x:v>
      </x:c>
    </x:row>
    <x:row r="2436" ht="25" customHeight="1">
      <x:c r="A2436" s="1" t="str">
        <x:v>sh000922</x:v>
      </x:c>
      <x:c r="B2436" s="1" t="str">
        <x:v>中证红利</x:v>
      </x:c>
      <x:c r="C2436" s="1" t="str">
        <x:v>2018-06</x:v>
      </x:c>
      <x:c r="D2436" s="1" t="str">
        <x:v>2018-05-31</x:v>
      </x:c>
      <x:c r="E2436" s="5" t="n">
        <x:v>4559.62</x:v>
      </x:c>
      <x:c r="F2436" s="6" t="str">
        <x:v>2018-06-29</x:v>
      </x:c>
      <x:c r="G2436" s="5" t="n">
        <x:v>4187.02</x:v>
      </x:c>
      <x:c r="H2436" s="7" t="n">
        <x:f>G2436/E2436-1</x:f>
        <x:v>-0.08171733609379717</x:v>
      </x:c>
      <x:c r="I2436" s="1" t="n">
        <x:v>1</x:v>
      </x:c>
      <x:c r="J2436" s="1" t="n">
        <x:v>1</x:v>
      </x:c>
      <x:c r="K2436" s="1" t="str">
        <x:v>中证官方优先</x:v>
      </x:c>
    </x:row>
    <x:row r="2437" ht="25" customHeight="1">
      <x:c r="A2437" s="1" t="str">
        <x:v>sh000922</x:v>
      </x:c>
      <x:c r="B2437" s="1" t="str">
        <x:v>中证红利</x:v>
      </x:c>
      <x:c r="C2437" s="1" t="str">
        <x:v>2018-07</x:v>
      </x:c>
      <x:c r="D2437" s="1" t="str">
        <x:v>2018-06-29</x:v>
      </x:c>
      <x:c r="E2437" s="5" t="n">
        <x:v>4187.02</x:v>
      </x:c>
      <x:c r="F2437" s="6" t="str">
        <x:v>2018-07-31</x:v>
      </x:c>
      <x:c r="G2437" s="5" t="n">
        <x:v>4207.78</x:v>
      </x:c>
      <x:c r="H2437" s="7" t="n">
        <x:f>G2437/E2437-1</x:f>
        <x:v>0.004958180280963287</x:v>
      </x:c>
      <x:c r="I2437" s="1" t="n">
        <x:v>1</x:v>
      </x:c>
      <x:c r="J2437" s="1" t="n">
        <x:v>1</x:v>
      </x:c>
      <x:c r="K2437" s="1" t="str">
        <x:v>中证官方优先</x:v>
      </x:c>
    </x:row>
    <x:row r="2438" ht="25" customHeight="1">
      <x:c r="A2438" s="1" t="str">
        <x:v>sh000922</x:v>
      </x:c>
      <x:c r="B2438" s="1" t="str">
        <x:v>中证红利</x:v>
      </x:c>
      <x:c r="C2438" s="1" t="str">
        <x:v>2018-08</x:v>
      </x:c>
      <x:c r="D2438" s="1" t="str">
        <x:v>2018-07-31</x:v>
      </x:c>
      <x:c r="E2438" s="5" t="n">
        <x:v>4207.78</x:v>
      </x:c>
      <x:c r="F2438" s="6" t="str">
        <x:v>2018-08-31</x:v>
      </x:c>
      <x:c r="G2438" s="5" t="n">
        <x:v>3970.52</x:v>
      </x:c>
      <x:c r="H2438" s="7" t="n">
        <x:f>G2438/E2438-1</x:f>
        <x:v>-0.05638602778662383</x:v>
      </x:c>
      <x:c r="I2438" s="1" t="n">
        <x:v>1</x:v>
      </x:c>
      <x:c r="J2438" s="1" t="n">
        <x:v>1</x:v>
      </x:c>
      <x:c r="K2438" s="1" t="str">
        <x:v>中证官方优先</x:v>
      </x:c>
    </x:row>
    <x:row r="2439" ht="25" customHeight="1">
      <x:c r="A2439" s="1" t="str">
        <x:v>sh000922</x:v>
      </x:c>
      <x:c r="B2439" s="1" t="str">
        <x:v>中证红利</x:v>
      </x:c>
      <x:c r="C2439" s="1" t="str">
        <x:v>2018-09</x:v>
      </x:c>
      <x:c r="D2439" s="1" t="str">
        <x:v>2018-08-31</x:v>
      </x:c>
      <x:c r="E2439" s="5" t="n">
        <x:v>3970.52</x:v>
      </x:c>
      <x:c r="F2439" s="6" t="str">
        <x:v>2018-09-28</x:v>
      </x:c>
      <x:c r="G2439" s="5" t="n">
        <x:v>4108.73</x:v>
      </x:c>
      <x:c r="H2439" s="7" t="n">
        <x:f>G2439/E2439-1</x:f>
        <x:v>0.03480904264428819</x:v>
      </x:c>
      <x:c r="I2439" s="1" t="n">
        <x:v>1</x:v>
      </x:c>
      <x:c r="J2439" s="1" t="n">
        <x:v>1</x:v>
      </x:c>
      <x:c r="K2439" s="1" t="str">
        <x:v>中证官方优先</x:v>
      </x:c>
    </x:row>
    <x:row r="2440" ht="25" customHeight="1">
      <x:c r="A2440" s="1" t="str">
        <x:v>sh000922</x:v>
      </x:c>
      <x:c r="B2440" s="1" t="str">
        <x:v>中证红利</x:v>
      </x:c>
      <x:c r="C2440" s="1" t="str">
        <x:v>2018-10</x:v>
      </x:c>
      <x:c r="D2440" s="1" t="str">
        <x:v>2018-09-28</x:v>
      </x:c>
      <x:c r="E2440" s="5" t="n">
        <x:v>4108.73</x:v>
      </x:c>
      <x:c r="F2440" s="6" t="str">
        <x:v>2018-10-31</x:v>
      </x:c>
      <x:c r="G2440" s="5" t="n">
        <x:v>3808.41</x:v>
      </x:c>
      <x:c r="H2440" s="7" t="n">
        <x:f>G2440/E2440-1</x:f>
        <x:v>-0.07309314557052904</x:v>
      </x:c>
      <x:c r="I2440" s="1" t="n">
        <x:v>1</x:v>
      </x:c>
      <x:c r="J2440" s="1" t="n">
        <x:v>1</x:v>
      </x:c>
      <x:c r="K2440" s="1" t="str">
        <x:v>中证官方优先</x:v>
      </x:c>
    </x:row>
    <x:row r="2441" ht="25" customHeight="1">
      <x:c r="A2441" s="1" t="str">
        <x:v>sh000922</x:v>
      </x:c>
      <x:c r="B2441" s="1" t="str">
        <x:v>中证红利</x:v>
      </x:c>
      <x:c r="C2441" s="1" t="str">
        <x:v>2018-11</x:v>
      </x:c>
      <x:c r="D2441" s="1" t="str">
        <x:v>2018-10-31</x:v>
      </x:c>
      <x:c r="E2441" s="5" t="n">
        <x:v>3808.41</x:v>
      </x:c>
      <x:c r="F2441" s="6" t="str">
        <x:v>2018-11-30</x:v>
      </x:c>
      <x:c r="G2441" s="5" t="n">
        <x:v>3846.95</x:v>
      </x:c>
      <x:c r="H2441" s="7" t="n">
        <x:f>G2441/E2441-1</x:f>
        <x:v>0.01011970874984569</x:v>
      </x:c>
      <x:c r="I2441" s="1" t="n">
        <x:v>1</x:v>
      </x:c>
      <x:c r="J2441" s="1" t="n">
        <x:v>1</x:v>
      </x:c>
      <x:c r="K2441" s="1" t="str">
        <x:v>中证官方优先</x:v>
      </x:c>
    </x:row>
    <x:row r="2442" ht="25" customHeight="1">
      <x:c r="A2442" s="1" t="str">
        <x:v>sh000922</x:v>
      </x:c>
      <x:c r="B2442" s="1" t="str">
        <x:v>中证红利</x:v>
      </x:c>
      <x:c r="C2442" s="1" t="str">
        <x:v>2018-12</x:v>
      </x:c>
      <x:c r="D2442" s="1" t="str">
        <x:v>2018-11-30</x:v>
      </x:c>
      <x:c r="E2442" s="5" t="n">
        <x:v>3846.95</x:v>
      </x:c>
      <x:c r="F2442" s="6" t="str">
        <x:v>2018-12-28</x:v>
      </x:c>
      <x:c r="G2442" s="5" t="n">
        <x:v>3836.87</x:v>
      </x:c>
      <x:c r="H2442" s="7" t="n">
        <x:f>G2442/E2442-1</x:f>
        <x:v>-0.0026202576066753913</x:v>
      </x:c>
      <x:c r="I2442" s="1" t="n">
        <x:v>1</x:v>
      </x:c>
      <x:c r="J2442" s="1" t="n">
        <x:v>1</x:v>
      </x:c>
      <x:c r="K2442" s="1" t="str">
        <x:v>中证官方优先</x:v>
      </x:c>
    </x:row>
    <x:row r="2443" ht="25" customHeight="1">
      <x:c r="A2443" s="1" t="str">
        <x:v>sh000922</x:v>
      </x:c>
      <x:c r="B2443" s="1" t="str">
        <x:v>中证红利</x:v>
      </x:c>
      <x:c r="C2443" s="1" t="str">
        <x:v>2019-01</x:v>
      </x:c>
      <x:c r="D2443" s="1" t="str">
        <x:v>2018-12-28</x:v>
      </x:c>
      <x:c r="E2443" s="5" t="n">
        <x:v>3836.87</x:v>
      </x:c>
      <x:c r="F2443" s="6" t="str">
        <x:v>2019-01-31</x:v>
      </x:c>
      <x:c r="G2443" s="5" t="n">
        <x:v>4012.07</x:v>
      </x:c>
      <x:c r="H2443" s="7" t="n">
        <x:f>G2443/E2443-1</x:f>
        <x:v>0.045662219465345544</x:v>
      </x:c>
      <x:c r="I2443" s="1" t="n">
        <x:v>1</x:v>
      </x:c>
      <x:c r="J2443" s="1" t="n">
        <x:v>1</x:v>
      </x:c>
      <x:c r="K2443" s="1" t="str">
        <x:v>中证官方优先</x:v>
      </x:c>
    </x:row>
    <x:row r="2444" ht="25" customHeight="1">
      <x:c r="A2444" s="1" t="str">
        <x:v>sh000922</x:v>
      </x:c>
      <x:c r="B2444" s="1" t="str">
        <x:v>中证红利</x:v>
      </x:c>
      <x:c r="C2444" s="1" t="str">
        <x:v>2019-02</x:v>
      </x:c>
      <x:c r="D2444" s="1" t="str">
        <x:v>2019-01-31</x:v>
      </x:c>
      <x:c r="E2444" s="5" t="n">
        <x:v>4012.07</x:v>
      </x:c>
      <x:c r="F2444" s="6" t="str">
        <x:v>2019-02-28</x:v>
      </x:c>
      <x:c r="G2444" s="5" t="n">
        <x:v>4440.87</x:v>
      </x:c>
      <x:c r="H2444" s="7" t="n">
        <x:f>G2444/E2444-1</x:f>
        <x:v>0.10687749715234274</x:v>
      </x:c>
      <x:c r="I2444" s="1" t="n">
        <x:v>1</x:v>
      </x:c>
      <x:c r="J2444" s="1" t="n">
        <x:v>1</x:v>
      </x:c>
      <x:c r="K2444" s="1" t="str">
        <x:v>中证官方优先</x:v>
      </x:c>
    </x:row>
    <x:row r="2445" ht="25" customHeight="1">
      <x:c r="A2445" s="1" t="str">
        <x:v>sh000922</x:v>
      </x:c>
      <x:c r="B2445" s="1" t="str">
        <x:v>中证红利</x:v>
      </x:c>
      <x:c r="C2445" s="1" t="str">
        <x:v>2019-03</x:v>
      </x:c>
      <x:c r="D2445" s="1" t="str">
        <x:v>2019-02-28</x:v>
      </x:c>
      <x:c r="E2445" s="5" t="n">
        <x:v>4440.87</x:v>
      </x:c>
      <x:c r="F2445" s="6" t="str">
        <x:v>2019-03-29</x:v>
      </x:c>
      <x:c r="G2445" s="5" t="n">
        <x:v>4742.96</x:v>
      </x:c>
      <x:c r="H2445" s="7" t="n">
        <x:f>G2445/E2445-1</x:f>
        <x:v>0.06802495907333483</x:v>
      </x:c>
      <x:c r="I2445" s="1" t="n">
        <x:v>1</x:v>
      </x:c>
      <x:c r="J2445" s="1" t="n">
        <x:v>1</x:v>
      </x:c>
      <x:c r="K2445" s="1" t="str">
        <x:v>中证官方优先</x:v>
      </x:c>
    </x:row>
    <x:row r="2446" ht="25" customHeight="1">
      <x:c r="A2446" s="1" t="str">
        <x:v>sh000922</x:v>
      </x:c>
      <x:c r="B2446" s="1" t="str">
        <x:v>中证红利</x:v>
      </x:c>
      <x:c r="C2446" s="1" t="str">
        <x:v>2019-04</x:v>
      </x:c>
      <x:c r="D2446" s="1" t="str">
        <x:v>2019-03-29</x:v>
      </x:c>
      <x:c r="E2446" s="5" t="n">
        <x:v>4742.96</x:v>
      </x:c>
      <x:c r="F2446" s="6" t="str">
        <x:v>2019-04-30</x:v>
      </x:c>
      <x:c r="G2446" s="5" t="n">
        <x:v>4735.74</x:v>
      </x:c>
      <x:c r="H2446" s="7" t="n">
        <x:f>G2446/E2446-1</x:f>
        <x:v>-0.0015222561438427151</x:v>
      </x:c>
      <x:c r="I2446" s="1" t="n">
        <x:v>1</x:v>
      </x:c>
      <x:c r="J2446" s="1" t="n">
        <x:v>1</x:v>
      </x:c>
      <x:c r="K2446" s="1" t="str">
        <x:v>中证官方优先</x:v>
      </x:c>
    </x:row>
    <x:row r="2447" ht="25" customHeight="1">
      <x:c r="A2447" s="1" t="str">
        <x:v>sh000922</x:v>
      </x:c>
      <x:c r="B2447" s="1" t="str">
        <x:v>中证红利</x:v>
      </x:c>
      <x:c r="C2447" s="1" t="str">
        <x:v>2019-05</x:v>
      </x:c>
      <x:c r="D2447" s="1" t="str">
        <x:v>2019-04-30</x:v>
      </x:c>
      <x:c r="E2447" s="5" t="n">
        <x:v>4735.74</x:v>
      </x:c>
      <x:c r="F2447" s="6" t="str">
        <x:v>2019-05-31</x:v>
      </x:c>
      <x:c r="G2447" s="5" t="n">
        <x:v>4469.51</x:v>
      </x:c>
      <x:c r="H2447" s="7" t="n">
        <x:f>G2447/E2447-1</x:f>
        <x:v>-0.056217190977545184</x:v>
      </x:c>
      <x:c r="I2447" s="1" t="n">
        <x:v>1</x:v>
      </x:c>
      <x:c r="J2447" s="1" t="n">
        <x:v>1</x:v>
      </x:c>
      <x:c r="K2447" s="1" t="str">
        <x:v>中证官方优先</x:v>
      </x:c>
    </x:row>
    <x:row r="2448" ht="25" customHeight="1">
      <x:c r="A2448" s="1" t="str">
        <x:v>sh000922</x:v>
      </x:c>
      <x:c r="B2448" s="1" t="str">
        <x:v>中证红利</x:v>
      </x:c>
      <x:c r="C2448" s="1" t="str">
        <x:v>2019-06</x:v>
      </x:c>
      <x:c r="D2448" s="1" t="str">
        <x:v>2019-05-31</x:v>
      </x:c>
      <x:c r="E2448" s="5" t="n">
        <x:v>4469.51</x:v>
      </x:c>
      <x:c r="F2448" s="6" t="str">
        <x:v>2019-06-28</x:v>
      </x:c>
      <x:c r="G2448" s="5" t="n">
        <x:v>4406.91</x:v>
      </x:c>
      <x:c r="H2448" s="7" t="n">
        <x:f>G2448/E2448-1</x:f>
        <x:v>-0.014006009607317238</x:v>
      </x:c>
      <x:c r="I2448" s="1" t="n">
        <x:v>1</x:v>
      </x:c>
      <x:c r="J2448" s="1" t="n">
        <x:v>1</x:v>
      </x:c>
      <x:c r="K2448" s="1" t="str">
        <x:v>中证官方优先</x:v>
      </x:c>
    </x:row>
    <x:row r="2449" ht="25" customHeight="1">
      <x:c r="A2449" s="1" t="str">
        <x:v>sh000922</x:v>
      </x:c>
      <x:c r="B2449" s="1" t="str">
        <x:v>中证红利</x:v>
      </x:c>
      <x:c r="C2449" s="1" t="str">
        <x:v>2019-07</x:v>
      </x:c>
      <x:c r="D2449" s="1" t="str">
        <x:v>2019-06-28</x:v>
      </x:c>
      <x:c r="E2449" s="5" t="n">
        <x:v>4406.91</x:v>
      </x:c>
      <x:c r="F2449" s="6" t="str">
        <x:v>2019-07-31</x:v>
      </x:c>
      <x:c r="G2449" s="5" t="n">
        <x:v>4350.95</x:v>
      </x:c>
      <x:c r="H2449" s="7" t="n">
        <x:f>G2449/E2449-1</x:f>
        <x:v>-0.012698239809753376</x:v>
      </x:c>
      <x:c r="I2449" s="1" t="n">
        <x:v>1</x:v>
      </x:c>
      <x:c r="J2449" s="1" t="n">
        <x:v>1</x:v>
      </x:c>
      <x:c r="K2449" s="1" t="str">
        <x:v>中证官方优先</x:v>
      </x:c>
    </x:row>
    <x:row r="2450" ht="25" customHeight="1">
      <x:c r="A2450" s="1" t="str">
        <x:v>sh000922</x:v>
      </x:c>
      <x:c r="B2450" s="1" t="str">
        <x:v>中证红利</x:v>
      </x:c>
      <x:c r="C2450" s="1" t="str">
        <x:v>2019-08</x:v>
      </x:c>
      <x:c r="D2450" s="1" t="str">
        <x:v>2019-07-31</x:v>
      </x:c>
      <x:c r="E2450" s="5" t="n">
        <x:v>4350.95</x:v>
      </x:c>
      <x:c r="F2450" s="6" t="str">
        <x:v>2019-08-30</x:v>
      </x:c>
      <x:c r="G2450" s="5" t="n">
        <x:v>4196.77</x:v>
      </x:c>
      <x:c r="H2450" s="7" t="n">
        <x:f>G2450/E2450-1</x:f>
        <x:v>-0.03543593927762889</x:v>
      </x:c>
      <x:c r="I2450" s="1" t="n">
        <x:v>1</x:v>
      </x:c>
      <x:c r="J2450" s="1" t="n">
        <x:v>1</x:v>
      </x:c>
      <x:c r="K2450" s="1" t="str">
        <x:v>中证官方优先</x:v>
      </x:c>
    </x:row>
    <x:row r="2451" ht="25" customHeight="1">
      <x:c r="A2451" s="1" t="str">
        <x:v>sh000922</x:v>
      </x:c>
      <x:c r="B2451" s="1" t="str">
        <x:v>中证红利</x:v>
      </x:c>
      <x:c r="C2451" s="1" t="str">
        <x:v>2019-09</x:v>
      </x:c>
      <x:c r="D2451" s="1" t="str">
        <x:v>2019-08-30</x:v>
      </x:c>
      <x:c r="E2451" s="5" t="n">
        <x:v>4196.77</x:v>
      </x:c>
      <x:c r="F2451" s="6" t="str">
        <x:v>2019-09-30</x:v>
      </x:c>
      <x:c r="G2451" s="5" t="n">
        <x:v>4193.89</x:v>
      </x:c>
      <x:c r="H2451" s="7" t="n">
        <x:f>G2451/E2451-1</x:f>
        <x:v>-0.0006862420385200796</x:v>
      </x:c>
      <x:c r="I2451" s="1" t="n">
        <x:v>1</x:v>
      </x:c>
      <x:c r="J2451" s="1" t="n">
        <x:v>1</x:v>
      </x:c>
      <x:c r="K2451" s="1" t="str">
        <x:v>中证官方优先</x:v>
      </x:c>
    </x:row>
    <x:row r="2452" ht="25" customHeight="1">
      <x:c r="A2452" s="1" t="str">
        <x:v>sh000922</x:v>
      </x:c>
      <x:c r="B2452" s="1" t="str">
        <x:v>中证红利</x:v>
      </x:c>
      <x:c r="C2452" s="1" t="str">
        <x:v>2019-10</x:v>
      </x:c>
      <x:c r="D2452" s="1" t="str">
        <x:v>2019-09-30</x:v>
      </x:c>
      <x:c r="E2452" s="5" t="n">
        <x:v>4193.89</x:v>
      </x:c>
      <x:c r="F2452" s="6" t="str">
        <x:v>2019-10-31</x:v>
      </x:c>
      <x:c r="G2452" s="5" t="n">
        <x:v>4220.22</x:v>
      </x:c>
      <x:c r="H2452" s="7" t="n">
        <x:f>G2452/E2452-1</x:f>
        <x:v>0.0062781808774192704</x:v>
      </x:c>
      <x:c r="I2452" s="1" t="n">
        <x:v>1</x:v>
      </x:c>
      <x:c r="J2452" s="1" t="n">
        <x:v>1</x:v>
      </x:c>
      <x:c r="K2452" s="1" t="str">
        <x:v>中证官方优先</x:v>
      </x:c>
    </x:row>
    <x:row r="2453" ht="25" customHeight="1">
      <x:c r="A2453" s="1" t="str">
        <x:v>sh000922</x:v>
      </x:c>
      <x:c r="B2453" s="1" t="str">
        <x:v>中证红利</x:v>
      </x:c>
      <x:c r="C2453" s="1" t="str">
        <x:v>2019-11</x:v>
      </x:c>
      <x:c r="D2453" s="1" t="str">
        <x:v>2019-10-31</x:v>
      </x:c>
      <x:c r="E2453" s="5" t="n">
        <x:v>4220.22</x:v>
      </x:c>
      <x:c r="F2453" s="6" t="str">
        <x:v>2019-11-29</x:v>
      </x:c>
      <x:c r="G2453" s="5" t="n">
        <x:v>4183.41</x:v>
      </x:c>
      <x:c r="H2453" s="7" t="n">
        <x:f>G2453/E2453-1</x:f>
        <x:v>-0.008722294098412076</x:v>
      </x:c>
      <x:c r="I2453" s="1" t="n">
        <x:v>1</x:v>
      </x:c>
      <x:c r="J2453" s="1" t="n">
        <x:v>1</x:v>
      </x:c>
      <x:c r="K2453" s="1" t="str">
        <x:v>中证官方优先</x:v>
      </x:c>
    </x:row>
    <x:row r="2454" ht="25" customHeight="1">
      <x:c r="A2454" s="1" t="str">
        <x:v>sh000922</x:v>
      </x:c>
      <x:c r="B2454" s="1" t="str">
        <x:v>中证红利</x:v>
      </x:c>
      <x:c r="C2454" s="1" t="str">
        <x:v>2019-12</x:v>
      </x:c>
      <x:c r="D2454" s="1" t="str">
        <x:v>2019-11-29</x:v>
      </x:c>
      <x:c r="E2454" s="5" t="n">
        <x:v>4183.41</x:v>
      </x:c>
      <x:c r="F2454" s="6" t="str">
        <x:v>2019-12-31</x:v>
      </x:c>
      <x:c r="G2454" s="5" t="n">
        <x:v>4440.59</x:v>
      </x:c>
      <x:c r="H2454" s="7" t="n">
        <x:f>G2454/E2454-1</x:f>
        <x:v>0.061476164181851756</x:v>
      </x:c>
      <x:c r="I2454" s="1" t="n">
        <x:v>1</x:v>
      </x:c>
      <x:c r="J2454" s="1" t="n">
        <x:v>1</x:v>
      </x:c>
      <x:c r="K2454" s="1" t="str">
        <x:v>中证官方优先</x:v>
      </x:c>
    </x:row>
    <x:row r="2455" ht="25" customHeight="1">
      <x:c r="A2455" s="1" t="str">
        <x:v>sh000922</x:v>
      </x:c>
      <x:c r="B2455" s="1" t="str">
        <x:v>中证红利</x:v>
      </x:c>
      <x:c r="C2455" s="1" t="str">
        <x:v>2020-01</x:v>
      </x:c>
      <x:c r="D2455" s="1" t="str">
        <x:v>2019-12-31</x:v>
      </x:c>
      <x:c r="E2455" s="5" t="n">
        <x:v>4440.59</x:v>
      </x:c>
      <x:c r="F2455" s="6" t="str">
        <x:v>2020-01-23</x:v>
      </x:c>
      <x:c r="G2455" s="5" t="n">
        <x:v>4318.04</x:v>
      </x:c>
      <x:c r="H2455" s="7" t="n">
        <x:f>G2455/E2455-1</x:f>
        <x:v>-0.027597684091528407</x:v>
      </x:c>
      <x:c r="I2455" s="1" t="n">
        <x:v>1</x:v>
      </x:c>
      <x:c r="J2455" s="1" t="n">
        <x:v>1</x:v>
      </x:c>
      <x:c r="K2455" s="1" t="str">
        <x:v>中证官方优先</x:v>
      </x:c>
    </x:row>
    <x:row r="2456" ht="25" customHeight="1">
      <x:c r="A2456" s="1" t="str">
        <x:v>sh000922</x:v>
      </x:c>
      <x:c r="B2456" s="1" t="str">
        <x:v>中证红利</x:v>
      </x:c>
      <x:c r="C2456" s="1" t="str">
        <x:v>2020-02</x:v>
      </x:c>
      <x:c r="D2456" s="1" t="str">
        <x:v>2020-01-23</x:v>
      </x:c>
      <x:c r="E2456" s="5" t="n">
        <x:v>4318.04</x:v>
      </x:c>
      <x:c r="F2456" s="6" t="str">
        <x:v>2020-02-28</x:v>
      </x:c>
      <x:c r="G2456" s="5" t="n">
        <x:v>4189.41</x:v>
      </x:c>
      <x:c r="H2456" s="7" t="n">
        <x:f>G2456/E2456-1</x:f>
        <x:v>-0.02978897833276206</x:v>
      </x:c>
      <x:c r="I2456" s="1" t="n">
        <x:v>1</x:v>
      </x:c>
      <x:c r="J2456" s="1" t="n">
        <x:v>1</x:v>
      </x:c>
      <x:c r="K2456" s="1" t="str">
        <x:v>中证官方优先</x:v>
      </x:c>
    </x:row>
    <x:row r="2457" ht="25" customHeight="1">
      <x:c r="A2457" s="1" t="str">
        <x:v>sh000922</x:v>
      </x:c>
      <x:c r="B2457" s="1" t="str">
        <x:v>中证红利</x:v>
      </x:c>
      <x:c r="C2457" s="1" t="str">
        <x:v>2020-03</x:v>
      </x:c>
      <x:c r="D2457" s="1" t="str">
        <x:v>2020-02-28</x:v>
      </x:c>
      <x:c r="E2457" s="5" t="n">
        <x:v>4189.41</x:v>
      </x:c>
      <x:c r="F2457" s="6" t="str">
        <x:v>2020-03-31</x:v>
      </x:c>
      <x:c r="G2457" s="5" t="n">
        <x:v>3975.14</x:v>
      </x:c>
      <x:c r="H2457" s="7" t="n">
        <x:f>G2457/E2457-1</x:f>
        <x:v>-0.05114562671115985</x:v>
      </x:c>
      <x:c r="I2457" s="1" t="n">
        <x:v>1</x:v>
      </x:c>
      <x:c r="J2457" s="1" t="n">
        <x:v>1</x:v>
      </x:c>
      <x:c r="K2457" s="1" t="str">
        <x:v>中证官方优先</x:v>
      </x:c>
    </x:row>
    <x:row r="2458" ht="25" customHeight="1">
      <x:c r="A2458" s="1" t="str">
        <x:v>sh000922</x:v>
      </x:c>
      <x:c r="B2458" s="1" t="str">
        <x:v>中证红利</x:v>
      </x:c>
      <x:c r="C2458" s="1" t="str">
        <x:v>2020-04</x:v>
      </x:c>
      <x:c r="D2458" s="1" t="str">
        <x:v>2020-03-31</x:v>
      </x:c>
      <x:c r="E2458" s="5" t="n">
        <x:v>3975.14</x:v>
      </x:c>
      <x:c r="F2458" s="6" t="str">
        <x:v>2020-04-30</x:v>
      </x:c>
      <x:c r="G2458" s="5" t="n">
        <x:v>4090.12</x:v>
      </x:c>
      <x:c r="H2458" s="7" t="n">
        <x:f>G2458/E2458-1</x:f>
        <x:v>0.028924767429574727</x:v>
      </x:c>
      <x:c r="I2458" s="1" t="n">
        <x:v>1</x:v>
      </x:c>
      <x:c r="J2458" s="1" t="n">
        <x:v>1</x:v>
      </x:c>
      <x:c r="K2458" s="1" t="str">
        <x:v>中证官方优先</x:v>
      </x:c>
    </x:row>
    <x:row r="2459" ht="25" customHeight="1">
      <x:c r="A2459" s="1" t="str">
        <x:v>sh000922</x:v>
      </x:c>
      <x:c r="B2459" s="1" t="str">
        <x:v>中证红利</x:v>
      </x:c>
      <x:c r="C2459" s="1" t="str">
        <x:v>2020-05</x:v>
      </x:c>
      <x:c r="D2459" s="1" t="str">
        <x:v>2020-04-30</x:v>
      </x:c>
      <x:c r="E2459" s="5" t="n">
        <x:v>4090.12</x:v>
      </x:c>
      <x:c r="F2459" s="6" t="str">
        <x:v>2020-05-29</x:v>
      </x:c>
      <x:c r="G2459" s="5" t="n">
        <x:v>4002.18</x:v>
      </x:c>
      <x:c r="H2459" s="7" t="n">
        <x:f>G2459/E2459-1</x:f>
        <x:v>-0.0215005916696821</x:v>
      </x:c>
      <x:c r="I2459" s="1" t="n">
        <x:v>1</x:v>
      </x:c>
      <x:c r="J2459" s="1" t="n">
        <x:v>1</x:v>
      </x:c>
      <x:c r="K2459" s="1" t="str">
        <x:v>中证官方优先</x:v>
      </x:c>
    </x:row>
    <x:row r="2460" ht="25" customHeight="1">
      <x:c r="A2460" s="1" t="str">
        <x:v>sh000922</x:v>
      </x:c>
      <x:c r="B2460" s="1" t="str">
        <x:v>中证红利</x:v>
      </x:c>
      <x:c r="C2460" s="1" t="str">
        <x:v>2020-06</x:v>
      </x:c>
      <x:c r="D2460" s="1" t="str">
        <x:v>2020-05-29</x:v>
      </x:c>
      <x:c r="E2460" s="5" t="n">
        <x:v>4002.18</x:v>
      </x:c>
      <x:c r="F2460" s="6" t="str">
        <x:v>2020-06-30</x:v>
      </x:c>
      <x:c r="G2460" s="5" t="n">
        <x:v>4089.54</x:v>
      </x:c>
      <x:c r="H2460" s="7" t="n">
        <x:f>G2460/E2460-1</x:f>
        <x:v>0.02182810368349264</x:v>
      </x:c>
      <x:c r="I2460" s="1" t="n">
        <x:v>1</x:v>
      </x:c>
      <x:c r="J2460" s="1" t="n">
        <x:v>1</x:v>
      </x:c>
      <x:c r="K2460" s="1" t="str">
        <x:v>中证官方优先</x:v>
      </x:c>
    </x:row>
    <x:row r="2461" ht="25" customHeight="1">
      <x:c r="A2461" s="1" t="str">
        <x:v>sh000922</x:v>
      </x:c>
      <x:c r="B2461" s="1" t="str">
        <x:v>中证红利</x:v>
      </x:c>
      <x:c r="C2461" s="1" t="str">
        <x:v>2020-07</x:v>
      </x:c>
      <x:c r="D2461" s="1" t="str">
        <x:v>2020-06-30</x:v>
      </x:c>
      <x:c r="E2461" s="5" t="n">
        <x:v>4089.54</x:v>
      </x:c>
      <x:c r="F2461" s="6" t="str">
        <x:v>2020-07-31</x:v>
      </x:c>
      <x:c r="G2461" s="5" t="n">
        <x:v>4468.9</x:v>
      </x:c>
      <x:c r="H2461" s="7" t="n">
        <x:f>G2461/E2461-1</x:f>
        <x:v>0.09276348929219425</x:v>
      </x:c>
      <x:c r="I2461" s="1" t="n">
        <x:v>1</x:v>
      </x:c>
      <x:c r="J2461" s="1" t="n">
        <x:v>1</x:v>
      </x:c>
      <x:c r="K2461" s="1" t="str">
        <x:v>中证官方优先</x:v>
      </x:c>
    </x:row>
    <x:row r="2462" ht="25" customHeight="1">
      <x:c r="A2462" s="1" t="str">
        <x:v>sh000922</x:v>
      </x:c>
      <x:c r="B2462" s="1" t="str">
        <x:v>中证红利</x:v>
      </x:c>
      <x:c r="C2462" s="1" t="str">
        <x:v>2020-08</x:v>
      </x:c>
      <x:c r="D2462" s="1" t="str">
        <x:v>2020-07-31</x:v>
      </x:c>
      <x:c r="E2462" s="5" t="n">
        <x:v>4468.9</x:v>
      </x:c>
      <x:c r="F2462" s="6" t="str">
        <x:v>2020-08-31</x:v>
      </x:c>
      <x:c r="G2462" s="5" t="n">
        <x:v>4610.92</x:v>
      </x:c>
      <x:c r="H2462" s="7" t="n">
        <x:f>G2462/E2462-1</x:f>
        <x:v>0.03177963257177385</x:v>
      </x:c>
      <x:c r="I2462" s="1" t="n">
        <x:v>1</x:v>
      </x:c>
      <x:c r="J2462" s="1" t="n">
        <x:v>1</x:v>
      </x:c>
      <x:c r="K2462" s="1" t="str">
        <x:v>中证官方优先</x:v>
      </x:c>
    </x:row>
    <x:row r="2463" ht="25" customHeight="1">
      <x:c r="A2463" s="1" t="str">
        <x:v>sh000922</x:v>
      </x:c>
      <x:c r="B2463" s="1" t="str">
        <x:v>中证红利</x:v>
      </x:c>
      <x:c r="C2463" s="1" t="str">
        <x:v>2020-09</x:v>
      </x:c>
      <x:c r="D2463" s="1" t="str">
        <x:v>2020-08-31</x:v>
      </x:c>
      <x:c r="E2463" s="5" t="n">
        <x:v>4610.92</x:v>
      </x:c>
      <x:c r="F2463" s="6" t="str">
        <x:v>2020-09-30</x:v>
      </x:c>
      <x:c r="G2463" s="5" t="n">
        <x:v>4395.75</x:v>
      </x:c>
      <x:c r="H2463" s="7" t="n">
        <x:f>G2463/E2463-1</x:f>
        <x:v>-0.046665307574193404</x:v>
      </x:c>
      <x:c r="I2463" s="1" t="n">
        <x:v>1</x:v>
      </x:c>
      <x:c r="J2463" s="1" t="n">
        <x:v>1</x:v>
      </x:c>
      <x:c r="K2463" s="1" t="str">
        <x:v>中证官方优先</x:v>
      </x:c>
    </x:row>
    <x:row r="2464" ht="25" customHeight="1">
      <x:c r="A2464" s="1" t="str">
        <x:v>sh000922</x:v>
      </x:c>
      <x:c r="B2464" s="1" t="str">
        <x:v>中证红利</x:v>
      </x:c>
      <x:c r="C2464" s="1" t="str">
        <x:v>2020-10</x:v>
      </x:c>
      <x:c r="D2464" s="1" t="str">
        <x:v>2020-09-30</x:v>
      </x:c>
      <x:c r="E2464" s="5" t="n">
        <x:v>4395.75</x:v>
      </x:c>
      <x:c r="F2464" s="6" t="str">
        <x:v>2020-10-30</x:v>
      </x:c>
      <x:c r="G2464" s="5" t="n">
        <x:v>4433.77</x:v>
      </x:c>
      <x:c r="H2464" s="7" t="n">
        <x:f>G2464/E2464-1</x:f>
        <x:v>0.008649263493146986</x:v>
      </x:c>
      <x:c r="I2464" s="1" t="n">
        <x:v>1</x:v>
      </x:c>
      <x:c r="J2464" s="1" t="n">
        <x:v>1</x:v>
      </x:c>
      <x:c r="K2464" s="1" t="str">
        <x:v>中证官方优先</x:v>
      </x:c>
    </x:row>
    <x:row r="2465" ht="25" customHeight="1">
      <x:c r="A2465" s="1" t="str">
        <x:v>sh000922</x:v>
      </x:c>
      <x:c r="B2465" s="1" t="str">
        <x:v>中证红利</x:v>
      </x:c>
      <x:c r="C2465" s="1" t="str">
        <x:v>2020-11</x:v>
      </x:c>
      <x:c r="D2465" s="1" t="str">
        <x:v>2020-10-30</x:v>
      </x:c>
      <x:c r="E2465" s="5" t="n">
        <x:v>4433.77</x:v>
      </x:c>
      <x:c r="F2465" s="6" t="str">
        <x:v>2020-11-30</x:v>
      </x:c>
      <x:c r="G2465" s="5" t="n">
        <x:v>4817.82</x:v>
      </x:c>
      <x:c r="H2465" s="7" t="n">
        <x:f>G2465/E2465-1</x:f>
        <x:v>0.08661928787465278</x:v>
      </x:c>
      <x:c r="I2465" s="1" t="n">
        <x:v>1</x:v>
      </x:c>
      <x:c r="J2465" s="1" t="n">
        <x:v>1</x:v>
      </x:c>
      <x:c r="K2465" s="1" t="str">
        <x:v>中证官方优先</x:v>
      </x:c>
    </x:row>
    <x:row r="2466" ht="25" customHeight="1">
      <x:c r="A2466" s="1" t="str">
        <x:v>sh000922</x:v>
      </x:c>
      <x:c r="B2466" s="1" t="str">
        <x:v>中证红利</x:v>
      </x:c>
      <x:c r="C2466" s="1" t="str">
        <x:v>2020-12</x:v>
      </x:c>
      <x:c r="D2466" s="1" t="str">
        <x:v>2020-11-30</x:v>
      </x:c>
      <x:c r="E2466" s="5" t="n">
        <x:v>4817.82</x:v>
      </x:c>
      <x:c r="F2466" s="6" t="str">
        <x:v>2020-12-31</x:v>
      </x:c>
      <x:c r="G2466" s="5" t="n">
        <x:v>4595.59</x:v>
      </x:c>
      <x:c r="H2466" s="7" t="n">
        <x:f>G2466/E2466-1</x:f>
        <x:v>-0.04612667139909743</x:v>
      </x:c>
      <x:c r="I2466" s="1" t="n">
        <x:v>1</x:v>
      </x:c>
      <x:c r="J2466" s="1" t="n">
        <x:v>1</x:v>
      </x:c>
      <x:c r="K2466" s="1" t="str">
        <x:v>中证官方优先</x:v>
      </x:c>
    </x:row>
    <x:row r="2467" ht="25" customHeight="1">
      <x:c r="A2467" s="1" t="str">
        <x:v>sh000922</x:v>
      </x:c>
      <x:c r="B2467" s="1" t="str">
        <x:v>中证红利</x:v>
      </x:c>
      <x:c r="C2467" s="1" t="str">
        <x:v>2021-01</x:v>
      </x:c>
      <x:c r="D2467" s="1" t="str">
        <x:v>2020-12-31</x:v>
      </x:c>
      <x:c r="E2467" s="5" t="n">
        <x:v>4595.59</x:v>
      </x:c>
      <x:c r="F2467" s="6" t="str">
        <x:v>2021-01-29</x:v>
      </x:c>
      <x:c r="G2467" s="5" t="n">
        <x:v>4431.62</x:v>
      </x:c>
      <x:c r="H2467" s="7" t="n">
        <x:f>G2467/E2467-1</x:f>
        <x:v>-0.0356798582989345</x:v>
      </x:c>
      <x:c r="I2467" s="1" t="n">
        <x:v>1</x:v>
      </x:c>
      <x:c r="J2467" s="1" t="n">
        <x:v>1</x:v>
      </x:c>
      <x:c r="K2467" s="1" t="str">
        <x:v>中证官方优先</x:v>
      </x:c>
    </x:row>
    <x:row r="2468" ht="25" customHeight="1">
      <x:c r="A2468" s="1" t="str">
        <x:v>sh000922</x:v>
      </x:c>
      <x:c r="B2468" s="1" t="str">
        <x:v>中证红利</x:v>
      </x:c>
      <x:c r="C2468" s="1" t="str">
        <x:v>2021-02</x:v>
      </x:c>
      <x:c r="D2468" s="1" t="str">
        <x:v>2021-01-29</x:v>
      </x:c>
      <x:c r="E2468" s="5" t="n">
        <x:v>4431.62</x:v>
      </x:c>
      <x:c r="F2468" s="6" t="str">
        <x:v>2021-02-26</x:v>
      </x:c>
      <x:c r="G2468" s="5" t="n">
        <x:v>4705.62</x:v>
      </x:c>
      <x:c r="H2468" s="7" t="n">
        <x:f>G2468/E2468-1</x:f>
        <x:v>0.061828405865123726</x:v>
      </x:c>
      <x:c r="I2468" s="1" t="n">
        <x:v>1</x:v>
      </x:c>
      <x:c r="J2468" s="1" t="n">
        <x:v>1</x:v>
      </x:c>
      <x:c r="K2468" s="1" t="str">
        <x:v>中证官方优先</x:v>
      </x:c>
    </x:row>
    <x:row r="2469" ht="25" customHeight="1">
      <x:c r="A2469" s="1" t="str">
        <x:v>sh000922</x:v>
      </x:c>
      <x:c r="B2469" s="1" t="str">
        <x:v>中证红利</x:v>
      </x:c>
      <x:c r="C2469" s="1" t="str">
        <x:v>2021-03</x:v>
      </x:c>
      <x:c r="D2469" s="1" t="str">
        <x:v>2021-02-26</x:v>
      </x:c>
      <x:c r="E2469" s="5" t="n">
        <x:v>4705.62</x:v>
      </x:c>
      <x:c r="F2469" s="6" t="str">
        <x:v>2021-03-31</x:v>
      </x:c>
      <x:c r="G2469" s="5" t="n">
        <x:v>4827.2</x:v>
      </x:c>
      <x:c r="H2469" s="7" t="n">
        <x:f>G2469/E2469-1</x:f>
        <x:v>0.025837190423366074</x:v>
      </x:c>
      <x:c r="I2469" s="1" t="n">
        <x:v>1</x:v>
      </x:c>
      <x:c r="J2469" s="1" t="n">
        <x:v>1</x:v>
      </x:c>
      <x:c r="K2469" s="1" t="str">
        <x:v>中证官方优先</x:v>
      </x:c>
    </x:row>
    <x:row r="2470" ht="25" customHeight="1">
      <x:c r="A2470" s="1" t="str">
        <x:v>sh000922</x:v>
      </x:c>
      <x:c r="B2470" s="1" t="str">
        <x:v>中证红利</x:v>
      </x:c>
      <x:c r="C2470" s="1" t="str">
        <x:v>2021-04</x:v>
      </x:c>
      <x:c r="D2470" s="1" t="str">
        <x:v>2021-03-31</x:v>
      </x:c>
      <x:c r="E2470" s="5" t="n">
        <x:v>4827.2</x:v>
      </x:c>
      <x:c r="F2470" s="6" t="str">
        <x:v>2021-04-30</x:v>
      </x:c>
      <x:c r="G2470" s="5" t="n">
        <x:v>4956.5</x:v>
      </x:c>
      <x:c r="H2470" s="7" t="n">
        <x:f>G2470/E2470-1</x:f>
        <x:v>0.026785714285714413</x:v>
      </x:c>
      <x:c r="I2470" s="1" t="n">
        <x:v>1</x:v>
      </x:c>
      <x:c r="J2470" s="1" t="n">
        <x:v>1</x:v>
      </x:c>
      <x:c r="K2470" s="1" t="str">
        <x:v>中证官方优先</x:v>
      </x:c>
    </x:row>
    <x:row r="2471" ht="25" customHeight="1">
      <x:c r="A2471" s="1" t="str">
        <x:v>sh000922</x:v>
      </x:c>
      <x:c r="B2471" s="1" t="str">
        <x:v>中证红利</x:v>
      </x:c>
      <x:c r="C2471" s="1" t="str">
        <x:v>2021-05</x:v>
      </x:c>
      <x:c r="D2471" s="1" t="str">
        <x:v>2021-04-30</x:v>
      </x:c>
      <x:c r="E2471" s="5" t="n">
        <x:v>4956.5</x:v>
      </x:c>
      <x:c r="F2471" s="6" t="str">
        <x:v>2021-05-31</x:v>
      </x:c>
      <x:c r="G2471" s="5" t="n">
        <x:v>5204.73</x:v>
      </x:c>
      <x:c r="H2471" s="7" t="n">
        <x:f>G2471/E2471-1</x:f>
        <x:v>0.050081710884696706</x:v>
      </x:c>
      <x:c r="I2471" s="1" t="n">
        <x:v>1</x:v>
      </x:c>
      <x:c r="J2471" s="1" t="n">
        <x:v>1</x:v>
      </x:c>
      <x:c r="K2471" s="1" t="str">
        <x:v>中证官方优先</x:v>
      </x:c>
    </x:row>
    <x:row r="2472" ht="25" customHeight="1">
      <x:c r="A2472" s="1" t="str">
        <x:v>sh000922</x:v>
      </x:c>
      <x:c r="B2472" s="1" t="str">
        <x:v>中证红利</x:v>
      </x:c>
      <x:c r="C2472" s="1" t="str">
        <x:v>2021-06</x:v>
      </x:c>
      <x:c r="D2472" s="1" t="str">
        <x:v>2021-05-31</x:v>
      </x:c>
      <x:c r="E2472" s="5" t="n">
        <x:v>5204.73</x:v>
      </x:c>
      <x:c r="F2472" s="6" t="str">
        <x:v>2021-06-30</x:v>
      </x:c>
      <x:c r="G2472" s="5" t="n">
        <x:v>5153.4</x:v>
      </x:c>
      <x:c r="H2472" s="7" t="n">
        <x:f>G2472/E2472-1</x:f>
        <x:v>-0.009862183052723128</x:v>
      </x:c>
      <x:c r="I2472" s="1" t="n">
        <x:v>1</x:v>
      </x:c>
      <x:c r="J2472" s="1" t="n">
        <x:v>1</x:v>
      </x:c>
      <x:c r="K2472" s="1" t="str">
        <x:v>中证官方优先</x:v>
      </x:c>
    </x:row>
    <x:row r="2473" ht="25" customHeight="1">
      <x:c r="A2473" s="1" t="str">
        <x:v>sh000922</x:v>
      </x:c>
      <x:c r="B2473" s="1" t="str">
        <x:v>中证红利</x:v>
      </x:c>
      <x:c r="C2473" s="1" t="str">
        <x:v>2021-07</x:v>
      </x:c>
      <x:c r="D2473" s="1" t="str">
        <x:v>2021-06-30</x:v>
      </x:c>
      <x:c r="E2473" s="5" t="n">
        <x:v>5153.4</x:v>
      </x:c>
      <x:c r="F2473" s="6" t="str">
        <x:v>2021-07-30</x:v>
      </x:c>
      <x:c r="G2473" s="5" t="n">
        <x:v>4858.43</x:v>
      </x:c>
      <x:c r="H2473" s="7" t="n">
        <x:f>G2473/E2473-1</x:f>
        <x:v>-0.05723794000077609</x:v>
      </x:c>
      <x:c r="I2473" s="1" t="n">
        <x:v>1</x:v>
      </x:c>
      <x:c r="J2473" s="1" t="n">
        <x:v>1</x:v>
      </x:c>
      <x:c r="K2473" s="1" t="str">
        <x:v>中证官方优先</x:v>
      </x:c>
    </x:row>
    <x:row r="2474" ht="25" customHeight="1">
      <x:c r="A2474" s="1" t="str">
        <x:v>sh000922</x:v>
      </x:c>
      <x:c r="B2474" s="1" t="str">
        <x:v>中证红利</x:v>
      </x:c>
      <x:c r="C2474" s="1" t="str">
        <x:v>2021-08</x:v>
      </x:c>
      <x:c r="D2474" s="1" t="str">
        <x:v>2021-07-30</x:v>
      </x:c>
      <x:c r="E2474" s="5" t="n">
        <x:v>4858.43</x:v>
      </x:c>
      <x:c r="F2474" s="6" t="str">
        <x:v>2021-08-31</x:v>
      </x:c>
      <x:c r="G2474" s="5" t="n">
        <x:v>5385.98</x:v>
      </x:c>
      <x:c r="H2474" s="7" t="n">
        <x:f>G2474/E2474-1</x:f>
        <x:v>0.10858446041210823</x:v>
      </x:c>
      <x:c r="I2474" s="1" t="n">
        <x:v>1</x:v>
      </x:c>
      <x:c r="J2474" s="1" t="n">
        <x:v>1</x:v>
      </x:c>
      <x:c r="K2474" s="1" t="str">
        <x:v>中证官方优先</x:v>
      </x:c>
    </x:row>
    <x:row r="2475" ht="25" customHeight="1">
      <x:c r="A2475" s="1" t="str">
        <x:v>sh000922</x:v>
      </x:c>
      <x:c r="B2475" s="1" t="str">
        <x:v>中证红利</x:v>
      </x:c>
      <x:c r="C2475" s="1" t="str">
        <x:v>2021-09</x:v>
      </x:c>
      <x:c r="D2475" s="1" t="str">
        <x:v>2021-08-31</x:v>
      </x:c>
      <x:c r="E2475" s="5" t="n">
        <x:v>5385.98</x:v>
      </x:c>
      <x:c r="F2475" s="6" t="str">
        <x:v>2021-09-30</x:v>
      </x:c>
      <x:c r="G2475" s="5" t="n">
        <x:v>5245.35</x:v>
      </x:c>
      <x:c r="H2475" s="7" t="n">
        <x:f>G2475/E2475-1</x:f>
        <x:v>-0.02611038288296641</x:v>
      </x:c>
      <x:c r="I2475" s="1" t="n">
        <x:v>1</x:v>
      </x:c>
      <x:c r="J2475" s="1" t="n">
        <x:v>1</x:v>
      </x:c>
      <x:c r="K2475" s="1" t="str">
        <x:v>中证官方优先</x:v>
      </x:c>
    </x:row>
    <x:row r="2476" ht="25" customHeight="1">
      <x:c r="A2476" s="1" t="str">
        <x:v>sh000922</x:v>
      </x:c>
      <x:c r="B2476" s="1" t="str">
        <x:v>中证红利</x:v>
      </x:c>
      <x:c r="C2476" s="1" t="str">
        <x:v>2021-10</x:v>
      </x:c>
      <x:c r="D2476" s="1" t="str">
        <x:v>2021-09-30</x:v>
      </x:c>
      <x:c r="E2476" s="5" t="n">
        <x:v>5245.35</x:v>
      </x:c>
      <x:c r="F2476" s="6" t="str">
        <x:v>2021-10-29</x:v>
      </x:c>
      <x:c r="G2476" s="5" t="n">
        <x:v>4964.67</x:v>
      </x:c>
      <x:c r="H2476" s="7" t="n">
        <x:f>G2476/E2476-1</x:f>
        <x:v>-0.05351025193743031</x:v>
      </x:c>
      <x:c r="I2476" s="1" t="n">
        <x:v>1</x:v>
      </x:c>
      <x:c r="J2476" s="1" t="n">
        <x:v>1</x:v>
      </x:c>
      <x:c r="K2476" s="1" t="str">
        <x:v>中证官方优先</x:v>
      </x:c>
    </x:row>
    <x:row r="2477" ht="25" customHeight="1">
      <x:c r="A2477" s="1" t="str">
        <x:v>sh000922</x:v>
      </x:c>
      <x:c r="B2477" s="1" t="str">
        <x:v>中证红利</x:v>
      </x:c>
      <x:c r="C2477" s="1" t="str">
        <x:v>2021-11</x:v>
      </x:c>
      <x:c r="D2477" s="1" t="str">
        <x:v>2021-10-29</x:v>
      </x:c>
      <x:c r="E2477" s="5" t="n">
        <x:v>4964.67</x:v>
      </x:c>
      <x:c r="F2477" s="6" t="str">
        <x:v>2021-11-30</x:v>
      </x:c>
      <x:c r="G2477" s="5" t="n">
        <x:v>5044.12</x:v>
      </x:c>
      <x:c r="H2477" s="7" t="n">
        <x:f>G2477/E2477-1</x:f>
        <x:v>0.01600307774736276</x:v>
      </x:c>
      <x:c r="I2477" s="1" t="n">
        <x:v>1</x:v>
      </x:c>
      <x:c r="J2477" s="1" t="n">
        <x:v>1</x:v>
      </x:c>
      <x:c r="K2477" s="1" t="str">
        <x:v>中证官方优先</x:v>
      </x:c>
    </x:row>
    <x:row r="2478" ht="25" customHeight="1">
      <x:c r="A2478" s="1" t="str">
        <x:v>sh000922</x:v>
      </x:c>
      <x:c r="B2478" s="1" t="str">
        <x:v>中证红利</x:v>
      </x:c>
      <x:c r="C2478" s="1" t="str">
        <x:v>2021-12</x:v>
      </x:c>
      <x:c r="D2478" s="1" t="str">
        <x:v>2021-11-30</x:v>
      </x:c>
      <x:c r="E2478" s="5" t="n">
        <x:v>5044.12</x:v>
      </x:c>
      <x:c r="F2478" s="6" t="str">
        <x:v>2021-12-31</x:v>
      </x:c>
      <x:c r="G2478" s="5" t="n">
        <x:v>5209.9</x:v>
      </x:c>
      <x:c r="H2478" s="7" t="n">
        <x:f>G2478/E2478-1</x:f>
        <x:v>0.03286599049982941</x:v>
      </x:c>
      <x:c r="I2478" s="1" t="n">
        <x:v>1</x:v>
      </x:c>
      <x:c r="J2478" s="1" t="n">
        <x:v>1</x:v>
      </x:c>
      <x:c r="K2478" s="1" t="str">
        <x:v>中证官方优先</x:v>
      </x:c>
    </x:row>
    <x:row r="2479" ht="25" customHeight="1">
      <x:c r="A2479" s="1" t="str">
        <x:v>sh000922</x:v>
      </x:c>
      <x:c r="B2479" s="1" t="str">
        <x:v>中证红利</x:v>
      </x:c>
      <x:c r="C2479" s="1" t="str">
        <x:v>2022-01</x:v>
      </x:c>
      <x:c r="D2479" s="1" t="str">
        <x:v>2021-12-31</x:v>
      </x:c>
      <x:c r="E2479" s="5" t="n">
        <x:v>5209.9</x:v>
      </x:c>
      <x:c r="F2479" s="6" t="str">
        <x:v>2022-01-28</x:v>
      </x:c>
      <x:c r="G2479" s="5" t="n">
        <x:v>5009.74</x:v>
      </x:c>
      <x:c r="H2479" s="7" t="n">
        <x:f>G2479/E2479-1</x:f>
        <x:v>-0.038419163515614474</x:v>
      </x:c>
      <x:c r="I2479" s="1" t="n">
        <x:v>1</x:v>
      </x:c>
      <x:c r="J2479" s="1" t="n">
        <x:v>1</x:v>
      </x:c>
      <x:c r="K2479" s="1" t="str">
        <x:v>中证官方优先</x:v>
      </x:c>
    </x:row>
    <x:row r="2480" ht="25" customHeight="1">
      <x:c r="A2480" s="1" t="str">
        <x:v>sh000922</x:v>
      </x:c>
      <x:c r="B2480" s="1" t="str">
        <x:v>中证红利</x:v>
      </x:c>
      <x:c r="C2480" s="1" t="str">
        <x:v>2022-02</x:v>
      </x:c>
      <x:c r="D2480" s="1" t="str">
        <x:v>2022-01-28</x:v>
      </x:c>
      <x:c r="E2480" s="5" t="n">
        <x:v>5009.74</x:v>
      </x:c>
      <x:c r="F2480" s="6" t="str">
        <x:v>2022-02-28</x:v>
      </x:c>
      <x:c r="G2480" s="5" t="n">
        <x:v>5219.15</x:v>
      </x:c>
      <x:c r="H2480" s="7" t="n">
        <x:f>G2480/E2480-1</x:f>
        <x:v>0.041800572484799625</x:v>
      </x:c>
      <x:c r="I2480" s="1" t="n">
        <x:v>1</x:v>
      </x:c>
      <x:c r="J2480" s="1" t="n">
        <x:v>1</x:v>
      </x:c>
      <x:c r="K2480" s="1" t="str">
        <x:v>中证官方优先</x:v>
      </x:c>
    </x:row>
    <x:row r="2481" ht="25" customHeight="1">
      <x:c r="A2481" s="1" t="str">
        <x:v>sh000922</x:v>
      </x:c>
      <x:c r="B2481" s="1" t="str">
        <x:v>中证红利</x:v>
      </x:c>
      <x:c r="C2481" s="1" t="str">
        <x:v>2022-03</x:v>
      </x:c>
      <x:c r="D2481" s="1" t="str">
        <x:v>2022-02-28</x:v>
      </x:c>
      <x:c r="E2481" s="5" t="n">
        <x:v>5219.15</x:v>
      </x:c>
      <x:c r="F2481" s="6" t="str">
        <x:v>2022-03-31</x:v>
      </x:c>
      <x:c r="G2481" s="5" t="n">
        <x:v>5303.28</x:v>
      </x:c>
      <x:c r="H2481" s="7" t="n">
        <x:f>G2481/E2481-1</x:f>
        <x:v>0.016119483057585926</x:v>
      </x:c>
      <x:c r="I2481" s="1" t="n">
        <x:v>1</x:v>
      </x:c>
      <x:c r="J2481" s="1" t="n">
        <x:v>1</x:v>
      </x:c>
      <x:c r="K2481" s="1" t="str">
        <x:v>中证官方优先</x:v>
      </x:c>
    </x:row>
    <x:row r="2482" ht="25" customHeight="1">
      <x:c r="A2482" s="1" t="str">
        <x:v>sh000922</x:v>
      </x:c>
      <x:c r="B2482" s="1" t="str">
        <x:v>中证红利</x:v>
      </x:c>
      <x:c r="C2482" s="1" t="str">
        <x:v>2022-04</x:v>
      </x:c>
      <x:c r="D2482" s="1" t="str">
        <x:v>2022-03-31</x:v>
      </x:c>
      <x:c r="E2482" s="5" t="n">
        <x:v>5303.28</x:v>
      </x:c>
      <x:c r="F2482" s="6" t="str">
        <x:v>2022-04-29</x:v>
      </x:c>
      <x:c r="G2482" s="5" t="n">
        <x:v>5019.23</x:v>
      </x:c>
      <x:c r="H2482" s="7" t="n">
        <x:f>G2482/E2482-1</x:f>
        <x:v>-0.05356119231871603</x:v>
      </x:c>
      <x:c r="I2482" s="1" t="n">
        <x:v>1</x:v>
      </x:c>
      <x:c r="J2482" s="1" t="n">
        <x:v>1</x:v>
      </x:c>
      <x:c r="K2482" s="1" t="str">
        <x:v>中证官方优先</x:v>
      </x:c>
    </x:row>
    <x:row r="2483" ht="25" customHeight="1">
      <x:c r="A2483" s="1" t="str">
        <x:v>sh000922</x:v>
      </x:c>
      <x:c r="B2483" s="1" t="str">
        <x:v>中证红利</x:v>
      </x:c>
      <x:c r="C2483" s="1" t="str">
        <x:v>2022-05</x:v>
      </x:c>
      <x:c r="D2483" s="1" t="str">
        <x:v>2022-04-29</x:v>
      </x:c>
      <x:c r="E2483" s="5" t="n">
        <x:v>5019.23</x:v>
      </x:c>
      <x:c r="F2483" s="6" t="str">
        <x:v>2022-05-31</x:v>
      </x:c>
      <x:c r="G2483" s="5" t="n">
        <x:v>5070.53</x:v>
      </x:c>
      <x:c r="H2483" s="7" t="n">
        <x:f>G2483/E2483-1</x:f>
        <x:v>0.010220691221561884</x:v>
      </x:c>
      <x:c r="I2483" s="1" t="n">
        <x:v>1</x:v>
      </x:c>
      <x:c r="J2483" s="1" t="n">
        <x:v>1</x:v>
      </x:c>
      <x:c r="K2483" s="1" t="str">
        <x:v>中证官方优先</x:v>
      </x:c>
    </x:row>
    <x:row r="2484" ht="25" customHeight="1">
      <x:c r="A2484" s="1" t="str">
        <x:v>sh000922</x:v>
      </x:c>
      <x:c r="B2484" s="1" t="str">
        <x:v>中证红利</x:v>
      </x:c>
      <x:c r="C2484" s="1" t="str">
        <x:v>2022-06</x:v>
      </x:c>
      <x:c r="D2484" s="1" t="str">
        <x:v>2022-05-31</x:v>
      </x:c>
      <x:c r="E2484" s="5" t="n">
        <x:v>5070.53</x:v>
      </x:c>
      <x:c r="F2484" s="6" t="str">
        <x:v>2022-06-30</x:v>
      </x:c>
      <x:c r="G2484" s="5" t="n">
        <x:v>5106.47</x:v>
      </x:c>
      <x:c r="H2484" s="7" t="n">
        <x:f>G2484/E2484-1</x:f>
        <x:v>0.0070880164400961565</x:v>
      </x:c>
      <x:c r="I2484" s="1" t="n">
        <x:v>1</x:v>
      </x:c>
      <x:c r="J2484" s="1" t="n">
        <x:v>1</x:v>
      </x:c>
      <x:c r="K2484" s="1" t="str">
        <x:v>中证官方优先</x:v>
      </x:c>
    </x:row>
    <x:row r="2485" ht="25" customHeight="1">
      <x:c r="A2485" s="1" t="str">
        <x:v>sh000922</x:v>
      </x:c>
      <x:c r="B2485" s="1" t="str">
        <x:v>中证红利</x:v>
      </x:c>
      <x:c r="C2485" s="1" t="str">
        <x:v>2022-07</x:v>
      </x:c>
      <x:c r="D2485" s="1" t="str">
        <x:v>2022-06-30</x:v>
      </x:c>
      <x:c r="E2485" s="5" t="n">
        <x:v>5106.47</x:v>
      </x:c>
      <x:c r="F2485" s="6" t="str">
        <x:v>2022-07-29</x:v>
      </x:c>
      <x:c r="G2485" s="5" t="n">
        <x:v>4921.72</x:v>
      </x:c>
      <x:c r="H2485" s="7" t="n">
        <x:f>G2485/E2485-1</x:f>
        <x:v>-0.036179591772790176</x:v>
      </x:c>
      <x:c r="I2485" s="1" t="n">
        <x:v>1</x:v>
      </x:c>
      <x:c r="J2485" s="1" t="n">
        <x:v>1</x:v>
      </x:c>
      <x:c r="K2485" s="1" t="str">
        <x:v>中证官方优先</x:v>
      </x:c>
    </x:row>
    <x:row r="2486" ht="25" customHeight="1">
      <x:c r="A2486" s="1" t="str">
        <x:v>sh000922</x:v>
      </x:c>
      <x:c r="B2486" s="1" t="str">
        <x:v>中证红利</x:v>
      </x:c>
      <x:c r="C2486" s="1" t="str">
        <x:v>2022-08</x:v>
      </x:c>
      <x:c r="D2486" s="1" t="str">
        <x:v>2022-07-29</x:v>
      </x:c>
      <x:c r="E2486" s="5" t="n">
        <x:v>4921.72</x:v>
      </x:c>
      <x:c r="F2486" s="6" t="str">
        <x:v>2022-08-31</x:v>
      </x:c>
      <x:c r="G2486" s="5" t="n">
        <x:v>5009.62</x:v>
      </x:c>
      <x:c r="H2486" s="7" t="n">
        <x:f>G2486/E2486-1</x:f>
        <x:v>0.017859610055021236</x:v>
      </x:c>
      <x:c r="I2486" s="1" t="n">
        <x:v>1</x:v>
      </x:c>
      <x:c r="J2486" s="1" t="n">
        <x:v>1</x:v>
      </x:c>
      <x:c r="K2486" s="1" t="str">
        <x:v>中证官方优先</x:v>
      </x:c>
    </x:row>
    <x:row r="2487" ht="25" customHeight="1">
      <x:c r="A2487" s="1" t="str">
        <x:v>sh000922</x:v>
      </x:c>
      <x:c r="B2487" s="1" t="str">
        <x:v>中证红利</x:v>
      </x:c>
      <x:c r="C2487" s="1" t="str">
        <x:v>2022-09</x:v>
      </x:c>
      <x:c r="D2487" s="1" t="str">
        <x:v>2022-08-31</x:v>
      </x:c>
      <x:c r="E2487" s="5" t="n">
        <x:v>5009.62</x:v>
      </x:c>
      <x:c r="F2487" s="6" t="str">
        <x:v>2022-09-30</x:v>
      </x:c>
      <x:c r="G2487" s="5" t="n">
        <x:v>4869.99</x:v>
      </x:c>
      <x:c r="H2487" s="7" t="n">
        <x:f>G2487/E2487-1</x:f>
        <x:v>-0.027872373553283536</x:v>
      </x:c>
      <x:c r="I2487" s="1" t="n">
        <x:v>1</x:v>
      </x:c>
      <x:c r="J2487" s="1" t="n">
        <x:v>1</x:v>
      </x:c>
      <x:c r="K2487" s="1" t="str">
        <x:v>中证官方优先</x:v>
      </x:c>
    </x:row>
    <x:row r="2488" ht="25" customHeight="1">
      <x:c r="A2488" s="1" t="str">
        <x:v>sh000922</x:v>
      </x:c>
      <x:c r="B2488" s="1" t="str">
        <x:v>中证红利</x:v>
      </x:c>
      <x:c r="C2488" s="1" t="str">
        <x:v>2022-10</x:v>
      </x:c>
      <x:c r="D2488" s="1" t="str">
        <x:v>2022-09-30</x:v>
      </x:c>
      <x:c r="E2488" s="5" t="n">
        <x:v>4869.99</x:v>
      </x:c>
      <x:c r="F2488" s="6" t="str">
        <x:v>2022-10-31</x:v>
      </x:c>
      <x:c r="G2488" s="5" t="n">
        <x:v>4562</x:v>
      </x:c>
      <x:c r="H2488" s="7" t="n">
        <x:f>G2488/E2488-1</x:f>
        <x:v>-0.06324242965591298</x:v>
      </x:c>
      <x:c r="I2488" s="1" t="n">
        <x:v>1</x:v>
      </x:c>
      <x:c r="J2488" s="1" t="n">
        <x:v>1</x:v>
      </x:c>
      <x:c r="K2488" s="1" t="str">
        <x:v>中证官方优先</x:v>
      </x:c>
    </x:row>
    <x:row r="2489" ht="25" customHeight="1">
      <x:c r="A2489" s="1" t="str">
        <x:v>sh000922</x:v>
      </x:c>
      <x:c r="B2489" s="1" t="str">
        <x:v>中证红利</x:v>
      </x:c>
      <x:c r="C2489" s="1" t="str">
        <x:v>2022-11</x:v>
      </x:c>
      <x:c r="D2489" s="1" t="str">
        <x:v>2022-10-31</x:v>
      </x:c>
      <x:c r="E2489" s="5" t="n">
        <x:v>4562</x:v>
      </x:c>
      <x:c r="F2489" s="6" t="str">
        <x:v>2022-11-30</x:v>
      </x:c>
      <x:c r="G2489" s="5" t="n">
        <x:v>5120.05</x:v>
      </x:c>
      <x:c r="H2489" s="7" t="n">
        <x:f>G2489/E2489-1</x:f>
        <x:v>0.12232573432704963</x:v>
      </x:c>
      <x:c r="I2489" s="1" t="n">
        <x:v>1</x:v>
      </x:c>
      <x:c r="J2489" s="1" t="n">
        <x:v>1</x:v>
      </x:c>
      <x:c r="K2489" s="1" t="str">
        <x:v>中证官方优先</x:v>
      </x:c>
    </x:row>
    <x:row r="2490" ht="25" customHeight="1">
      <x:c r="A2490" s="1" t="str">
        <x:v>sh000922</x:v>
      </x:c>
      <x:c r="B2490" s="1" t="str">
        <x:v>中证红利</x:v>
      </x:c>
      <x:c r="C2490" s="1" t="str">
        <x:v>2022-12</x:v>
      </x:c>
      <x:c r="D2490" s="1" t="str">
        <x:v>2022-11-30</x:v>
      </x:c>
      <x:c r="E2490" s="5" t="n">
        <x:v>5120.05</x:v>
      </x:c>
      <x:c r="F2490" s="6" t="str">
        <x:v>2022-12-30</x:v>
      </x:c>
      <x:c r="G2490" s="5" t="n">
        <x:v>4925.86</x:v>
      </x:c>
      <x:c r="H2490" s="7" t="n">
        <x:f>G2490/E2490-1</x:f>
        <x:v>-0.03792736399058616</x:v>
      </x:c>
      <x:c r="I2490" s="1" t="n">
        <x:v>1</x:v>
      </x:c>
      <x:c r="J2490" s="1" t="n">
        <x:v>1</x:v>
      </x:c>
      <x:c r="K2490" s="1" t="str">
        <x:v>中证官方优先</x:v>
      </x:c>
    </x:row>
    <x:row r="2491" ht="25" customHeight="1">
      <x:c r="A2491" s="1" t="str">
        <x:v>sh000922</x:v>
      </x:c>
      <x:c r="B2491" s="1" t="str">
        <x:v>中证红利</x:v>
      </x:c>
      <x:c r="C2491" s="1" t="str">
        <x:v>2023-01</x:v>
      </x:c>
      <x:c r="D2491" s="1" t="str">
        <x:v>2022-12-30</x:v>
      </x:c>
      <x:c r="E2491" s="5" t="n">
        <x:v>4925.86</x:v>
      </x:c>
      <x:c r="F2491" s="6" t="str">
        <x:v>2023-01-31</x:v>
      </x:c>
      <x:c r="G2491" s="5" t="n">
        <x:v>5099.71</x:v>
      </x:c>
      <x:c r="H2491" s="7" t="n">
        <x:f>G2491/E2491-1</x:f>
        <x:v>0.0352933294896729</x:v>
      </x:c>
      <x:c r="I2491" s="1" t="n">
        <x:v>1</x:v>
      </x:c>
      <x:c r="J2491" s="1" t="n">
        <x:v>1</x:v>
      </x:c>
      <x:c r="K2491" s="1" t="str">
        <x:v>中证官方优先</x:v>
      </x:c>
    </x:row>
    <x:row r="2492" ht="25" customHeight="1">
      <x:c r="A2492" s="1" t="str">
        <x:v>sh000922</x:v>
      </x:c>
      <x:c r="B2492" s="1" t="str">
        <x:v>中证红利</x:v>
      </x:c>
      <x:c r="C2492" s="1" t="str">
        <x:v>2023-02</x:v>
      </x:c>
      <x:c r="D2492" s="1" t="str">
        <x:v>2023-01-31</x:v>
      </x:c>
      <x:c r="E2492" s="5" t="n">
        <x:v>5099.71</x:v>
      </x:c>
      <x:c r="F2492" s="6" t="str">
        <x:v>2023-02-28</x:v>
      </x:c>
      <x:c r="G2492" s="5" t="n">
        <x:v>5245.94</x:v>
      </x:c>
      <x:c r="H2492" s="7" t="n">
        <x:f>G2492/E2492-1</x:f>
        <x:v>0.02867417951216833</x:v>
      </x:c>
      <x:c r="I2492" s="1" t="n">
        <x:v>1</x:v>
      </x:c>
      <x:c r="J2492" s="1" t="n">
        <x:v>1</x:v>
      </x:c>
      <x:c r="K2492" s="1" t="str">
        <x:v>中证官方优先</x:v>
      </x:c>
    </x:row>
    <x:row r="2493" ht="25" customHeight="1">
      <x:c r="A2493" s="1" t="str">
        <x:v>sh000922</x:v>
      </x:c>
      <x:c r="B2493" s="1" t="str">
        <x:v>中证红利</x:v>
      </x:c>
      <x:c r="C2493" s="1" t="str">
        <x:v>2023-03</x:v>
      </x:c>
      <x:c r="D2493" s="1" t="str">
        <x:v>2023-02-28</x:v>
      </x:c>
      <x:c r="E2493" s="5" t="n">
        <x:v>5245.94</x:v>
      </x:c>
      <x:c r="F2493" s="6" t="str">
        <x:v>2023-03-31</x:v>
      </x:c>
      <x:c r="G2493" s="5" t="n">
        <x:v>5175.89</x:v>
      </x:c>
      <x:c r="H2493" s="7" t="n">
        <x:f>G2493/E2493-1</x:f>
        <x:v>-0.01335318360484472</x:v>
      </x:c>
      <x:c r="I2493" s="1" t="n">
        <x:v>1</x:v>
      </x:c>
      <x:c r="J2493" s="1" t="n">
        <x:v>1</x:v>
      </x:c>
      <x:c r="K2493" s="1" t="str">
        <x:v>中证官方优先</x:v>
      </x:c>
    </x:row>
    <x:row r="2494" ht="25" customHeight="1">
      <x:c r="A2494" s="1" t="str">
        <x:v>sh000922</x:v>
      </x:c>
      <x:c r="B2494" s="1" t="str">
        <x:v>中证红利</x:v>
      </x:c>
      <x:c r="C2494" s="1" t="str">
        <x:v>2023-04</x:v>
      </x:c>
      <x:c r="D2494" s="1" t="str">
        <x:v>2023-03-31</x:v>
      </x:c>
      <x:c r="E2494" s="5" t="n">
        <x:v>5175.89</x:v>
      </x:c>
      <x:c r="F2494" s="6" t="str">
        <x:v>2023-04-28</x:v>
      </x:c>
      <x:c r="G2494" s="5" t="n">
        <x:v>5414.95</x:v>
      </x:c>
      <x:c r="H2494" s="7" t="n">
        <x:f>G2494/E2494-1</x:f>
        <x:v>0.046187225771799456</x:v>
      </x:c>
      <x:c r="I2494" s="1" t="n">
        <x:v>1</x:v>
      </x:c>
      <x:c r="J2494" s="1" t="n">
        <x:v>1</x:v>
      </x:c>
      <x:c r="K2494" s="1" t="str">
        <x:v>中证官方优先</x:v>
      </x:c>
    </x:row>
    <x:row r="2495" ht="25" customHeight="1">
      <x:c r="A2495" s="1" t="str">
        <x:v>sh000922</x:v>
      </x:c>
      <x:c r="B2495" s="1" t="str">
        <x:v>中证红利</x:v>
      </x:c>
      <x:c r="C2495" s="1" t="str">
        <x:v>2023-05</x:v>
      </x:c>
      <x:c r="D2495" s="1" t="str">
        <x:v>2023-04-28</x:v>
      </x:c>
      <x:c r="E2495" s="5" t="n">
        <x:v>5414.95</x:v>
      </x:c>
      <x:c r="F2495" s="6" t="str">
        <x:v>2023-05-31</x:v>
      </x:c>
      <x:c r="G2495" s="5" t="n">
        <x:v>5214.21</x:v>
      </x:c>
      <x:c r="H2495" s="7" t="n">
        <x:f>G2495/E2495-1</x:f>
        <x:v>-0.03707144110287253</x:v>
      </x:c>
      <x:c r="I2495" s="1" t="n">
        <x:v>1</x:v>
      </x:c>
      <x:c r="J2495" s="1" t="n">
        <x:v>1</x:v>
      </x:c>
      <x:c r="K2495" s="1" t="str">
        <x:v>中证官方优先</x:v>
      </x:c>
    </x:row>
    <x:row r="2496" ht="25" customHeight="1">
      <x:c r="A2496" s="1" t="str">
        <x:v>sh000922</x:v>
      </x:c>
      <x:c r="B2496" s="1" t="str">
        <x:v>中证红利</x:v>
      </x:c>
      <x:c r="C2496" s="1" t="str">
        <x:v>2023-06</x:v>
      </x:c>
      <x:c r="D2496" s="1" t="str">
        <x:v>2023-05-31</x:v>
      </x:c>
      <x:c r="E2496" s="5" t="n">
        <x:v>5214.21</x:v>
      </x:c>
      <x:c r="F2496" s="6" t="str">
        <x:v>2023-06-30</x:v>
      </x:c>
      <x:c r="G2496" s="5" t="n">
        <x:v>5072.55</x:v>
      </x:c>
      <x:c r="H2496" s="7" t="n">
        <x:f>G2496/E2496-1</x:f>
        <x:v>-0.027168065728077617</x:v>
      </x:c>
      <x:c r="I2496" s="1" t="n">
        <x:v>1</x:v>
      </x:c>
      <x:c r="J2496" s="1" t="n">
        <x:v>1</x:v>
      </x:c>
      <x:c r="K2496" s="1" t="str">
        <x:v>中证官方优先</x:v>
      </x:c>
    </x:row>
    <x:row r="2497" ht="25" customHeight="1">
      <x:c r="A2497" s="1" t="str">
        <x:v>sh000922</x:v>
      </x:c>
      <x:c r="B2497" s="1" t="str">
        <x:v>中证红利</x:v>
      </x:c>
      <x:c r="C2497" s="1" t="str">
        <x:v>2023-07</x:v>
      </x:c>
      <x:c r="D2497" s="1" t="str">
        <x:v>2023-06-30</x:v>
      </x:c>
      <x:c r="E2497" s="5" t="n">
        <x:v>5072.55</x:v>
      </x:c>
      <x:c r="F2497" s="6" t="str">
        <x:v>2023-07-31</x:v>
      </x:c>
      <x:c r="G2497" s="5" t="n">
        <x:v>5278.66</x:v>
      </x:c>
      <x:c r="H2497" s="7" t="n">
        <x:f>G2497/E2497-1</x:f>
        <x:v>0.04063242353451413</x:v>
      </x:c>
      <x:c r="I2497" s="1" t="n">
        <x:v>1</x:v>
      </x:c>
      <x:c r="J2497" s="1" t="n">
        <x:v>1</x:v>
      </x:c>
      <x:c r="K2497" s="1" t="str">
        <x:v>中证官方优先</x:v>
      </x:c>
    </x:row>
    <x:row r="2498" ht="25" customHeight="1">
      <x:c r="A2498" s="1" t="str">
        <x:v>sh000922</x:v>
      </x:c>
      <x:c r="B2498" s="1" t="str">
        <x:v>中证红利</x:v>
      </x:c>
      <x:c r="C2498" s="1" t="str">
        <x:v>2023-08</x:v>
      </x:c>
      <x:c r="D2498" s="1" t="str">
        <x:v>2023-07-31</x:v>
      </x:c>
      <x:c r="E2498" s="5" t="n">
        <x:v>5278.66</x:v>
      </x:c>
      <x:c r="F2498" s="6" t="str">
        <x:v>2023-08-31</x:v>
      </x:c>
      <x:c r="G2498" s="5" t="n">
        <x:v>5060.9</x:v>
      </x:c>
      <x:c r="H2498" s="7" t="n">
        <x:f>G2498/E2498-1</x:f>
        <x:v>-0.041252893726817064</x:v>
      </x:c>
      <x:c r="I2498" s="1" t="n">
        <x:v>1</x:v>
      </x:c>
      <x:c r="J2498" s="1" t="n">
        <x:v>1</x:v>
      </x:c>
      <x:c r="K2498" s="1" t="str">
        <x:v>中证官方优先</x:v>
      </x:c>
    </x:row>
    <x:row r="2499" ht="25" customHeight="1">
      <x:c r="A2499" s="1" t="str">
        <x:v>sh000922</x:v>
      </x:c>
      <x:c r="B2499" s="1" t="str">
        <x:v>中证红利</x:v>
      </x:c>
      <x:c r="C2499" s="1" t="str">
        <x:v>2023-09</x:v>
      </x:c>
      <x:c r="D2499" s="1" t="str">
        <x:v>2023-08-31</x:v>
      </x:c>
      <x:c r="E2499" s="5" t="n">
        <x:v>5060.9</x:v>
      </x:c>
      <x:c r="F2499" s="6" t="str">
        <x:v>2023-09-28</x:v>
      </x:c>
      <x:c r="G2499" s="5" t="n">
        <x:v>5161.13</x:v>
      </x:c>
      <x:c r="H2499" s="7" t="n">
        <x:f>G2499/E2499-1</x:f>
        <x:v>0.019804777806319063</x:v>
      </x:c>
      <x:c r="I2499" s="1" t="n">
        <x:v>1</x:v>
      </x:c>
      <x:c r="J2499" s="1" t="n">
        <x:v>1</x:v>
      </x:c>
      <x:c r="K2499" s="1" t="str">
        <x:v>中证官方优先</x:v>
      </x:c>
    </x:row>
    <x:row r="2500" ht="25" customHeight="1">
      <x:c r="A2500" s="1" t="str">
        <x:v>sh000922</x:v>
      </x:c>
      <x:c r="B2500" s="1" t="str">
        <x:v>中证红利</x:v>
      </x:c>
      <x:c r="C2500" s="1" t="str">
        <x:v>2023-10</x:v>
      </x:c>
      <x:c r="D2500" s="1" t="str">
        <x:v>2023-09-28</x:v>
      </x:c>
      <x:c r="E2500" s="5" t="n">
        <x:v>5161.13</x:v>
      </x:c>
      <x:c r="F2500" s="6" t="str">
        <x:v>2023-10-31</x:v>
      </x:c>
      <x:c r="G2500" s="5" t="n">
        <x:v>4998.89</x:v>
      </x:c>
      <x:c r="H2500" s="7" t="n">
        <x:f>G2500/E2500-1</x:f>
        <x:v>-0.031434976448955876</x:v>
      </x:c>
      <x:c r="I2500" s="1" t="n">
        <x:v>1</x:v>
      </x:c>
      <x:c r="J2500" s="1" t="n">
        <x:v>1</x:v>
      </x:c>
      <x:c r="K2500" s="1" t="str">
        <x:v>中证官方优先</x:v>
      </x:c>
    </x:row>
    <x:row r="2501" ht="25" customHeight="1">
      <x:c r="A2501" s="1" t="str">
        <x:v>sh000922</x:v>
      </x:c>
      <x:c r="B2501" s="1" t="str">
        <x:v>中证红利</x:v>
      </x:c>
      <x:c r="C2501" s="1" t="str">
        <x:v>2023-11</x:v>
      </x:c>
      <x:c r="D2501" s="1" t="str">
        <x:v>2023-10-31</x:v>
      </x:c>
      <x:c r="E2501" s="5" t="n">
        <x:v>4998.89</x:v>
      </x:c>
      <x:c r="F2501" s="6" t="str">
        <x:v>2023-11-30</x:v>
      </x:c>
      <x:c r="G2501" s="5" t="n">
        <x:v>5008.61</x:v>
      </x:c>
      <x:c r="H2501" s="7" t="n">
        <x:f>G2501/E2501-1</x:f>
        <x:v>0.0019444316638292936</x:v>
      </x:c>
      <x:c r="I2501" s="1" t="n">
        <x:v>1</x:v>
      </x:c>
      <x:c r="J2501" s="1" t="n">
        <x:v>1</x:v>
      </x:c>
      <x:c r="K2501" s="1" t="str">
        <x:v>中证官方优先</x:v>
      </x:c>
    </x:row>
    <x:row r="2502" ht="25" customHeight="1">
      <x:c r="A2502" s="1" t="str">
        <x:v>sh000922</x:v>
      </x:c>
      <x:c r="B2502" s="1" t="str">
        <x:v>中证红利</x:v>
      </x:c>
      <x:c r="C2502" s="1" t="str">
        <x:v>2023-12</x:v>
      </x:c>
      <x:c r="D2502" s="1" t="str">
        <x:v>2023-11-30</x:v>
      </x:c>
      <x:c r="E2502" s="5" t="n">
        <x:v>5008.61</x:v>
      </x:c>
      <x:c r="F2502" s="6" t="str">
        <x:v>2023-12-29</x:v>
      </x:c>
      <x:c r="G2502" s="5" t="n">
        <x:v>4969.67</x:v>
      </x:c>
      <x:c r="H2502" s="7" t="n">
        <x:f>G2502/E2502-1</x:f>
        <x:v>-0.007774612117932844</x:v>
      </x:c>
      <x:c r="I2502" s="1" t="n">
        <x:v>1</x:v>
      </x:c>
      <x:c r="J2502" s="1" t="n">
        <x:v>1</x:v>
      </x:c>
      <x:c r="K2502" s="1" t="str">
        <x:v>中证官方优先</x:v>
      </x:c>
    </x:row>
    <x:row r="2503" ht="25" customHeight="1">
      <x:c r="A2503" s="1" t="str">
        <x:v>sh000922</x:v>
      </x:c>
      <x:c r="B2503" s="1" t="str">
        <x:v>中证红利</x:v>
      </x:c>
      <x:c r="C2503" s="1" t="str">
        <x:v>2024-01</x:v>
      </x:c>
      <x:c r="D2503" s="1" t="str">
        <x:v>2023-12-29</x:v>
      </x:c>
      <x:c r="E2503" s="5" t="n">
        <x:v>4969.67</x:v>
      </x:c>
      <x:c r="F2503" s="6" t="str">
        <x:v>2024-01-31</x:v>
      </x:c>
      <x:c r="G2503" s="5" t="n">
        <x:v>5079.34</x:v>
      </x:c>
      <x:c r="H2503" s="7" t="n">
        <x:f>G2503/E2503-1</x:f>
        <x:v>0.02206786366096747</x:v>
      </x:c>
      <x:c r="I2503" s="1" t="n">
        <x:v>1</x:v>
      </x:c>
      <x:c r="J2503" s="1" t="n">
        <x:v>1</x:v>
      </x:c>
      <x:c r="K2503" s="1" t="str">
        <x:v>中证官方优先</x:v>
      </x:c>
    </x:row>
    <x:row r="2504" ht="25" customHeight="1">
      <x:c r="A2504" s="1" t="str">
        <x:v>sh000922</x:v>
      </x:c>
      <x:c r="B2504" s="1" t="str">
        <x:v>中证红利</x:v>
      </x:c>
      <x:c r="C2504" s="1" t="str">
        <x:v>2024-02</x:v>
      </x:c>
      <x:c r="D2504" s="1" t="str">
        <x:v>2024-01-31</x:v>
      </x:c>
      <x:c r="E2504" s="5" t="n">
        <x:v>5079.34</x:v>
      </x:c>
      <x:c r="F2504" s="6" t="str">
        <x:v>2024-02-29</x:v>
      </x:c>
      <x:c r="G2504" s="5" t="n">
        <x:v>5414.02</x:v>
      </x:c>
      <x:c r="H2504" s="7" t="n">
        <x:f>G2504/E2504-1</x:f>
        <x:v>0.06589045033409868</x:v>
      </x:c>
      <x:c r="I2504" s="1" t="n">
        <x:v>1</x:v>
      </x:c>
      <x:c r="J2504" s="1" t="n">
        <x:v>1</x:v>
      </x:c>
      <x:c r="K2504" s="1" t="str">
        <x:v>中证官方优先</x:v>
      </x:c>
    </x:row>
    <x:row r="2505" ht="25" customHeight="1">
      <x:c r="A2505" s="1" t="str">
        <x:v>sh000922</x:v>
      </x:c>
      <x:c r="B2505" s="1" t="str">
        <x:v>中证红利</x:v>
      </x:c>
      <x:c r="C2505" s="1" t="str">
        <x:v>2024-03</x:v>
      </x:c>
      <x:c r="D2505" s="1" t="str">
        <x:v>2024-02-29</x:v>
      </x:c>
      <x:c r="E2505" s="5" t="n">
        <x:v>5414.02</x:v>
      </x:c>
      <x:c r="F2505" s="6" t="str">
        <x:v>2024-03-29</x:v>
      </x:c>
      <x:c r="G2505" s="5" t="n">
        <x:v>5380.73</x:v>
      </x:c>
      <x:c r="H2505" s="7" t="n">
        <x:f>G2505/E2505-1</x:f>
        <x:v>-0.006148850576835896</x:v>
      </x:c>
      <x:c r="I2505" s="1" t="n">
        <x:v>1</x:v>
      </x:c>
      <x:c r="J2505" s="1" t="n">
        <x:v>1</x:v>
      </x:c>
      <x:c r="K2505" s="1" t="str">
        <x:v>中证官方优先</x:v>
      </x:c>
    </x:row>
    <x:row r="2506" ht="25" customHeight="1">
      <x:c r="A2506" s="1" t="str">
        <x:v>sh000922</x:v>
      </x:c>
      <x:c r="B2506" s="1" t="str">
        <x:v>中证红利</x:v>
      </x:c>
      <x:c r="C2506" s="1" t="str">
        <x:v>2024-04</x:v>
      </x:c>
      <x:c r="D2506" s="1" t="str">
        <x:v>2024-03-29</x:v>
      </x:c>
      <x:c r="E2506" s="5" t="n">
        <x:v>5380.73</x:v>
      </x:c>
      <x:c r="F2506" s="6" t="str">
        <x:v>2024-04-30</x:v>
      </x:c>
      <x:c r="G2506" s="5" t="n">
        <x:v>5499.66</x:v>
      </x:c>
      <x:c r="H2506" s="7" t="n">
        <x:f>G2506/E2506-1</x:f>
        <x:v>0.022102948856381976</x:v>
      </x:c>
      <x:c r="I2506" s="1" t="n">
        <x:v>1</x:v>
      </x:c>
      <x:c r="J2506" s="1" t="n">
        <x:v>1</x:v>
      </x:c>
      <x:c r="K2506" s="1" t="str">
        <x:v>中证官方优先</x:v>
      </x:c>
    </x:row>
    <x:row r="2507" ht="25" customHeight="1">
      <x:c r="A2507" s="1" t="str">
        <x:v>sh000922</x:v>
      </x:c>
      <x:c r="B2507" s="1" t="str">
        <x:v>中证红利</x:v>
      </x:c>
      <x:c r="C2507" s="1" t="str">
        <x:v>2024-05</x:v>
      </x:c>
      <x:c r="D2507" s="1" t="str">
        <x:v>2024-04-30</x:v>
      </x:c>
      <x:c r="E2507" s="5" t="n">
        <x:v>5499.66</x:v>
      </x:c>
      <x:c r="F2507" s="6" t="str">
        <x:v>2024-05-31</x:v>
      </x:c>
      <x:c r="G2507" s="5" t="n">
        <x:v>5669.49</x:v>
      </x:c>
      <x:c r="H2507" s="7" t="n">
        <x:f>G2507/E2507-1</x:f>
        <x:v>0.03088009076924747</x:v>
      </x:c>
      <x:c r="I2507" s="1" t="n">
        <x:v>1</x:v>
      </x:c>
      <x:c r="J2507" s="1" t="n">
        <x:v>1</x:v>
      </x:c>
      <x:c r="K2507" s="1" t="str">
        <x:v>中证官方优先</x:v>
      </x:c>
    </x:row>
    <x:row r="2508" ht="25" customHeight="1">
      <x:c r="A2508" s="1" t="str">
        <x:v>sh000922</x:v>
      </x:c>
      <x:c r="B2508" s="1" t="str">
        <x:v>中证红利</x:v>
      </x:c>
      <x:c r="C2508" s="1" t="str">
        <x:v>2024-06</x:v>
      </x:c>
      <x:c r="D2508" s="1" t="str">
        <x:v>2024-05-31</x:v>
      </x:c>
      <x:c r="E2508" s="5" t="n">
        <x:v>5669.49</x:v>
      </x:c>
      <x:c r="F2508" s="6" t="str">
        <x:v>2024-06-28</x:v>
      </x:c>
      <x:c r="G2508" s="5" t="n">
        <x:v>5354.83</x:v>
      </x:c>
      <x:c r="H2508" s="7" t="n">
        <x:f>G2508/E2508-1</x:f>
        <x:v>-0.055500582944850385</x:v>
      </x:c>
      <x:c r="I2508" s="1" t="n">
        <x:v>1</x:v>
      </x:c>
      <x:c r="J2508" s="1" t="n">
        <x:v>1</x:v>
      </x:c>
      <x:c r="K2508" s="1" t="str">
        <x:v>中证官方优先</x:v>
      </x:c>
    </x:row>
    <x:row r="2509" ht="25" customHeight="1">
      <x:c r="A2509" s="1" t="str">
        <x:v>sh000922</x:v>
      </x:c>
      <x:c r="B2509" s="1" t="str">
        <x:v>中证红利</x:v>
      </x:c>
      <x:c r="C2509" s="1" t="str">
        <x:v>2024-07</x:v>
      </x:c>
      <x:c r="D2509" s="1" t="str">
        <x:v>2024-06-28</x:v>
      </x:c>
      <x:c r="E2509" s="5" t="n">
        <x:v>5354.83</x:v>
      </x:c>
      <x:c r="F2509" s="6" t="str">
        <x:v>2024-07-31</x:v>
      </x:c>
      <x:c r="G2509" s="5" t="n">
        <x:v>5114.86</x:v>
      </x:c>
      <x:c r="H2509" s="7" t="n">
        <x:f>G2509/E2509-1</x:f>
        <x:v>-0.04481374758862566</x:v>
      </x:c>
      <x:c r="I2509" s="1" t="n">
        <x:v>1</x:v>
      </x:c>
      <x:c r="J2509" s="1" t="n">
        <x:v>1</x:v>
      </x:c>
      <x:c r="K2509" s="1" t="str">
        <x:v>中证官方优先</x:v>
      </x:c>
    </x:row>
    <x:row r="2510" ht="25" customHeight="1">
      <x:c r="A2510" s="1" t="str">
        <x:v>sh000922</x:v>
      </x:c>
      <x:c r="B2510" s="1" t="str">
        <x:v>中证红利</x:v>
      </x:c>
      <x:c r="C2510" s="1" t="str">
        <x:v>2024-08</x:v>
      </x:c>
      <x:c r="D2510" s="1" t="str">
        <x:v>2024-07-31</x:v>
      </x:c>
      <x:c r="E2510" s="5" t="n">
        <x:v>5114.86</x:v>
      </x:c>
      <x:c r="F2510" s="6" t="str">
        <x:v>2024-08-30</x:v>
      </x:c>
      <x:c r="G2510" s="5" t="n">
        <x:v>4946.1</x:v>
      </x:c>
      <x:c r="H2510" s="7" t="n">
        <x:f>G2510/E2510-1</x:f>
        <x:v>-0.03299406044349196</x:v>
      </x:c>
      <x:c r="I2510" s="1" t="n">
        <x:v>1</x:v>
      </x:c>
      <x:c r="J2510" s="1" t="n">
        <x:v>1</x:v>
      </x:c>
      <x:c r="K2510" s="1" t="str">
        <x:v>中证官方优先</x:v>
      </x:c>
    </x:row>
    <x:row r="2511" ht="25" customHeight="1">
      <x:c r="A2511" s="1" t="str">
        <x:v>sh000922</x:v>
      </x:c>
      <x:c r="B2511" s="1" t="str">
        <x:v>中证红利</x:v>
      </x:c>
      <x:c r="C2511" s="1" t="str">
        <x:v>2024-09</x:v>
      </x:c>
      <x:c r="D2511" s="1" t="str">
        <x:v>2024-08-30</x:v>
      </x:c>
      <x:c r="E2511" s="5" t="n">
        <x:v>4946.1</x:v>
      </x:c>
      <x:c r="F2511" s="6" t="str">
        <x:v>2024-09-30</x:v>
      </x:c>
      <x:c r="G2511" s="5" t="n">
        <x:v>5699.29</x:v>
      </x:c>
      <x:c r="H2511" s="7" t="n">
        <x:f>G2511/E2511-1</x:f>
        <x:v>0.15227957380562462</x:v>
      </x:c>
      <x:c r="I2511" s="1" t="n">
        <x:v>1</x:v>
      </x:c>
      <x:c r="J2511" s="1" t="n">
        <x:v>1</x:v>
      </x:c>
      <x:c r="K2511" s="1" t="str">
        <x:v>中证官方优先</x:v>
      </x:c>
    </x:row>
    <x:row r="2512" ht="25" customHeight="1">
      <x:c r="A2512" s="1" t="str">
        <x:v>sh000922</x:v>
      </x:c>
      <x:c r="B2512" s="1" t="str">
        <x:v>中证红利</x:v>
      </x:c>
      <x:c r="C2512" s="1" t="str">
        <x:v>2024-10</x:v>
      </x:c>
      <x:c r="D2512" s="1" t="str">
        <x:v>2024-09-30</x:v>
      </x:c>
      <x:c r="E2512" s="5" t="n">
        <x:v>5699.29</x:v>
      </x:c>
      <x:c r="F2512" s="6" t="str">
        <x:v>2024-10-31</x:v>
      </x:c>
      <x:c r="G2512" s="5" t="n">
        <x:v>5319.41</x:v>
      </x:c>
      <x:c r="H2512" s="7" t="n">
        <x:f>G2512/E2512-1</x:f>
        <x:v>-0.06665391654048136</x:v>
      </x:c>
      <x:c r="I2512" s="1" t="n">
        <x:v>1</x:v>
      </x:c>
      <x:c r="J2512" s="1" t="n">
        <x:v>1</x:v>
      </x:c>
      <x:c r="K2512" s="1" t="str">
        <x:v>中证官方优先</x:v>
      </x:c>
    </x:row>
    <x:row r="2513" ht="25" customHeight="1">
      <x:c r="A2513" s="1" t="str">
        <x:v>sh000922</x:v>
      </x:c>
      <x:c r="B2513" s="1" t="str">
        <x:v>中证红利</x:v>
      </x:c>
      <x:c r="C2513" s="1" t="str">
        <x:v>2024-11</x:v>
      </x:c>
      <x:c r="D2513" s="1" t="str">
        <x:v>2024-10-31</x:v>
      </x:c>
      <x:c r="E2513" s="5" t="n">
        <x:v>5319.41</x:v>
      </x:c>
      <x:c r="F2513" s="6" t="str">
        <x:v>2024-11-29</x:v>
      </x:c>
      <x:c r="G2513" s="5" t="n">
        <x:v>5392.24</x:v>
      </x:c>
      <x:c r="H2513" s="7" t="n">
        <x:f>G2513/E2513-1</x:f>
        <x:v>0.013691368027657136</x:v>
      </x:c>
      <x:c r="I2513" s="1" t="n">
        <x:v>1</x:v>
      </x:c>
      <x:c r="J2513" s="1" t="n">
        <x:v>1</x:v>
      </x:c>
      <x:c r="K2513" s="1" t="str">
        <x:v>中证官方优先</x:v>
      </x:c>
    </x:row>
    <x:row r="2514" ht="25" customHeight="1">
      <x:c r="A2514" s="1" t="str">
        <x:v>sh000922</x:v>
      </x:c>
      <x:c r="B2514" s="1" t="str">
        <x:v>中证红利</x:v>
      </x:c>
      <x:c r="C2514" s="1" t="str">
        <x:v>2024-12</x:v>
      </x:c>
      <x:c r="D2514" s="1" t="str">
        <x:v>2024-11-29</x:v>
      </x:c>
      <x:c r="E2514" s="5" t="n">
        <x:v>5392.24</x:v>
      </x:c>
      <x:c r="F2514" s="6" t="str">
        <x:v>2024-12-31</x:v>
      </x:c>
      <x:c r="G2514" s="5" t="n">
        <x:v>5581.5</x:v>
      </x:c>
      <x:c r="H2514" s="7" t="n">
        <x:f>G2514/E2514-1</x:f>
        <x:v>0.03509858611634509</x:v>
      </x:c>
      <x:c r="I2514" s="1" t="n">
        <x:v>1</x:v>
      </x:c>
      <x:c r="J2514" s="1" t="n">
        <x:v>1</x:v>
      </x:c>
      <x:c r="K2514" s="1" t="str">
        <x:v>中证官方优先</x:v>
      </x:c>
    </x:row>
    <x:row r="2515" ht="25" customHeight="1">
      <x:c r="A2515" s="1" t="str">
        <x:v>sh000922</x:v>
      </x:c>
      <x:c r="B2515" s="1" t="str">
        <x:v>中证红利</x:v>
      </x:c>
      <x:c r="C2515" s="1" t="str">
        <x:v>2025-01</x:v>
      </x:c>
      <x:c r="D2515" s="1" t="str">
        <x:v>2024-12-31</x:v>
      </x:c>
      <x:c r="E2515" s="5" t="n">
        <x:v>5581.5</x:v>
      </x:c>
      <x:c r="F2515" s="6" t="str">
        <x:v>2025-01-27</x:v>
      </x:c>
      <x:c r="G2515" s="5" t="n">
        <x:v>5397.84</x:v>
      </x:c>
      <x:c r="H2515" s="7" t="n">
        <x:f>G2515/E2515-1</x:f>
        <x:v>-0.03290513302875564</x:v>
      </x:c>
      <x:c r="I2515" s="1" t="n">
        <x:v>1</x:v>
      </x:c>
      <x:c r="J2515" s="1" t="n">
        <x:v>1</x:v>
      </x:c>
      <x:c r="K2515" s="1" t="str">
        <x:v>中证官方优先</x:v>
      </x:c>
    </x:row>
    <x:row r="2516" ht="25" customHeight="1">
      <x:c r="A2516" s="1" t="str">
        <x:v>sh000922</x:v>
      </x:c>
      <x:c r="B2516" s="1" t="str">
        <x:v>中证红利</x:v>
      </x:c>
      <x:c r="C2516" s="1" t="str">
        <x:v>2025-02</x:v>
      </x:c>
      <x:c r="D2516" s="1" t="str">
        <x:v>2025-01-27</x:v>
      </x:c>
      <x:c r="E2516" s="5" t="n">
        <x:v>5397.84</x:v>
      </x:c>
      <x:c r="F2516" s="6" t="str">
        <x:v>2025-02-28</x:v>
      </x:c>
      <x:c r="G2516" s="5" t="n">
        <x:v>5311.65</x:v>
      </x:c>
      <x:c r="H2516" s="7" t="n">
        <x:f>G2516/E2516-1</x:f>
        <x:v>-0.01596749811035536</x:v>
      </x:c>
      <x:c r="I2516" s="1" t="n">
        <x:v>1</x:v>
      </x:c>
      <x:c r="J2516" s="1" t="n">
        <x:v>1</x:v>
      </x:c>
      <x:c r="K2516" s="1" t="str">
        <x:v>中证官方优先</x:v>
      </x:c>
    </x:row>
    <x:row r="2517" ht="25" customHeight="1">
      <x:c r="A2517" s="1" t="str">
        <x:v>sh000922</x:v>
      </x:c>
      <x:c r="B2517" s="1" t="str">
        <x:v>中证红利</x:v>
      </x:c>
      <x:c r="C2517" s="1" t="str">
        <x:v>2025-03</x:v>
      </x:c>
      <x:c r="D2517" s="1" t="str">
        <x:v>2025-02-28</x:v>
      </x:c>
      <x:c r="E2517" s="5" t="n">
        <x:v>5311.65</x:v>
      </x:c>
      <x:c r="F2517" s="6" t="str">
        <x:v>2025-03-31</x:v>
      </x:c>
      <x:c r="G2517" s="5" t="n">
        <x:v>5407.99</x:v>
      </x:c>
      <x:c r="H2517" s="7" t="n">
        <x:f>G2517/E2517-1</x:f>
        <x:v>0.018137490233731457</x:v>
      </x:c>
      <x:c r="I2517" s="1" t="n">
        <x:v>1</x:v>
      </x:c>
      <x:c r="J2517" s="1" t="n">
        <x:v>1</x:v>
      </x:c>
      <x:c r="K2517" s="1" t="str">
        <x:v>中证官方优先</x:v>
      </x:c>
    </x:row>
    <x:row r="2518" ht="25" customHeight="1">
      <x:c r="A2518" s="1" t="str">
        <x:v>sh000922</x:v>
      </x:c>
      <x:c r="B2518" s="1" t="str">
        <x:v>中证红利</x:v>
      </x:c>
      <x:c r="C2518" s="1" t="str">
        <x:v>2025-04</x:v>
      </x:c>
      <x:c r="D2518" s="1" t="str">
        <x:v>2025-03-31</x:v>
      </x:c>
      <x:c r="E2518" s="5" t="n">
        <x:v>5407.99</x:v>
      </x:c>
      <x:c r="F2518" s="6" t="str">
        <x:v>2025-04-30</x:v>
      </x:c>
      <x:c r="G2518" s="5" t="n">
        <x:v>5341.77</x:v>
      </x:c>
      <x:c r="H2518" s="7" t="n">
        <x:f>G2518/E2518-1</x:f>
        <x:v>-0.012244845127302284</x:v>
      </x:c>
      <x:c r="I2518" s="1" t="n">
        <x:v>1</x:v>
      </x:c>
      <x:c r="J2518" s="1" t="n">
        <x:v>1</x:v>
      </x:c>
      <x:c r="K2518" s="1" t="str">
        <x:v>中证官方优先</x:v>
      </x:c>
    </x:row>
    <x:row r="2519" ht="25" customHeight="1">
      <x:c r="A2519" s="1" t="str">
        <x:v>sh000922</x:v>
      </x:c>
      <x:c r="B2519" s="1" t="str">
        <x:v>中证红利</x:v>
      </x:c>
      <x:c r="C2519" s="1" t="str">
        <x:v>2025-05</x:v>
      </x:c>
      <x:c r="D2519" s="1" t="str">
        <x:v>2025-04-30</x:v>
      </x:c>
      <x:c r="E2519" s="5" t="n">
        <x:v>5341.77</x:v>
      </x:c>
      <x:c r="F2519" s="6" t="str">
        <x:v>2025-05-30</x:v>
      </x:c>
      <x:c r="G2519" s="5" t="n">
        <x:v>5445.8</x:v>
      </x:c>
      <x:c r="H2519" s="7" t="n">
        <x:f>G2519/E2519-1</x:f>
        <x:v>0.019474818271846273</x:v>
      </x:c>
      <x:c r="I2519" s="1" t="n">
        <x:v>1</x:v>
      </x:c>
      <x:c r="J2519" s="1" t="n">
        <x:v>1</x:v>
      </x:c>
      <x:c r="K2519" s="1" t="str">
        <x:v>中证官方优先</x:v>
      </x:c>
    </x:row>
    <x:row r="2520" ht="25" customHeight="1">
      <x:c r="A2520" s="1" t="str">
        <x:v>sh000922</x:v>
      </x:c>
      <x:c r="B2520" s="1" t="str">
        <x:v>中证红利</x:v>
      </x:c>
      <x:c r="C2520" s="1" t="str">
        <x:v>2025-06</x:v>
      </x:c>
      <x:c r="D2520" s="1" t="str">
        <x:v>2025-05-30</x:v>
      </x:c>
      <x:c r="E2520" s="5" t="n">
        <x:v>5445.8</x:v>
      </x:c>
      <x:c r="F2520" s="6" t="str">
        <x:v>2025-06-30</x:v>
      </x:c>
      <x:c r="G2520" s="5" t="n">
        <x:v>5410.26</x:v>
      </x:c>
      <x:c r="H2520" s="7" t="n">
        <x:f>G2520/E2520-1</x:f>
        <x:v>-0.00652613022880022</x:v>
      </x:c>
      <x:c r="I2520" s="1" t="n">
        <x:v>1</x:v>
      </x:c>
      <x:c r="J2520" s="1" t="n">
        <x:v>1</x:v>
      </x:c>
      <x:c r="K2520" s="1" t="str">
        <x:v>中证官方优先</x:v>
      </x:c>
    </x:row>
    <x:row r="2521" ht="25" customHeight="1">
      <x:c r="A2521" s="1" t="str">
        <x:v>sh000922</x:v>
      </x:c>
      <x:c r="B2521" s="1" t="str">
        <x:v>中证红利</x:v>
      </x:c>
      <x:c r="C2521" s="1" t="str">
        <x:v>2025-07</x:v>
      </x:c>
      <x:c r="D2521" s="1" t="str">
        <x:v>2025-06-30</x:v>
      </x:c>
      <x:c r="E2521" s="5" t="n">
        <x:v>5410.26</x:v>
      </x:c>
      <x:c r="F2521" s="6" t="str">
        <x:v>2025-07-31</x:v>
      </x:c>
      <x:c r="G2521" s="5" t="n">
        <x:v>5484.71</x:v>
      </x:c>
      <x:c r="H2521" s="7" t="n">
        <x:f>G2521/E2521-1</x:f>
        <x:v>0.01376089134348435</x:v>
      </x:c>
      <x:c r="I2521" s="1" t="n">
        <x:v>1</x:v>
      </x:c>
      <x:c r="J2521" s="1" t="n">
        <x:v>1</x:v>
      </x:c>
      <x:c r="K2521" s="1" t="str">
        <x:v>中证官方优先</x:v>
      </x:c>
    </x:row>
    <x:row r="2522" ht="25" customHeight="1">
      <x:c r="A2522" s="1" t="str">
        <x:v>sh000922</x:v>
      </x:c>
      <x:c r="B2522" s="1" t="str">
        <x:v>中证红利</x:v>
      </x:c>
      <x:c r="C2522" s="1" t="str">
        <x:v>2025-08</x:v>
      </x:c>
      <x:c r="D2522" s="1" t="str">
        <x:v>2025-07-31</x:v>
      </x:c>
      <x:c r="E2522" s="5" t="n">
        <x:v>5484.71</x:v>
      </x:c>
      <x:c r="F2522" s="6" t="str">
        <x:v>2025-08-29</x:v>
      </x:c>
      <x:c r="G2522" s="5" t="n">
        <x:v>5538.04</x:v>
      </x:c>
      <x:c r="H2522" s="7" t="n">
        <x:f>G2522/E2522-1</x:f>
        <x:v>0.009723394673556207</x:v>
      </x:c>
      <x:c r="I2522" s="1" t="n">
        <x:v>1</x:v>
      </x:c>
      <x:c r="J2522" s="1" t="n">
        <x:v>1</x:v>
      </x:c>
      <x:c r="K2522" s="1" t="str">
        <x:v>中证官方优先</x:v>
      </x:c>
    </x:row>
    <x:row r="2523" ht="25" customHeight="1">
      <x:c r="A2523" s="1" t="str">
        <x:v>sh000922</x:v>
      </x:c>
      <x:c r="B2523" s="1" t="str">
        <x:v>中证红利</x:v>
      </x:c>
      <x:c r="C2523" s="1" t="str">
        <x:v>2025-09</x:v>
      </x:c>
      <x:c r="D2523" s="1" t="str">
        <x:v>2025-08-29</x:v>
      </x:c>
      <x:c r="E2523" s="5" t="n">
        <x:v>5538.04</x:v>
      </x:c>
      <x:c r="F2523" s="6" t="str">
        <x:v>2025-09-30</x:v>
      </x:c>
      <x:c r="G2523" s="5" t="n">
        <x:v>5461.08</x:v>
      </x:c>
      <x:c r="H2523" s="7" t="n">
        <x:f>G2523/E2523-1</x:f>
        <x:v>-0.013896613242230127</x:v>
      </x:c>
      <x:c r="I2523" s="1" t="n">
        <x:v>1</x:v>
      </x:c>
      <x:c r="J2523" s="1" t="n">
        <x:v>1</x:v>
      </x:c>
      <x:c r="K2523" s="1" t="str">
        <x:v>中证官方优先</x:v>
      </x:c>
    </x:row>
    <x:row r="2524" ht="25" customHeight="1">
      <x:c r="A2524" s="1" t="str">
        <x:v>sh000922</x:v>
      </x:c>
      <x:c r="B2524" s="1" t="str">
        <x:v>中证红利</x:v>
      </x:c>
      <x:c r="C2524" s="1" t="str">
        <x:v>2025-10</x:v>
      </x:c>
      <x:c r="D2524" s="1" t="str">
        <x:v>2025-09-30</x:v>
      </x:c>
      <x:c r="E2524" s="5" t="n">
        <x:v>5461.08</x:v>
      </x:c>
      <x:c r="F2524" s="6" t="str">
        <x:v>2025-10-31</x:v>
      </x:c>
      <x:c r="G2524" s="5" t="n">
        <x:v>5627.67</x:v>
      </x:c>
      <x:c r="H2524" s="7" t="n">
        <x:f>G2524/E2524-1</x:f>
        <x:v>0.03050495506383366</x:v>
      </x:c>
      <x:c r="I2524" s="1" t="n">
        <x:v>1</x:v>
      </x:c>
      <x:c r="J2524" s="1" t="n">
        <x:v>1</x:v>
      </x:c>
      <x:c r="K2524" s="1" t="str">
        <x:v>中证官方优先</x:v>
      </x:c>
    </x:row>
    <x:row r="2525" ht="25" customHeight="1">
      <x:c r="A2525" s="1" t="str">
        <x:v>sh000922</x:v>
      </x:c>
      <x:c r="B2525" s="1" t="str">
        <x:v>中证红利</x:v>
      </x:c>
      <x:c r="C2525" s="1" t="str">
        <x:v>2025-11</x:v>
      </x:c>
      <x:c r="D2525" s="1" t="str">
        <x:v>2025-10-31</x:v>
      </x:c>
      <x:c r="E2525" s="5" t="n">
        <x:v>5627.67</x:v>
      </x:c>
      <x:c r="F2525" s="6" t="str">
        <x:v>2025-11-28</x:v>
      </x:c>
      <x:c r="G2525" s="5" t="n">
        <x:v>5545.84</x:v>
      </x:c>
      <x:c r="H2525" s="7" t="n">
        <x:f>G2525/E2525-1</x:f>
        <x:v>-0.014540653591983865</x:v>
      </x:c>
      <x:c r="I2525" s="1" t="n">
        <x:v>1</x:v>
      </x:c>
      <x:c r="J2525" s="1" t="n">
        <x:v>1</x:v>
      </x:c>
      <x:c r="K2525" s="1" t="str">
        <x:v>中证官方优先</x:v>
      </x:c>
    </x:row>
    <x:row r="2526" ht="25" customHeight="1">
      <x:c r="A2526" s="1" t="str">
        <x:v>sh000922</x:v>
      </x:c>
      <x:c r="B2526" s="1" t="str">
        <x:v>中证红利</x:v>
      </x:c>
      <x:c r="C2526" s="1" t="str">
        <x:v>2025-12</x:v>
      </x:c>
      <x:c r="D2526" s="1" t="str">
        <x:v>2025-11-28</x:v>
      </x:c>
      <x:c r="E2526" s="5" t="n">
        <x:v>5545.84</x:v>
      </x:c>
      <x:c r="F2526" s="6" t="str">
        <x:v>2025-12-31</x:v>
      </x:c>
      <x:c r="G2526" s="5" t="n">
        <x:v>5503.98</x:v>
      </x:c>
      <x:c r="H2526" s="7" t="n">
        <x:f>G2526/E2526-1</x:f>
        <x:v>-0.007547999942299155</x:v>
      </x:c>
      <x:c r="I2526" s="1" t="n">
        <x:v>1</x:v>
      </x:c>
      <x:c r="J2526" s="1" t="n">
        <x:v>1</x:v>
      </x:c>
      <x:c r="K2526" s="1" t="str">
        <x:v>中证官方优先</x:v>
      </x:c>
    </x:row>
    <x:row r="2527" ht="25" customHeight="1">
      <x:c r="A2527" s="1" t="str">
        <x:v>sh000922</x:v>
      </x:c>
      <x:c r="B2527" s="1" t="str">
        <x:v>中证红利</x:v>
      </x:c>
      <x:c r="C2527" s="1" t="str">
        <x:v>2026-01</x:v>
      </x:c>
      <x:c r="D2527" s="1" t="str">
        <x:v>2025-12-31</x:v>
      </x:c>
      <x:c r="E2527" s="5" t="n">
        <x:v>5503.98</x:v>
      </x:c>
      <x:c r="F2527" s="6" t="str">
        <x:v>2026-01-30</x:v>
      </x:c>
      <x:c r="G2527" s="5" t="n">
        <x:v>5700.01</x:v>
      </x:c>
      <x:c r="H2527" s="7" t="n">
        <x:f>G2527/E2527-1</x:f>
        <x:v>0.03561604511644312</x:v>
      </x:c>
      <x:c r="I2527" s="1" t="n">
        <x:v>1</x:v>
      </x:c>
      <x:c r="J2527" s="1" t="n">
        <x:v>1</x:v>
      </x:c>
      <x:c r="K2527" s="1" t="str">
        <x:v>中证官方优先</x:v>
      </x:c>
    </x:row>
    <x:row r="2528" ht="25" customHeight="1">
      <x:c r="A2528" s="1" t="str">
        <x:v>sh000922</x:v>
      </x:c>
      <x:c r="B2528" s="1" t="str">
        <x:v>中证红利</x:v>
      </x:c>
      <x:c r="C2528" s="1" t="str">
        <x:v>2026-02</x:v>
      </x:c>
      <x:c r="D2528" s="1" t="str">
        <x:v>2026-01-30</x:v>
      </x:c>
      <x:c r="E2528" s="5" t="n">
        <x:v>5700.01</x:v>
      </x:c>
      <x:c r="F2528" s="6" t="str">
        <x:v>2026-02-27</x:v>
      </x:c>
      <x:c r="G2528" s="5" t="n">
        <x:v>5826.71</x:v>
      </x:c>
      <x:c r="H2528" s="7" t="n">
        <x:f>G2528/E2528-1</x:f>
        <x:v>0.022228031178892715</x:v>
      </x:c>
      <x:c r="I2528" s="1" t="n">
        <x:v>1</x:v>
      </x:c>
      <x:c r="J2528" s="1" t="n">
        <x:v>1</x:v>
      </x:c>
      <x:c r="K2528" s="1" t="str">
        <x:v>中证官方优先</x:v>
      </x:c>
    </x:row>
    <x:row r="2529" ht="25" customHeight="1">
      <x:c r="A2529" s="1" t="str">
        <x:v>sh000922</x:v>
      </x:c>
      <x:c r="B2529" s="1" t="str">
        <x:v>中证红利</x:v>
      </x:c>
      <x:c r="C2529" s="1" t="str">
        <x:v>2026-03</x:v>
      </x:c>
      <x:c r="D2529" s="1" t="str">
        <x:v>2026-02-27</x:v>
      </x:c>
      <x:c r="E2529" s="5" t="n">
        <x:v>5826.71</x:v>
      </x:c>
      <x:c r="F2529" s="6" t="str">
        <x:v>2026-03-31</x:v>
      </x:c>
      <x:c r="G2529" s="5" t="n">
        <x:v>5727.85</x:v>
      </x:c>
      <x:c r="H2529" s="7" t="n">
        <x:f>G2529/E2529-1</x:f>
        <x:v>-0.016966693039468184</x:v>
      </x:c>
      <x:c r="I2529" s="1" t="n">
        <x:v>1</x:v>
      </x:c>
      <x:c r="J2529" s="1" t="n">
        <x:v>1</x:v>
      </x:c>
      <x:c r="K2529" s="1" t="str">
        <x:v>中证官方优先</x:v>
      </x:c>
    </x:row>
    <x:row r="2530" ht="25" customHeight="1">
      <x:c r="A2530" s="1" t="str">
        <x:v>sh000922</x:v>
      </x:c>
      <x:c r="B2530" s="1" t="str">
        <x:v>中证红利</x:v>
      </x:c>
      <x:c r="C2530" s="1" t="str">
        <x:v>2026-04</x:v>
      </x:c>
      <x:c r="D2530" s="1" t="str">
        <x:v>2026-03-31</x:v>
      </x:c>
      <x:c r="E2530" s="5" t="n">
        <x:v>5727.85</x:v>
      </x:c>
      <x:c r="F2530" s="6" t="str">
        <x:v>2026-04-30</x:v>
      </x:c>
      <x:c r="G2530" s="5" t="n">
        <x:v>5865.07</x:v>
      </x:c>
      <x:c r="H2530" s="7" t="n">
        <x:f>G2530/E2530-1</x:f>
        <x:v>0.023956632942552458</x:v>
      </x:c>
      <x:c r="I2530" s="1" t="n">
        <x:v>1</x:v>
      </x:c>
      <x:c r="J2530" s="1" t="n">
        <x:v>1</x:v>
      </x:c>
      <x:c r="K2530" s="1" t="str">
        <x:v>中证官方优先</x:v>
      </x:c>
    </x:row>
    <x:row r="2531" ht="25" customHeight="1">
      <x:c r="A2531" s="1" t="str">
        <x:v>sh000922</x:v>
      </x:c>
      <x:c r="B2531" s="1" t="str">
        <x:v>中证红利</x:v>
      </x:c>
      <x:c r="C2531" s="1" t="str">
        <x:v>2026-05</x:v>
      </x:c>
      <x:c r="D2531" s="1" t="str">
        <x:v>2026-04-30</x:v>
      </x:c>
      <x:c r="E2531" s="5" t="n">
        <x:v>5865.07</x:v>
      </x:c>
      <x:c r="F2531" s="6" t="str">
        <x:v>2026-05-29</x:v>
      </x:c>
      <x:c r="G2531" s="5" t="n">
        <x:v>5578.69</x:v>
      </x:c>
      <x:c r="H2531" s="7" t="n">
        <x:f>G2531/E2531-1</x:f>
        <x:v>-0.04882806172816356</x:v>
      </x:c>
      <x:c r="I2531" s="1" t="n">
        <x:v>1</x:v>
      </x:c>
      <x:c r="J2531" s="1" t="n">
        <x:v>1</x:v>
      </x:c>
      <x:c r="K2531" s="1" t="str">
        <x:v>中证官方优先</x:v>
      </x:c>
    </x:row>
    <x:row r="2532" ht="25" customHeight="1">
      <x:c r="A2532" s="1" t="str">
        <x:v>sh000922</x:v>
      </x:c>
      <x:c r="B2532" s="1" t="str">
        <x:v>中证红利</x:v>
      </x:c>
      <x:c r="C2532" s="1" t="str">
        <x:v>2026-06</x:v>
      </x:c>
      <x:c r="D2532" s="1" t="str">
        <x:v>2026-05-29</x:v>
      </x:c>
      <x:c r="E2532" s="5" t="n">
        <x:v>5578.69</x:v>
      </x:c>
      <x:c r="F2532" s="6" t="str">
        <x:v>2026-06-30</x:v>
      </x:c>
      <x:c r="G2532" s="5" t="n">
        <x:v>5022.46</x:v>
      </x:c>
      <x:c r="H2532" s="7" t="n">
        <x:f>G2532/E2532-1</x:f>
        <x:v>-0.09970620342768632</x:v>
      </x:c>
      <x:c r="I2532" s="1" t="n">
        <x:v>1</x:v>
      </x:c>
      <x:c r="J2532" s="1" t="n">
        <x:v>1</x:v>
      </x:c>
      <x:c r="K2532" s="1" t="str">
        <x:v>中证官方优先</x:v>
      </x:c>
    </x:row>
    <x:row r="2533" ht="25" customHeight="1">
      <x:c r="A2533" s="1" t="str">
        <x:v>sh000922</x:v>
      </x:c>
      <x:c r="B2533" s="1" t="str">
        <x:v>中证红利</x:v>
      </x:c>
      <x:c r="C2533" s="1" t="str">
        <x:v>2026-07</x:v>
      </x:c>
      <x:c r="D2533" s="1" t="str">
        <x:v>2026-06-30</x:v>
      </x:c>
      <x:c r="E2533" s="5" t="n">
        <x:v>5022.46</x:v>
      </x:c>
      <x:c r="F2533" s="6" t="str">
        <x:v>2026-07-31</x:v>
      </x:c>
      <x:c r="G2533" s="5" t="n">
        <x:v>5569.41</x:v>
      </x:c>
      <x:c r="H2533" s="7" t="n">
        <x:f>G2533/E2533-1</x:f>
        <x:v>0.10890081752766578</x:v>
      </x:c>
      <x:c r="I2533" s="1" t="n">
        <x:v>1</x:v>
      </x:c>
      <x:c r="J2533" s="1" t="n">
        <x:v>1</x:v>
      </x:c>
      <x:c r="K2533" s="1" t="str">
        <x:v>中证官方优先</x:v>
      </x:c>
    </x:row>
    <x:row r="2534" ht="25" customHeight="1">
      <x:c r="A2534" s="1" t="str">
        <x:v>sh000922</x:v>
      </x:c>
      <x:c r="B2534" s="1" t="str">
        <x:v>中证红利</x:v>
      </x:c>
      <x:c r="C2534" s="1" t="str">
        <x:v>2026-08</x:v>
      </x:c>
      <x:c r="D2534" s="1" t="str">
        <x:v>2026-07-31</x:v>
      </x:c>
      <x:c r="E2534" s="5" t="n">
        <x:v>5569.41</x:v>
      </x:c>
      <x:c r="F2534" s="6" t="str">
        <x:v>2026-08-31</x:v>
      </x:c>
      <x:c r="G2534" s="5" t="n">
        <x:v>5718.42</x:v>
      </x:c>
      <x:c r="H2534" s="7" t="n">
        <x:f>G2534/E2534-1</x:f>
        <x:v>0.026755078186019743</x:v>
      </x:c>
      <x:c r="I2534" s="1" t="n">
        <x:v>1</x:v>
      </x:c>
      <x:c r="J2534" s="1" t="n">
        <x:v>1</x:v>
      </x:c>
      <x:c r="K2534" s="1" t="str">
        <x:v>中证官方优先</x:v>
      </x:c>
    </x:row>
    <x:row r="2535" ht="25" customHeight="1">
      <x:c r="A2535" s="1" t="str">
        <x:v>sh000922</x:v>
      </x:c>
      <x:c r="B2535" s="1" t="str">
        <x:v>中证红利</x:v>
      </x:c>
      <x:c r="C2535" s="1" t="str">
        <x:v>2026-09</x:v>
      </x:c>
      <x:c r="D2535" s="1" t="str">
        <x:v>2026-08-31</x:v>
      </x:c>
      <x:c r="E2535" s="5" t="n">
        <x:v>5718.42</x:v>
      </x:c>
      <x:c r="F2535" s="6" t="str">
        <x:v>2026-09-30</x:v>
      </x:c>
      <x:c r="G2535" s="5" t="n">
        <x:v>5493.34</x:v>
      </x:c>
      <x:c r="H2535" s="7" t="n">
        <x:f>G2535/E2535-1</x:f>
        <x:v>-0.03936052266185408</x:v>
      </x:c>
      <x:c r="I2535" s="1" t="n">
        <x:v>1</x:v>
      </x:c>
      <x:c r="J2535" s="1" t="n">
        <x:v>1</x:v>
      </x:c>
      <x:c r="K2535" s="1" t="str">
        <x:v>中证官方优先</x:v>
      </x:c>
    </x:row>
    <x:row r="2536" ht="25" customHeight="1">
      <x:c r="A2536" s="1" t="str">
        <x:v>sh000922</x:v>
      </x:c>
      <x:c r="B2536" s="1" t="str">
        <x:v>中证红利</x:v>
      </x:c>
      <x:c r="C2536" s="1" t="str">
        <x:v>2026-10</x:v>
      </x:c>
      <x:c r="D2536" s="1" t="str">
        <x:v>2026-09-30</x:v>
      </x:c>
      <x:c r="E2536" s="5" t="n">
        <x:v>5493.34</x:v>
      </x:c>
      <x:c r="F2536" s="6" t="str">
        <x:v>2026-10-09</x:v>
      </x:c>
      <x:c r="G2536" s="5" t="n">
        <x:v>5601.34</x:v>
      </x:c>
      <x:c r="H2536" s="7" t="n">
        <x:f>G2536/E2536-1</x:f>
        <x:v>0.019660170315327186</x:v>
      </x:c>
      <x:c r="I2536" s="1" t="n">
        <x:v>0</x:v>
      </x:c>
      <x:c r="J2536" s="1" t="n">
        <x:v>1</x:v>
      </x:c>
      <x:c r="K2536" s="1" t="str">
        <x:v>中证官方优先</x:v>
      </x:c>
    </x:row>
    <x:row r="2537" ht="25" customHeight="1">
      <x:c r="A2537" s="1" t="str">
        <x:v>sh000688</x:v>
      </x:c>
      <x:c r="B2537" s="1" t="str">
        <x:v>科创50</x:v>
      </x:c>
      <x:c r="C2537" s="1" t="str">
        <x:v>2019-12</x:v>
      </x:c>
      <x:c r="D2537" s="1"/>
      <x:c r="E2537" s="5"/>
      <x:c r="F2537" s="6" t="str">
        <x:v>2019-12-31</x:v>
      </x:c>
      <x:c r="G2537" s="5" t="n">
        <x:v>1000</x:v>
      </x:c>
      <x:c r="H2537" s="7" t="str">
        <x:f>"n.a."</x:f>
        <x:v>n.a.</x:v>
      </x:c>
      <x:c r="I2537" s="1" t="n">
        <x:v>1</x:v>
      </x:c>
      <x:c r="J2537" s="1" t="n">
        <x:v>0</x:v>
      </x:c>
      <x:c r="K2537" s="1" t="str">
        <x:v>中证官方优先</x:v>
      </x:c>
    </x:row>
    <x:row r="2538" ht="25" customHeight="1">
      <x:c r="A2538" s="1" t="str">
        <x:v>sh000688</x:v>
      </x:c>
      <x:c r="B2538" s="1" t="str">
        <x:v>科创50</x:v>
      </x:c>
      <x:c r="C2538" s="1" t="str">
        <x:v>2020-01</x:v>
      </x:c>
      <x:c r="D2538" s="1" t="str">
        <x:v>2019-12-31</x:v>
      </x:c>
      <x:c r="E2538" s="5" t="n">
        <x:v>1000</x:v>
      </x:c>
      <x:c r="F2538" s="6" t="str">
        <x:v>2020-01-23</x:v>
      </x:c>
      <x:c r="G2538" s="5" t="n">
        <x:v>1202.1</x:v>
      </x:c>
      <x:c r="H2538" s="7" t="n">
        <x:f>G2538/E2538-1</x:f>
        <x:v>0.20209999999999995</x:v>
      </x:c>
      <x:c r="I2538" s="1" t="n">
        <x:v>1</x:v>
      </x:c>
      <x:c r="J2538" s="1" t="n">
        <x:v>0</x:v>
      </x:c>
      <x:c r="K2538" s="1" t="str">
        <x:v>中证官方优先</x:v>
      </x:c>
    </x:row>
    <x:row r="2539" ht="25" customHeight="1">
      <x:c r="A2539" s="1" t="str">
        <x:v>sh000688</x:v>
      </x:c>
      <x:c r="B2539" s="1" t="str">
        <x:v>科创50</x:v>
      </x:c>
      <x:c r="C2539" s="1" t="str">
        <x:v>2020-02</x:v>
      </x:c>
      <x:c r="D2539" s="1" t="str">
        <x:v>2020-01-23</x:v>
      </x:c>
      <x:c r="E2539" s="5" t="n">
        <x:v>1202.1</x:v>
      </x:c>
      <x:c r="F2539" s="6" t="str">
        <x:v>2020-02-28</x:v>
      </x:c>
      <x:c r="G2539" s="5" t="n">
        <x:v>1191.05</x:v>
      </x:c>
      <x:c r="H2539" s="7" t="n">
        <x:f>G2539/E2539-1</x:f>
        <x:v>-0.009192246901256085</x:v>
      </x:c>
      <x:c r="I2539" s="1" t="n">
        <x:v>1</x:v>
      </x:c>
      <x:c r="J2539" s="1" t="n">
        <x:v>0</x:v>
      </x:c>
      <x:c r="K2539" s="1" t="str">
        <x:v>中证官方优先</x:v>
      </x:c>
    </x:row>
    <x:row r="2540" ht="25" customHeight="1">
      <x:c r="A2540" s="1" t="str">
        <x:v>sh000688</x:v>
      </x:c>
      <x:c r="B2540" s="1" t="str">
        <x:v>科创50</x:v>
      </x:c>
      <x:c r="C2540" s="1" t="str">
        <x:v>2020-03</x:v>
      </x:c>
      <x:c r="D2540" s="1" t="str">
        <x:v>2020-02-28</x:v>
      </x:c>
      <x:c r="E2540" s="5" t="n">
        <x:v>1191.05</x:v>
      </x:c>
      <x:c r="F2540" s="6" t="str">
        <x:v>2020-03-31</x:v>
      </x:c>
      <x:c r="G2540" s="5" t="n">
        <x:v>1029.75</x:v>
      </x:c>
      <x:c r="H2540" s="7" t="n">
        <x:f>G2540/E2540-1</x:f>
        <x:v>-0.13542672431887826</x:v>
      </x:c>
      <x:c r="I2540" s="1" t="n">
        <x:v>1</x:v>
      </x:c>
      <x:c r="J2540" s="1" t="n">
        <x:v>0</x:v>
      </x:c>
      <x:c r="K2540" s="1" t="str">
        <x:v>中证官方优先</x:v>
      </x:c>
    </x:row>
    <x:row r="2541" ht="25" customHeight="1">
      <x:c r="A2541" s="1" t="str">
        <x:v>sh000688</x:v>
      </x:c>
      <x:c r="B2541" s="1" t="str">
        <x:v>科创50</x:v>
      </x:c>
      <x:c r="C2541" s="1" t="str">
        <x:v>2020-04</x:v>
      </x:c>
      <x:c r="D2541" s="1" t="str">
        <x:v>2020-03-31</x:v>
      </x:c>
      <x:c r="E2541" s="5" t="n">
        <x:v>1029.75</x:v>
      </x:c>
      <x:c r="F2541" s="6" t="str">
        <x:v>2020-04-30</x:v>
      </x:c>
      <x:c r="G2541" s="5" t="n">
        <x:v>1166.35</x:v>
      </x:c>
      <x:c r="H2541" s="7" t="n">
        <x:f>G2541/E2541-1</x:f>
        <x:v>0.13265355668851653</x:v>
      </x:c>
      <x:c r="I2541" s="1" t="n">
        <x:v>1</x:v>
      </x:c>
      <x:c r="J2541" s="1" t="n">
        <x:v>0</x:v>
      </x:c>
      <x:c r="K2541" s="1" t="str">
        <x:v>中证官方优先</x:v>
      </x:c>
    </x:row>
    <x:row r="2542" ht="25" customHeight="1">
      <x:c r="A2542" s="1" t="str">
        <x:v>sh000688</x:v>
      </x:c>
      <x:c r="B2542" s="1" t="str">
        <x:v>科创50</x:v>
      </x:c>
      <x:c r="C2542" s="1" t="str">
        <x:v>2020-05</x:v>
      </x:c>
      <x:c r="D2542" s="1" t="str">
        <x:v>2020-04-30</x:v>
      </x:c>
      <x:c r="E2542" s="5" t="n">
        <x:v>1166.35</x:v>
      </x:c>
      <x:c r="F2542" s="6" t="str">
        <x:v>2020-05-29</x:v>
      </x:c>
      <x:c r="G2542" s="5" t="n">
        <x:v>1246.11</x:v>
      </x:c>
      <x:c r="H2542" s="7" t="n">
        <x:f>G2542/E2542-1</x:f>
        <x:v>0.06838427573198436</x:v>
      </x:c>
      <x:c r="I2542" s="1" t="n">
        <x:v>1</x:v>
      </x:c>
      <x:c r="J2542" s="1" t="n">
        <x:v>0</x:v>
      </x:c>
      <x:c r="K2542" s="1" t="str">
        <x:v>中证官方优先</x:v>
      </x:c>
    </x:row>
    <x:row r="2543" ht="25" customHeight="1">
      <x:c r="A2543" s="1" t="str">
        <x:v>sh000688</x:v>
      </x:c>
      <x:c r="B2543" s="1" t="str">
        <x:v>科创50</x:v>
      </x:c>
      <x:c r="C2543" s="1" t="str">
        <x:v>2020-06</x:v>
      </x:c>
      <x:c r="D2543" s="1" t="str">
        <x:v>2020-05-29</x:v>
      </x:c>
      <x:c r="E2543" s="5" t="n">
        <x:v>1246.11</x:v>
      </x:c>
      <x:c r="F2543" s="6" t="str">
        <x:v>2020-06-30</x:v>
      </x:c>
      <x:c r="G2543" s="5" t="n">
        <x:v>1447.89</x:v>
      </x:c>
      <x:c r="H2543" s="7" t="n">
        <x:f>G2543/E2543-1</x:f>
        <x:v>0.16192791968606324</x:v>
      </x:c>
      <x:c r="I2543" s="1" t="n">
        <x:v>1</x:v>
      </x:c>
      <x:c r="J2543" s="1" t="n">
        <x:v>0</x:v>
      </x:c>
      <x:c r="K2543" s="1" t="str">
        <x:v>中证官方优先</x:v>
      </x:c>
    </x:row>
    <x:row r="2544" ht="25" customHeight="1">
      <x:c r="A2544" s="1" t="str">
        <x:v>sh000688</x:v>
      </x:c>
      <x:c r="B2544" s="1" t="str">
        <x:v>科创50</x:v>
      </x:c>
      <x:c r="C2544" s="1" t="str">
        <x:v>2020-07</x:v>
      </x:c>
      <x:c r="D2544" s="1" t="str">
        <x:v>2020-06-30</x:v>
      </x:c>
      <x:c r="E2544" s="5" t="n">
        <x:v>1447.89</x:v>
      </x:c>
      <x:c r="F2544" s="6" t="str">
        <x:v>2020-07-31</x:v>
      </x:c>
      <x:c r="G2544" s="5" t="n">
        <x:v>1512.98</x:v>
      </x:c>
      <x:c r="H2544" s="7" t="n">
        <x:f>G2544/E2544-1</x:f>
        <x:v>0.044955072553854114</x:v>
      </x:c>
      <x:c r="I2544" s="1" t="n">
        <x:v>1</x:v>
      </x:c>
      <x:c r="J2544" s="1" t="n">
        <x:v>0</x:v>
      </x:c>
      <x:c r="K2544" s="1" t="str">
        <x:v>中证官方优先</x:v>
      </x:c>
    </x:row>
    <x:row r="2545" ht="25" customHeight="1">
      <x:c r="A2545" s="1" t="str">
        <x:v>sh000688</x:v>
      </x:c>
      <x:c r="B2545" s="1" t="str">
        <x:v>科创50</x:v>
      </x:c>
      <x:c r="C2545" s="1" t="str">
        <x:v>2020-08</x:v>
      </x:c>
      <x:c r="D2545" s="1" t="str">
        <x:v>2020-07-31</x:v>
      </x:c>
      <x:c r="E2545" s="5" t="n">
        <x:v>1512.98</x:v>
      </x:c>
      <x:c r="F2545" s="6" t="str">
        <x:v>2020-08-31</x:v>
      </x:c>
      <x:c r="G2545" s="5" t="n">
        <x:v>1423.24</x:v>
      </x:c>
      <x:c r="H2545" s="7" t="n">
        <x:f>G2545/E2545-1</x:f>
        <x:v>-0.05931340797631168</x:v>
      </x:c>
      <x:c r="I2545" s="1" t="n">
        <x:v>1</x:v>
      </x:c>
      <x:c r="J2545" s="1" t="n">
        <x:v>1</x:v>
      </x:c>
      <x:c r="K2545" s="1" t="str">
        <x:v>中证官方优先</x:v>
      </x:c>
    </x:row>
    <x:row r="2546" ht="25" customHeight="1">
      <x:c r="A2546" s="1" t="str">
        <x:v>sh000688</x:v>
      </x:c>
      <x:c r="B2546" s="1" t="str">
        <x:v>科创50</x:v>
      </x:c>
      <x:c r="C2546" s="1" t="str">
        <x:v>2020-09</x:v>
      </x:c>
      <x:c r="D2546" s="1" t="str">
        <x:v>2020-08-31</x:v>
      </x:c>
      <x:c r="E2546" s="5" t="n">
        <x:v>1423.24</x:v>
      </x:c>
      <x:c r="F2546" s="6" t="str">
        <x:v>2020-09-30</x:v>
      </x:c>
      <x:c r="G2546" s="5" t="n">
        <x:v>1418.8</x:v>
      </x:c>
      <x:c r="H2546" s="7" t="n">
        <x:f>G2546/E2546-1</x:f>
        <x:v>-0.0031196425058318544</x:v>
      </x:c>
      <x:c r="I2546" s="1" t="n">
        <x:v>1</x:v>
      </x:c>
      <x:c r="J2546" s="1" t="n">
        <x:v>1</x:v>
      </x:c>
      <x:c r="K2546" s="1" t="str">
        <x:v>中证官方优先</x:v>
      </x:c>
    </x:row>
    <x:row r="2547" ht="25" customHeight="1">
      <x:c r="A2547" s="1" t="str">
        <x:v>sh000688</x:v>
      </x:c>
      <x:c r="B2547" s="1" t="str">
        <x:v>科创50</x:v>
      </x:c>
      <x:c r="C2547" s="1" t="str">
        <x:v>2020-10</x:v>
      </x:c>
      <x:c r="D2547" s="1" t="str">
        <x:v>2020-09-30</x:v>
      </x:c>
      <x:c r="E2547" s="5" t="n">
        <x:v>1418.8</x:v>
      </x:c>
      <x:c r="F2547" s="6" t="str">
        <x:v>2020-10-30</x:v>
      </x:c>
      <x:c r="G2547" s="5" t="n">
        <x:v>1393.91</x:v>
      </x:c>
      <x:c r="H2547" s="7" t="n">
        <x:f>G2547/E2547-1</x:f>
        <x:v>-0.01754299407950377</x:v>
      </x:c>
      <x:c r="I2547" s="1" t="n">
        <x:v>1</x:v>
      </x:c>
      <x:c r="J2547" s="1" t="n">
        <x:v>1</x:v>
      </x:c>
      <x:c r="K2547" s="1" t="str">
        <x:v>中证官方优先</x:v>
      </x:c>
    </x:row>
    <x:row r="2548" ht="25" customHeight="1">
      <x:c r="A2548" s="1" t="str">
        <x:v>sh000688</x:v>
      </x:c>
      <x:c r="B2548" s="1" t="str">
        <x:v>科创50</x:v>
      </x:c>
      <x:c r="C2548" s="1" t="str">
        <x:v>2020-11</x:v>
      </x:c>
      <x:c r="D2548" s="1" t="str">
        <x:v>2020-10-30</x:v>
      </x:c>
      <x:c r="E2548" s="5" t="n">
        <x:v>1393.91</x:v>
      </x:c>
      <x:c r="F2548" s="6" t="str">
        <x:v>2020-11-30</x:v>
      </x:c>
      <x:c r="G2548" s="5" t="n">
        <x:v>1385.48</x:v>
      </x:c>
      <x:c r="H2548" s="7" t="n">
        <x:f>G2548/E2548-1</x:f>
        <x:v>-0.006047736224003009</x:v>
      </x:c>
      <x:c r="I2548" s="1" t="n">
        <x:v>1</x:v>
      </x:c>
      <x:c r="J2548" s="1" t="n">
        <x:v>1</x:v>
      </x:c>
      <x:c r="K2548" s="1" t="str">
        <x:v>中证官方优先</x:v>
      </x:c>
    </x:row>
    <x:row r="2549" ht="25" customHeight="1">
      <x:c r="A2549" s="1" t="str">
        <x:v>sh000688</x:v>
      </x:c>
      <x:c r="B2549" s="1" t="str">
        <x:v>科创50</x:v>
      </x:c>
      <x:c r="C2549" s="1" t="str">
        <x:v>2020-12</x:v>
      </x:c>
      <x:c r="D2549" s="1" t="str">
        <x:v>2020-11-30</x:v>
      </x:c>
      <x:c r="E2549" s="5" t="n">
        <x:v>1385.48</x:v>
      </x:c>
      <x:c r="F2549" s="6" t="str">
        <x:v>2020-12-31</x:v>
      </x:c>
      <x:c r="G2549" s="5" t="n">
        <x:v>1393.03</x:v>
      </x:c>
      <x:c r="H2549" s="7" t="n">
        <x:f>G2549/E2549-1</x:f>
        <x:v>0.005449374945867058</x:v>
      </x:c>
      <x:c r="I2549" s="1" t="n">
        <x:v>1</x:v>
      </x:c>
      <x:c r="J2549" s="1" t="n">
        <x:v>1</x:v>
      </x:c>
      <x:c r="K2549" s="1" t="str">
        <x:v>中证官方优先</x:v>
      </x:c>
    </x:row>
    <x:row r="2550" ht="25" customHeight="1">
      <x:c r="A2550" s="1" t="str">
        <x:v>sh000688</x:v>
      </x:c>
      <x:c r="B2550" s="1" t="str">
        <x:v>科创50</x:v>
      </x:c>
      <x:c r="C2550" s="1" t="str">
        <x:v>2021-01</x:v>
      </x:c>
      <x:c r="D2550" s="1" t="str">
        <x:v>2020-12-31</x:v>
      </x:c>
      <x:c r="E2550" s="5" t="n">
        <x:v>1393.03</x:v>
      </x:c>
      <x:c r="F2550" s="6" t="str">
        <x:v>2021-01-29</x:v>
      </x:c>
      <x:c r="G2550" s="5" t="n">
        <x:v>1421.96</x:v>
      </x:c>
      <x:c r="H2550" s="7" t="n">
        <x:f>G2550/E2550-1</x:f>
        <x:v>0.02076767908803112</x:v>
      </x:c>
      <x:c r="I2550" s="1" t="n">
        <x:v>1</x:v>
      </x:c>
      <x:c r="J2550" s="1" t="n">
        <x:v>1</x:v>
      </x:c>
      <x:c r="K2550" s="1" t="str">
        <x:v>中证官方优先</x:v>
      </x:c>
    </x:row>
    <x:row r="2551" ht="25" customHeight="1">
      <x:c r="A2551" s="1" t="str">
        <x:v>sh000688</x:v>
      </x:c>
      <x:c r="B2551" s="1" t="str">
        <x:v>科创50</x:v>
      </x:c>
      <x:c r="C2551" s="1" t="str">
        <x:v>2021-02</x:v>
      </x:c>
      <x:c r="D2551" s="1" t="str">
        <x:v>2021-01-29</x:v>
      </x:c>
      <x:c r="E2551" s="5" t="n">
        <x:v>1421.96</x:v>
      </x:c>
      <x:c r="F2551" s="6" t="str">
        <x:v>2021-02-26</x:v>
      </x:c>
      <x:c r="G2551" s="5" t="n">
        <x:v>1325.59</x:v>
      </x:c>
      <x:c r="H2551" s="7" t="n">
        <x:f>G2551/E2551-1</x:f>
        <x:v>-0.06777265183268177</x:v>
      </x:c>
      <x:c r="I2551" s="1" t="n">
        <x:v>1</x:v>
      </x:c>
      <x:c r="J2551" s="1" t="n">
        <x:v>1</x:v>
      </x:c>
      <x:c r="K2551" s="1" t="str">
        <x:v>中证官方优先</x:v>
      </x:c>
    </x:row>
    <x:row r="2552" ht="25" customHeight="1">
      <x:c r="A2552" s="1" t="str">
        <x:v>sh000688</x:v>
      </x:c>
      <x:c r="B2552" s="1" t="str">
        <x:v>科创50</x:v>
      </x:c>
      <x:c r="C2552" s="1" t="str">
        <x:v>2021-03</x:v>
      </x:c>
      <x:c r="D2552" s="1" t="str">
        <x:v>2021-02-26</x:v>
      </x:c>
      <x:c r="E2552" s="5" t="n">
        <x:v>1325.59</x:v>
      </x:c>
      <x:c r="F2552" s="6" t="str">
        <x:v>2021-03-31</x:v>
      </x:c>
      <x:c r="G2552" s="5" t="n">
        <x:v>1248.33</x:v>
      </x:c>
      <x:c r="H2552" s="7" t="n">
        <x:f>G2552/E2552-1</x:f>
        <x:v>-0.05828348131775285</x:v>
      </x:c>
      <x:c r="I2552" s="1" t="n">
        <x:v>1</x:v>
      </x:c>
      <x:c r="J2552" s="1" t="n">
        <x:v>1</x:v>
      </x:c>
      <x:c r="K2552" s="1" t="str">
        <x:v>中证官方优先</x:v>
      </x:c>
    </x:row>
    <x:row r="2553" ht="25" customHeight="1">
      <x:c r="A2553" s="1" t="str">
        <x:v>sh000688</x:v>
      </x:c>
      <x:c r="B2553" s="1" t="str">
        <x:v>科创50</x:v>
      </x:c>
      <x:c r="C2553" s="1" t="str">
        <x:v>2021-04</x:v>
      </x:c>
      <x:c r="D2553" s="1" t="str">
        <x:v>2021-03-31</x:v>
      </x:c>
      <x:c r="E2553" s="5" t="n">
        <x:v>1248.33</x:v>
      </x:c>
      <x:c r="F2553" s="6" t="str">
        <x:v>2021-04-30</x:v>
      </x:c>
      <x:c r="G2553" s="5" t="n">
        <x:v>1322.24</x:v>
      </x:c>
      <x:c r="H2553" s="7" t="n">
        <x:f>G2553/E2553-1</x:f>
        <x:v>0.059207100686517355</x:v>
      </x:c>
      <x:c r="I2553" s="1" t="n">
        <x:v>1</x:v>
      </x:c>
      <x:c r="J2553" s="1" t="n">
        <x:v>1</x:v>
      </x:c>
      <x:c r="K2553" s="1" t="str">
        <x:v>中证官方优先</x:v>
      </x:c>
    </x:row>
    <x:row r="2554" ht="25" customHeight="1">
      <x:c r="A2554" s="1" t="str">
        <x:v>sh000688</x:v>
      </x:c>
      <x:c r="B2554" s="1" t="str">
        <x:v>科创50</x:v>
      </x:c>
      <x:c r="C2554" s="1" t="str">
        <x:v>2021-05</x:v>
      </x:c>
      <x:c r="D2554" s="1" t="str">
        <x:v>2021-04-30</x:v>
      </x:c>
      <x:c r="E2554" s="5" t="n">
        <x:v>1322.24</x:v>
      </x:c>
      <x:c r="F2554" s="6" t="str">
        <x:v>2021-05-31</x:v>
      </x:c>
      <x:c r="G2554" s="5" t="n">
        <x:v>1442.67</x:v>
      </x:c>
      <x:c r="H2554" s="7" t="n">
        <x:f>G2554/E2554-1</x:f>
        <x:v>0.09108028799612788</x:v>
      </x:c>
      <x:c r="I2554" s="1" t="n">
        <x:v>1</x:v>
      </x:c>
      <x:c r="J2554" s="1" t="n">
        <x:v>1</x:v>
      </x:c>
      <x:c r="K2554" s="1" t="str">
        <x:v>中证官方优先</x:v>
      </x:c>
    </x:row>
    <x:row r="2555" ht="25" customHeight="1">
      <x:c r="A2555" s="1" t="str">
        <x:v>sh000688</x:v>
      </x:c>
      <x:c r="B2555" s="1" t="str">
        <x:v>科创50</x:v>
      </x:c>
      <x:c r="C2555" s="1" t="str">
        <x:v>2021-06</x:v>
      </x:c>
      <x:c r="D2555" s="1" t="str">
        <x:v>2021-05-31</x:v>
      </x:c>
      <x:c r="E2555" s="5" t="n">
        <x:v>1442.67</x:v>
      </x:c>
      <x:c r="F2555" s="6" t="str">
        <x:v>2021-06-30</x:v>
      </x:c>
      <x:c r="G2555" s="5" t="n">
        <x:v>1588.22</x:v>
      </x:c>
      <x:c r="H2555" s="7" t="n">
        <x:f>G2555/E2555-1</x:f>
        <x:v>0.10088932326866162</x:v>
      </x:c>
      <x:c r="I2555" s="1" t="n">
        <x:v>1</x:v>
      </x:c>
      <x:c r="J2555" s="1" t="n">
        <x:v>1</x:v>
      </x:c>
      <x:c r="K2555" s="1" t="str">
        <x:v>中证官方优先</x:v>
      </x:c>
    </x:row>
    <x:row r="2556" ht="25" customHeight="1">
      <x:c r="A2556" s="1" t="str">
        <x:v>sh000688</x:v>
      </x:c>
      <x:c r="B2556" s="1" t="str">
        <x:v>科创50</x:v>
      </x:c>
      <x:c r="C2556" s="1" t="str">
        <x:v>2021-07</x:v>
      </x:c>
      <x:c r="D2556" s="1" t="str">
        <x:v>2021-06-30</x:v>
      </x:c>
      <x:c r="E2556" s="5" t="n">
        <x:v>1588.22</x:v>
      </x:c>
      <x:c r="F2556" s="6" t="str">
        <x:v>2021-07-30</x:v>
      </x:c>
      <x:c r="G2556" s="5" t="n">
        <x:v>1591.22</x:v>
      </x:c>
      <x:c r="H2556" s="7" t="n">
        <x:f>G2556/E2556-1</x:f>
        <x:v>0.0018889070783645323</x:v>
      </x:c>
      <x:c r="I2556" s="1" t="n">
        <x:v>1</x:v>
      </x:c>
      <x:c r="J2556" s="1" t="n">
        <x:v>1</x:v>
      </x:c>
      <x:c r="K2556" s="1" t="str">
        <x:v>中证官方优先</x:v>
      </x:c>
    </x:row>
    <x:row r="2557" ht="25" customHeight="1">
      <x:c r="A2557" s="1" t="str">
        <x:v>sh000688</x:v>
      </x:c>
      <x:c r="B2557" s="1" t="str">
        <x:v>科创50</x:v>
      </x:c>
      <x:c r="C2557" s="1" t="str">
        <x:v>2021-08</x:v>
      </x:c>
      <x:c r="D2557" s="1" t="str">
        <x:v>2021-07-30</x:v>
      </x:c>
      <x:c r="E2557" s="5" t="n">
        <x:v>1591.22</x:v>
      </x:c>
      <x:c r="F2557" s="6" t="str">
        <x:v>2021-08-31</x:v>
      </x:c>
      <x:c r="G2557" s="5" t="n">
        <x:v>1441.17</x:v>
      </x:c>
      <x:c r="H2557" s="7" t="n">
        <x:f>G2557/E2557-1</x:f>
        <x:v>-0.09429871419414027</x:v>
      </x:c>
      <x:c r="I2557" s="1" t="n">
        <x:v>1</x:v>
      </x:c>
      <x:c r="J2557" s="1" t="n">
        <x:v>1</x:v>
      </x:c>
      <x:c r="K2557" s="1" t="str">
        <x:v>中证官方优先</x:v>
      </x:c>
    </x:row>
    <x:row r="2558" ht="25" customHeight="1">
      <x:c r="A2558" s="1" t="str">
        <x:v>sh000688</x:v>
      </x:c>
      <x:c r="B2558" s="1" t="str">
        <x:v>科创50</x:v>
      </x:c>
      <x:c r="C2558" s="1" t="str">
        <x:v>2021-09</x:v>
      </x:c>
      <x:c r="D2558" s="1" t="str">
        <x:v>2021-08-31</x:v>
      </x:c>
      <x:c r="E2558" s="5" t="n">
        <x:v>1441.17</x:v>
      </x:c>
      <x:c r="F2558" s="6" t="str">
        <x:v>2021-09-30</x:v>
      </x:c>
      <x:c r="G2558" s="5" t="n">
        <x:v>1368.72</x:v>
      </x:c>
      <x:c r="H2558" s="7" t="n">
        <x:f>G2558/E2558-1</x:f>
        <x:v>-0.05027165428089675</x:v>
      </x:c>
      <x:c r="I2558" s="1" t="n">
        <x:v>1</x:v>
      </x:c>
      <x:c r="J2558" s="1" t="n">
        <x:v>1</x:v>
      </x:c>
      <x:c r="K2558" s="1" t="str">
        <x:v>中证官方优先</x:v>
      </x:c>
    </x:row>
    <x:row r="2559" ht="25" customHeight="1">
      <x:c r="A2559" s="1" t="str">
        <x:v>sh000688</x:v>
      </x:c>
      <x:c r="B2559" s="1" t="str">
        <x:v>科创50</x:v>
      </x:c>
      <x:c r="C2559" s="1" t="str">
        <x:v>2021-10</x:v>
      </x:c>
      <x:c r="D2559" s="1" t="str">
        <x:v>2021-09-30</x:v>
      </x:c>
      <x:c r="E2559" s="5" t="n">
        <x:v>1368.72</x:v>
      </x:c>
      <x:c r="F2559" s="6" t="str">
        <x:v>2021-10-29</x:v>
      </x:c>
      <x:c r="G2559" s="5" t="n">
        <x:v>1396.2</x:v>
      </x:c>
      <x:c r="H2559" s="7" t="n">
        <x:f>G2559/E2559-1</x:f>
        <x:v>0.02007715237594243</x:v>
      </x:c>
      <x:c r="I2559" s="1" t="n">
        <x:v>1</x:v>
      </x:c>
      <x:c r="J2559" s="1" t="n">
        <x:v>1</x:v>
      </x:c>
      <x:c r="K2559" s="1" t="str">
        <x:v>中证官方优先</x:v>
      </x:c>
    </x:row>
    <x:row r="2560" ht="25" customHeight="1">
      <x:c r="A2560" s="1" t="str">
        <x:v>sh000688</x:v>
      </x:c>
      <x:c r="B2560" s="1" t="str">
        <x:v>科创50</x:v>
      </x:c>
      <x:c r="C2560" s="1" t="str">
        <x:v>2021-11</x:v>
      </x:c>
      <x:c r="D2560" s="1" t="str">
        <x:v>2021-10-29</x:v>
      </x:c>
      <x:c r="E2560" s="5" t="n">
        <x:v>1396.2</x:v>
      </x:c>
      <x:c r="F2560" s="6" t="str">
        <x:v>2021-11-30</x:v>
      </x:c>
      <x:c r="G2560" s="5" t="n">
        <x:v>1475.71</x:v>
      </x:c>
      <x:c r="H2560" s="7" t="n">
        <x:f>G2560/E2560-1</x:f>
        <x:v>0.05694742873513814</x:v>
      </x:c>
      <x:c r="I2560" s="1" t="n">
        <x:v>1</x:v>
      </x:c>
      <x:c r="J2560" s="1" t="n">
        <x:v>1</x:v>
      </x:c>
      <x:c r="K2560" s="1" t="str">
        <x:v>中证官方优先</x:v>
      </x:c>
    </x:row>
    <x:row r="2561" ht="25" customHeight="1">
      <x:c r="A2561" s="1" t="str">
        <x:v>sh000688</x:v>
      </x:c>
      <x:c r="B2561" s="1" t="str">
        <x:v>科创50</x:v>
      </x:c>
      <x:c r="C2561" s="1" t="str">
        <x:v>2021-12</x:v>
      </x:c>
      <x:c r="D2561" s="1" t="str">
        <x:v>2021-11-30</x:v>
      </x:c>
      <x:c r="E2561" s="5" t="n">
        <x:v>1475.71</x:v>
      </x:c>
      <x:c r="F2561" s="6" t="str">
        <x:v>2021-12-31</x:v>
      </x:c>
      <x:c r="G2561" s="5" t="n">
        <x:v>1398.19</x:v>
      </x:c>
      <x:c r="H2561" s="7" t="n">
        <x:f>G2561/E2561-1</x:f>
        <x:v>-0.05253064626518755</x:v>
      </x:c>
      <x:c r="I2561" s="1" t="n">
        <x:v>1</x:v>
      </x:c>
      <x:c r="J2561" s="1" t="n">
        <x:v>1</x:v>
      </x:c>
      <x:c r="K2561" s="1" t="str">
        <x:v>中证官方优先</x:v>
      </x:c>
    </x:row>
    <x:row r="2562" ht="25" customHeight="1">
      <x:c r="A2562" s="1" t="str">
        <x:v>sh000688</x:v>
      </x:c>
      <x:c r="B2562" s="1" t="str">
        <x:v>科创50</x:v>
      </x:c>
      <x:c r="C2562" s="1" t="str">
        <x:v>2022-01</x:v>
      </x:c>
      <x:c r="D2562" s="1" t="str">
        <x:v>2021-12-31</x:v>
      </x:c>
      <x:c r="E2562" s="5" t="n">
        <x:v>1398.19</x:v>
      </x:c>
      <x:c r="F2562" s="6" t="str">
        <x:v>2022-01-28</x:v>
      </x:c>
      <x:c r="G2562" s="5" t="n">
        <x:v>1229.22</x:v>
      </x:c>
      <x:c r="H2562" s="7" t="n">
        <x:f>G2562/E2562-1</x:f>
        <x:v>-0.12084909776210673</x:v>
      </x:c>
      <x:c r="I2562" s="1" t="n">
        <x:v>1</x:v>
      </x:c>
      <x:c r="J2562" s="1" t="n">
        <x:v>1</x:v>
      </x:c>
      <x:c r="K2562" s="1" t="str">
        <x:v>中证官方优先</x:v>
      </x:c>
    </x:row>
    <x:row r="2563" ht="25" customHeight="1">
      <x:c r="A2563" s="1" t="str">
        <x:v>sh000688</x:v>
      </x:c>
      <x:c r="B2563" s="1" t="str">
        <x:v>科创50</x:v>
      </x:c>
      <x:c r="C2563" s="1" t="str">
        <x:v>2022-02</x:v>
      </x:c>
      <x:c r="D2563" s="1" t="str">
        <x:v>2022-01-28</x:v>
      </x:c>
      <x:c r="E2563" s="5" t="n">
        <x:v>1229.22</x:v>
      </x:c>
      <x:c r="F2563" s="6" t="str">
        <x:v>2022-02-28</x:v>
      </x:c>
      <x:c r="G2563" s="5" t="n">
        <x:v>1249.59</x:v>
      </x:c>
      <x:c r="H2563" s="7" t="n">
        <x:f>G2563/E2563-1</x:f>
        <x:v>0.01657148435593303</x:v>
      </x:c>
      <x:c r="I2563" s="1" t="n">
        <x:v>1</x:v>
      </x:c>
      <x:c r="J2563" s="1" t="n">
        <x:v>1</x:v>
      </x:c>
      <x:c r="K2563" s="1" t="str">
        <x:v>中证官方优先</x:v>
      </x:c>
    </x:row>
    <x:row r="2564" ht="25" customHeight="1">
      <x:c r="A2564" s="1" t="str">
        <x:v>sh000688</x:v>
      </x:c>
      <x:c r="B2564" s="1" t="str">
        <x:v>科创50</x:v>
      </x:c>
      <x:c r="C2564" s="1" t="str">
        <x:v>2022-03</x:v>
      </x:c>
      <x:c r="D2564" s="1" t="str">
        <x:v>2022-02-28</x:v>
      </x:c>
      <x:c r="E2564" s="5" t="n">
        <x:v>1249.59</x:v>
      </x:c>
      <x:c r="F2564" s="6" t="str">
        <x:v>2022-03-31</x:v>
      </x:c>
      <x:c r="G2564" s="5" t="n">
        <x:v>1091.06</x:v>
      </x:c>
      <x:c r="H2564" s="7" t="n">
        <x:f>G2564/E2564-1</x:f>
        <x:v>-0.12686561192071</x:v>
      </x:c>
      <x:c r="I2564" s="1" t="n">
        <x:v>1</x:v>
      </x:c>
      <x:c r="J2564" s="1" t="n">
        <x:v>1</x:v>
      </x:c>
      <x:c r="K2564" s="1" t="str">
        <x:v>中证官方优先</x:v>
      </x:c>
    </x:row>
    <x:row r="2565" ht="25" customHeight="1">
      <x:c r="A2565" s="1" t="str">
        <x:v>sh000688</x:v>
      </x:c>
      <x:c r="B2565" s="1" t="str">
        <x:v>科创50</x:v>
      </x:c>
      <x:c r="C2565" s="1" t="str">
        <x:v>2022-04</x:v>
      </x:c>
      <x:c r="D2565" s="1" t="str">
        <x:v>2022-03-31</x:v>
      </x:c>
      <x:c r="E2565" s="5" t="n">
        <x:v>1091.06</x:v>
      </x:c>
      <x:c r="F2565" s="6" t="str">
        <x:v>2022-04-29</x:v>
      </x:c>
      <x:c r="G2565" s="5" t="n">
        <x:v>947.15</x:v>
      </x:c>
      <x:c r="H2565" s="7" t="n">
        <x:f>G2565/E2565-1</x:f>
        <x:v>-0.13189925393653879</x:v>
      </x:c>
      <x:c r="I2565" s="1" t="n">
        <x:v>1</x:v>
      </x:c>
      <x:c r="J2565" s="1" t="n">
        <x:v>1</x:v>
      </x:c>
      <x:c r="K2565" s="1" t="str">
        <x:v>中证官方优先</x:v>
      </x:c>
    </x:row>
    <x:row r="2566" ht="25" customHeight="1">
      <x:c r="A2566" s="1" t="str">
        <x:v>sh000688</x:v>
      </x:c>
      <x:c r="B2566" s="1" t="str">
        <x:v>科创50</x:v>
      </x:c>
      <x:c r="C2566" s="1" t="str">
        <x:v>2022-05</x:v>
      </x:c>
      <x:c r="D2566" s="1" t="str">
        <x:v>2022-04-29</x:v>
      </x:c>
      <x:c r="E2566" s="5" t="n">
        <x:v>947.15</x:v>
      </x:c>
      <x:c r="F2566" s="6" t="str">
        <x:v>2022-05-31</x:v>
      </x:c>
      <x:c r="G2566" s="5" t="n">
        <x:v>1035.32</x:v>
      </x:c>
      <x:c r="H2566" s="7" t="n">
        <x:f>G2566/E2566-1</x:f>
        <x:v>0.09308979570289821</x:v>
      </x:c>
      <x:c r="I2566" s="1" t="n">
        <x:v>1</x:v>
      </x:c>
      <x:c r="J2566" s="1" t="n">
        <x:v>1</x:v>
      </x:c>
      <x:c r="K2566" s="1" t="str">
        <x:v>中证官方优先</x:v>
      </x:c>
    </x:row>
    <x:row r="2567" ht="25" customHeight="1">
      <x:c r="A2567" s="1" t="str">
        <x:v>sh000688</x:v>
      </x:c>
      <x:c r="B2567" s="1" t="str">
        <x:v>科创50</x:v>
      </x:c>
      <x:c r="C2567" s="1" t="str">
        <x:v>2022-06</x:v>
      </x:c>
      <x:c r="D2567" s="1" t="str">
        <x:v>2022-05-31</x:v>
      </x:c>
      <x:c r="E2567" s="5" t="n">
        <x:v>1035.32</x:v>
      </x:c>
      <x:c r="F2567" s="6" t="str">
        <x:v>2022-06-30</x:v>
      </x:c>
      <x:c r="G2567" s="5" t="n">
        <x:v>1105.67</x:v>
      </x:c>
      <x:c r="H2567" s="7" t="n">
        <x:f>G2567/E2567-1</x:f>
        <x:v>0.06795000579530974</x:v>
      </x:c>
      <x:c r="I2567" s="1" t="n">
        <x:v>1</x:v>
      </x:c>
      <x:c r="J2567" s="1" t="n">
        <x:v>1</x:v>
      </x:c>
      <x:c r="K2567" s="1" t="str">
        <x:v>中证官方优先</x:v>
      </x:c>
    </x:row>
    <x:row r="2568" ht="25" customHeight="1">
      <x:c r="A2568" s="1" t="str">
        <x:v>sh000688</x:v>
      </x:c>
      <x:c r="B2568" s="1" t="str">
        <x:v>科创50</x:v>
      </x:c>
      <x:c r="C2568" s="1" t="str">
        <x:v>2022-07</x:v>
      </x:c>
      <x:c r="D2568" s="1" t="str">
        <x:v>2022-06-30</x:v>
      </x:c>
      <x:c r="E2568" s="5" t="n">
        <x:v>1105.67</x:v>
      </x:c>
      <x:c r="F2568" s="6" t="str">
        <x:v>2022-07-29</x:v>
      </x:c>
      <x:c r="G2568" s="5" t="n">
        <x:v>1088.91</x:v>
      </x:c>
      <x:c r="H2568" s="7" t="n">
        <x:f>G2568/E2568-1</x:f>
        <x:v>-0.015158229851583216</x:v>
      </x:c>
      <x:c r="I2568" s="1" t="n">
        <x:v>1</x:v>
      </x:c>
      <x:c r="J2568" s="1" t="n">
        <x:v>1</x:v>
      </x:c>
      <x:c r="K2568" s="1" t="str">
        <x:v>中证官方优先</x:v>
      </x:c>
    </x:row>
    <x:row r="2569" ht="25" customHeight="1">
      <x:c r="A2569" s="1" t="str">
        <x:v>sh000688</x:v>
      </x:c>
      <x:c r="B2569" s="1" t="str">
        <x:v>科创50</x:v>
      </x:c>
      <x:c r="C2569" s="1" t="str">
        <x:v>2022-08</x:v>
      </x:c>
      <x:c r="D2569" s="1" t="str">
        <x:v>2022-07-29</x:v>
      </x:c>
      <x:c r="E2569" s="5" t="n">
        <x:v>1088.91</x:v>
      </x:c>
      <x:c r="F2569" s="6" t="str">
        <x:v>2022-08-31</x:v>
      </x:c>
      <x:c r="G2569" s="5" t="n">
        <x:v>1029.66</x:v>
      </x:c>
      <x:c r="H2569" s="7" t="n">
        <x:f>G2569/E2569-1</x:f>
        <x:v>-0.05441221037551314</x:v>
      </x:c>
      <x:c r="I2569" s="1" t="n">
        <x:v>1</x:v>
      </x:c>
      <x:c r="J2569" s="1" t="n">
        <x:v>1</x:v>
      </x:c>
      <x:c r="K2569" s="1" t="str">
        <x:v>中证官方优先</x:v>
      </x:c>
    </x:row>
    <x:row r="2570" ht="25" customHeight="1">
      <x:c r="A2570" s="1" t="str">
        <x:v>sh000688</x:v>
      </x:c>
      <x:c r="B2570" s="1" t="str">
        <x:v>科创50</x:v>
      </x:c>
      <x:c r="C2570" s="1" t="str">
        <x:v>2022-09</x:v>
      </x:c>
      <x:c r="D2570" s="1" t="str">
        <x:v>2022-08-31</x:v>
      </x:c>
      <x:c r="E2570" s="5" t="n">
        <x:v>1029.66</x:v>
      </x:c>
      <x:c r="F2570" s="6" t="str">
        <x:v>2022-09-30</x:v>
      </x:c>
      <x:c r="G2570" s="5" t="n">
        <x:v>939.38</x:v>
      </x:c>
      <x:c r="H2570" s="7" t="n">
        <x:f>G2570/E2570-1</x:f>
        <x:v>-0.08767942816075214</x:v>
      </x:c>
      <x:c r="I2570" s="1" t="n">
        <x:v>1</x:v>
      </x:c>
      <x:c r="J2570" s="1" t="n">
        <x:v>1</x:v>
      </x:c>
      <x:c r="K2570" s="1" t="str">
        <x:v>中证官方优先</x:v>
      </x:c>
    </x:row>
    <x:row r="2571" ht="25" customHeight="1">
      <x:c r="A2571" s="1" t="str">
        <x:v>sh000688</x:v>
      </x:c>
      <x:c r="B2571" s="1" t="str">
        <x:v>科创50</x:v>
      </x:c>
      <x:c r="C2571" s="1" t="str">
        <x:v>2022-10</x:v>
      </x:c>
      <x:c r="D2571" s="1" t="str">
        <x:v>2022-09-30</x:v>
      </x:c>
      <x:c r="E2571" s="5" t="n">
        <x:v>939.38</x:v>
      </x:c>
      <x:c r="F2571" s="6" t="str">
        <x:v>2022-10-31</x:v>
      </x:c>
      <x:c r="G2571" s="5" t="n">
        <x:v>1010.33</x:v>
      </x:c>
      <x:c r="H2571" s="7" t="n">
        <x:f>G2571/E2571-1</x:f>
        <x:v>0.07552854010091758</x:v>
      </x:c>
      <x:c r="I2571" s="1" t="n">
        <x:v>1</x:v>
      </x:c>
      <x:c r="J2571" s="1" t="n">
        <x:v>1</x:v>
      </x:c>
      <x:c r="K2571" s="1" t="str">
        <x:v>中证官方优先</x:v>
      </x:c>
    </x:row>
    <x:row r="2572" ht="25" customHeight="1">
      <x:c r="A2572" s="1" t="str">
        <x:v>sh000688</x:v>
      </x:c>
      <x:c r="B2572" s="1" t="str">
        <x:v>科创50</x:v>
      </x:c>
      <x:c r="C2572" s="1" t="str">
        <x:v>2022-11</x:v>
      </x:c>
      <x:c r="D2572" s="1" t="str">
        <x:v>2022-10-31</x:v>
      </x:c>
      <x:c r="E2572" s="5" t="n">
        <x:v>1010.33</x:v>
      </x:c>
      <x:c r="F2572" s="6" t="str">
        <x:v>2022-11-30</x:v>
      </x:c>
      <x:c r="G2572" s="5" t="n">
        <x:v>1000.26</x:v>
      </x:c>
      <x:c r="H2572" s="7" t="n">
        <x:f>G2572/E2572-1</x:f>
        <x:v>-0.009967040471925093</x:v>
      </x:c>
      <x:c r="I2572" s="1" t="n">
        <x:v>1</x:v>
      </x:c>
      <x:c r="J2572" s="1" t="n">
        <x:v>1</x:v>
      </x:c>
      <x:c r="K2572" s="1" t="str">
        <x:v>中证官方优先</x:v>
      </x:c>
    </x:row>
    <x:row r="2573" ht="25" customHeight="1">
      <x:c r="A2573" s="1" t="str">
        <x:v>sh000688</x:v>
      </x:c>
      <x:c r="B2573" s="1" t="str">
        <x:v>科创50</x:v>
      </x:c>
      <x:c r="C2573" s="1" t="str">
        <x:v>2022-12</x:v>
      </x:c>
      <x:c r="D2573" s="1" t="str">
        <x:v>2022-11-30</x:v>
      </x:c>
      <x:c r="E2573" s="5" t="n">
        <x:v>1000.26</x:v>
      </x:c>
      <x:c r="F2573" s="6" t="str">
        <x:v>2022-12-30</x:v>
      </x:c>
      <x:c r="G2573" s="5" t="n">
        <x:v>959.9</x:v>
      </x:c>
      <x:c r="H2573" s="7" t="n">
        <x:f>G2573/E2573-1</x:f>
        <x:v>-0.040349509127626804</x:v>
      </x:c>
      <x:c r="I2573" s="1" t="n">
        <x:v>1</x:v>
      </x:c>
      <x:c r="J2573" s="1" t="n">
        <x:v>1</x:v>
      </x:c>
      <x:c r="K2573" s="1" t="str">
        <x:v>中证官方优先</x:v>
      </x:c>
    </x:row>
    <x:row r="2574" ht="25" customHeight="1">
      <x:c r="A2574" s="1" t="str">
        <x:v>sh000688</x:v>
      </x:c>
      <x:c r="B2574" s="1" t="str">
        <x:v>科创50</x:v>
      </x:c>
      <x:c r="C2574" s="1" t="str">
        <x:v>2023-01</x:v>
      </x:c>
      <x:c r="D2574" s="1" t="str">
        <x:v>2022-12-30</x:v>
      </x:c>
      <x:c r="E2574" s="5" t="n">
        <x:v>959.9</x:v>
      </x:c>
      <x:c r="F2574" s="6" t="str">
        <x:v>2023-01-31</x:v>
      </x:c>
      <x:c r="G2574" s="5" t="n">
        <x:v>1014.36</x:v>
      </x:c>
      <x:c r="H2574" s="7" t="n">
        <x:f>G2574/E2574-1</x:f>
        <x:v>0.05673507657047616</x:v>
      </x:c>
      <x:c r="I2574" s="1" t="n">
        <x:v>1</x:v>
      </x:c>
      <x:c r="J2574" s="1" t="n">
        <x:v>1</x:v>
      </x:c>
      <x:c r="K2574" s="1" t="str">
        <x:v>中证官方优先</x:v>
      </x:c>
    </x:row>
    <x:row r="2575" ht="25" customHeight="1">
      <x:c r="A2575" s="1" t="str">
        <x:v>sh000688</x:v>
      </x:c>
      <x:c r="B2575" s="1" t="str">
        <x:v>科创50</x:v>
      </x:c>
      <x:c r="C2575" s="1" t="str">
        <x:v>2023-02</x:v>
      </x:c>
      <x:c r="D2575" s="1" t="str">
        <x:v>2023-01-31</x:v>
      </x:c>
      <x:c r="E2575" s="5" t="n">
        <x:v>1014.36</x:v>
      </x:c>
      <x:c r="F2575" s="6" t="str">
        <x:v>2023-02-28</x:v>
      </x:c>
      <x:c r="G2575" s="5" t="n">
        <x:v>990.47</x:v>
      </x:c>
      <x:c r="H2575" s="7" t="n">
        <x:f>G2575/E2575-1</x:f>
        <x:v>-0.023551796206474962</x:v>
      </x:c>
      <x:c r="I2575" s="1" t="n">
        <x:v>1</x:v>
      </x:c>
      <x:c r="J2575" s="1" t="n">
        <x:v>1</x:v>
      </x:c>
      <x:c r="K2575" s="1" t="str">
        <x:v>中证官方优先</x:v>
      </x:c>
    </x:row>
    <x:row r="2576" ht="25" customHeight="1">
      <x:c r="A2576" s="1" t="str">
        <x:v>sh000688</x:v>
      </x:c>
      <x:c r="B2576" s="1" t="str">
        <x:v>科创50</x:v>
      </x:c>
      <x:c r="C2576" s="1" t="str">
        <x:v>2023-03</x:v>
      </x:c>
      <x:c r="D2576" s="1" t="str">
        <x:v>2023-02-28</x:v>
      </x:c>
      <x:c r="E2576" s="5" t="n">
        <x:v>990.47</x:v>
      </x:c>
      <x:c r="F2576" s="6" t="str">
        <x:v>2023-03-31</x:v>
      </x:c>
      <x:c r="G2576" s="5" t="n">
        <x:v>1081.54</x:v>
      </x:c>
      <x:c r="H2576" s="7" t="n">
        <x:f>G2576/E2576-1</x:f>
        <x:v>0.09194624774097138</x:v>
      </x:c>
      <x:c r="I2576" s="1" t="n">
        <x:v>1</x:v>
      </x:c>
      <x:c r="J2576" s="1" t="n">
        <x:v>1</x:v>
      </x:c>
      <x:c r="K2576" s="1" t="str">
        <x:v>中证官方优先</x:v>
      </x:c>
    </x:row>
    <x:row r="2577" ht="25" customHeight="1">
      <x:c r="A2577" s="1" t="str">
        <x:v>sh000688</x:v>
      </x:c>
      <x:c r="B2577" s="1" t="str">
        <x:v>科创50</x:v>
      </x:c>
      <x:c r="C2577" s="1" t="str">
        <x:v>2023-04</x:v>
      </x:c>
      <x:c r="D2577" s="1" t="str">
        <x:v>2023-03-31</x:v>
      </x:c>
      <x:c r="E2577" s="5" t="n">
        <x:v>1081.54</x:v>
      </x:c>
      <x:c r="F2577" s="6" t="str">
        <x:v>2023-04-28</x:v>
      </x:c>
      <x:c r="G2577" s="5" t="n">
        <x:v>1087.87</x:v>
      </x:c>
      <x:c r="H2577" s="7" t="n">
        <x:f>G2577/E2577-1</x:f>
        <x:v>0.005852765501044743</x:v>
      </x:c>
      <x:c r="I2577" s="1" t="n">
        <x:v>1</x:v>
      </x:c>
      <x:c r="J2577" s="1" t="n">
        <x:v>1</x:v>
      </x:c>
      <x:c r="K2577" s="1" t="str">
        <x:v>中证官方优先</x:v>
      </x:c>
    </x:row>
    <x:row r="2578" ht="25" customHeight="1">
      <x:c r="A2578" s="1" t="str">
        <x:v>sh000688</x:v>
      </x:c>
      <x:c r="B2578" s="1" t="str">
        <x:v>科创50</x:v>
      </x:c>
      <x:c r="C2578" s="1" t="str">
        <x:v>2023-05</x:v>
      </x:c>
      <x:c r="D2578" s="1" t="str">
        <x:v>2023-04-28</x:v>
      </x:c>
      <x:c r="E2578" s="5" t="n">
        <x:v>1087.87</x:v>
      </x:c>
      <x:c r="F2578" s="6" t="str">
        <x:v>2023-05-31</x:v>
      </x:c>
      <x:c r="G2578" s="5" t="n">
        <x:v>1053.91</x:v>
      </x:c>
      <x:c r="H2578" s="7" t="n">
        <x:f>G2578/E2578-1</x:f>
        <x:v>-0.03121696526239326</x:v>
      </x:c>
      <x:c r="I2578" s="1" t="n">
        <x:v>1</x:v>
      </x:c>
      <x:c r="J2578" s="1" t="n">
        <x:v>1</x:v>
      </x:c>
      <x:c r="K2578" s="1" t="str">
        <x:v>中证官方优先</x:v>
      </x:c>
    </x:row>
    <x:row r="2579" ht="25" customHeight="1">
      <x:c r="A2579" s="1" t="str">
        <x:v>sh000688</x:v>
      </x:c>
      <x:c r="B2579" s="1" t="str">
        <x:v>科创50</x:v>
      </x:c>
      <x:c r="C2579" s="1" t="str">
        <x:v>2023-06</x:v>
      </x:c>
      <x:c r="D2579" s="1" t="str">
        <x:v>2023-05-31</x:v>
      </x:c>
      <x:c r="E2579" s="5" t="n">
        <x:v>1053.91</x:v>
      </x:c>
      <x:c r="F2579" s="6" t="str">
        <x:v>2023-06-30</x:v>
      </x:c>
      <x:c r="G2579" s="5" t="n">
        <x:v>1005.15</x:v>
      </x:c>
      <x:c r="H2579" s="7" t="n">
        <x:f>G2579/E2579-1</x:f>
        <x:v>-0.046265810173544364</x:v>
      </x:c>
      <x:c r="I2579" s="1" t="n">
        <x:v>1</x:v>
      </x:c>
      <x:c r="J2579" s="1" t="n">
        <x:v>1</x:v>
      </x:c>
      <x:c r="K2579" s="1" t="str">
        <x:v>中证官方优先</x:v>
      </x:c>
    </x:row>
    <x:row r="2580" ht="25" customHeight="1">
      <x:c r="A2580" s="1" t="str">
        <x:v>sh000688</x:v>
      </x:c>
      <x:c r="B2580" s="1" t="str">
        <x:v>科创50</x:v>
      </x:c>
      <x:c r="C2580" s="1" t="str">
        <x:v>2023-07</x:v>
      </x:c>
      <x:c r="D2580" s="1" t="str">
        <x:v>2023-06-30</x:v>
      </x:c>
      <x:c r="E2580" s="5" t="n">
        <x:v>1005.15</x:v>
      </x:c>
      <x:c r="F2580" s="6" t="str">
        <x:v>2023-07-31</x:v>
      </x:c>
      <x:c r="G2580" s="5" t="n">
        <x:v>968.99</x:v>
      </x:c>
      <x:c r="H2580" s="7" t="n">
        <x:f>G2580/E2580-1</x:f>
        <x:v>-0.03597473013978014</x:v>
      </x:c>
      <x:c r="I2580" s="1" t="n">
        <x:v>1</x:v>
      </x:c>
      <x:c r="J2580" s="1" t="n">
        <x:v>1</x:v>
      </x:c>
      <x:c r="K2580" s="1" t="str">
        <x:v>中证官方优先</x:v>
      </x:c>
    </x:row>
    <x:row r="2581" ht="25" customHeight="1">
      <x:c r="A2581" s="1" t="str">
        <x:v>sh000688</x:v>
      </x:c>
      <x:c r="B2581" s="1" t="str">
        <x:v>科创50</x:v>
      </x:c>
      <x:c r="C2581" s="1" t="str">
        <x:v>2023-08</x:v>
      </x:c>
      <x:c r="D2581" s="1" t="str">
        <x:v>2023-07-31</x:v>
      </x:c>
      <x:c r="E2581" s="5" t="n">
        <x:v>968.99</x:v>
      </x:c>
      <x:c r="F2581" s="6" t="str">
        <x:v>2023-08-31</x:v>
      </x:c>
      <x:c r="G2581" s="5" t="n">
        <x:v>942.61</x:v>
      </x:c>
      <x:c r="H2581" s="7" t="n">
        <x:f>G2581/E2581-1</x:f>
        <x:v>-0.02722422316019768</x:v>
      </x:c>
      <x:c r="I2581" s="1" t="n">
        <x:v>1</x:v>
      </x:c>
      <x:c r="J2581" s="1" t="n">
        <x:v>1</x:v>
      </x:c>
      <x:c r="K2581" s="1" t="str">
        <x:v>中证官方优先</x:v>
      </x:c>
    </x:row>
    <x:row r="2582" ht="25" customHeight="1">
      <x:c r="A2582" s="1" t="str">
        <x:v>sh000688</x:v>
      </x:c>
      <x:c r="B2582" s="1" t="str">
        <x:v>科创50</x:v>
      </x:c>
      <x:c r="C2582" s="1" t="str">
        <x:v>2023-09</x:v>
      </x:c>
      <x:c r="D2582" s="1" t="str">
        <x:v>2023-08-31</x:v>
      </x:c>
      <x:c r="E2582" s="5" t="n">
        <x:v>942.61</x:v>
      </x:c>
      <x:c r="F2582" s="6" t="str">
        <x:v>2023-09-28</x:v>
      </x:c>
      <x:c r="G2582" s="5" t="n">
        <x:v>887.8</x:v>
      </x:c>
      <x:c r="H2582" s="7" t="n">
        <x:f>G2582/E2582-1</x:f>
        <x:v>-0.05814705975960377</x:v>
      </x:c>
      <x:c r="I2582" s="1" t="n">
        <x:v>1</x:v>
      </x:c>
      <x:c r="J2582" s="1" t="n">
        <x:v>1</x:v>
      </x:c>
      <x:c r="K2582" s="1" t="str">
        <x:v>中证官方优先</x:v>
      </x:c>
    </x:row>
    <x:row r="2583" ht="25" customHeight="1">
      <x:c r="A2583" s="1" t="str">
        <x:v>sh000688</x:v>
      </x:c>
      <x:c r="B2583" s="1" t="str">
        <x:v>科创50</x:v>
      </x:c>
      <x:c r="C2583" s="1" t="str">
        <x:v>2023-10</x:v>
      </x:c>
      <x:c r="D2583" s="1" t="str">
        <x:v>2023-09-28</x:v>
      </x:c>
      <x:c r="E2583" s="5" t="n">
        <x:v>887.8</x:v>
      </x:c>
      <x:c r="F2583" s="6" t="str">
        <x:v>2023-10-31</x:v>
      </x:c>
      <x:c r="G2583" s="5" t="n">
        <x:v>874.41</x:v>
      </x:c>
      <x:c r="H2583" s="7" t="n">
        <x:f>G2583/E2583-1</x:f>
        <x:v>-0.015082225726514964</x:v>
      </x:c>
      <x:c r="I2583" s="1" t="n">
        <x:v>1</x:v>
      </x:c>
      <x:c r="J2583" s="1" t="n">
        <x:v>1</x:v>
      </x:c>
      <x:c r="K2583" s="1" t="str">
        <x:v>中证官方优先</x:v>
      </x:c>
    </x:row>
    <x:row r="2584" ht="25" customHeight="1">
      <x:c r="A2584" s="1" t="str">
        <x:v>sh000688</x:v>
      </x:c>
      <x:c r="B2584" s="1" t="str">
        <x:v>科创50</x:v>
      </x:c>
      <x:c r="C2584" s="1" t="str">
        <x:v>2023-11</x:v>
      </x:c>
      <x:c r="D2584" s="1" t="str">
        <x:v>2023-10-31</x:v>
      </x:c>
      <x:c r="E2584" s="5" t="n">
        <x:v>874.41</x:v>
      </x:c>
      <x:c r="F2584" s="6" t="str">
        <x:v>2023-11-30</x:v>
      </x:c>
      <x:c r="G2584" s="5" t="n">
        <x:v>865.68</x:v>
      </x:c>
      <x:c r="H2584" s="7" t="n">
        <x:f>G2584/E2584-1</x:f>
        <x:v>-0.009983874841321572</x:v>
      </x:c>
      <x:c r="I2584" s="1" t="n">
        <x:v>1</x:v>
      </x:c>
      <x:c r="J2584" s="1" t="n">
        <x:v>1</x:v>
      </x:c>
      <x:c r="K2584" s="1" t="str">
        <x:v>中证官方优先</x:v>
      </x:c>
    </x:row>
    <x:row r="2585" ht="25" customHeight="1">
      <x:c r="A2585" s="1" t="str">
        <x:v>sh000688</x:v>
      </x:c>
      <x:c r="B2585" s="1" t="str">
        <x:v>科创50</x:v>
      </x:c>
      <x:c r="C2585" s="1" t="str">
        <x:v>2023-12</x:v>
      </x:c>
      <x:c r="D2585" s="1" t="str">
        <x:v>2023-11-30</x:v>
      </x:c>
      <x:c r="E2585" s="5" t="n">
        <x:v>865.68</x:v>
      </x:c>
      <x:c r="F2585" s="6" t="str">
        <x:v>2023-12-29</x:v>
      </x:c>
      <x:c r="G2585" s="5" t="n">
        <x:v>852</x:v>
      </x:c>
      <x:c r="H2585" s="7" t="n">
        <x:f>G2585/E2585-1</x:f>
        <x:v>-0.01580260604380368</x:v>
      </x:c>
      <x:c r="I2585" s="1" t="n">
        <x:v>1</x:v>
      </x:c>
      <x:c r="J2585" s="1" t="n">
        <x:v>1</x:v>
      </x:c>
      <x:c r="K2585" s="1" t="str">
        <x:v>中证官方优先</x:v>
      </x:c>
    </x:row>
    <x:row r="2586" ht="25" customHeight="1">
      <x:c r="A2586" s="1" t="str">
        <x:v>sh000688</x:v>
      </x:c>
      <x:c r="B2586" s="1" t="str">
        <x:v>科创50</x:v>
      </x:c>
      <x:c r="C2586" s="1" t="str">
        <x:v>2024-01</x:v>
      </x:c>
      <x:c r="D2586" s="1" t="str">
        <x:v>2023-12-29</x:v>
      </x:c>
      <x:c r="E2586" s="5" t="n">
        <x:v>852</x:v>
      </x:c>
      <x:c r="F2586" s="6" t="str">
        <x:v>2024-01-31</x:v>
      </x:c>
      <x:c r="G2586" s="5" t="n">
        <x:v>684.85</x:v>
      </x:c>
      <x:c r="H2586" s="7" t="n">
        <x:f>G2586/E2586-1</x:f>
        <x:v>-0.1961854460093897</x:v>
      </x:c>
      <x:c r="I2586" s="1" t="n">
        <x:v>1</x:v>
      </x:c>
      <x:c r="J2586" s="1" t="n">
        <x:v>1</x:v>
      </x:c>
      <x:c r="K2586" s="1" t="str">
        <x:v>中证官方优先</x:v>
      </x:c>
    </x:row>
    <x:row r="2587" ht="25" customHeight="1">
      <x:c r="A2587" s="1" t="str">
        <x:v>sh000688</x:v>
      </x:c>
      <x:c r="B2587" s="1" t="str">
        <x:v>科创50</x:v>
      </x:c>
      <x:c r="C2587" s="1" t="str">
        <x:v>2024-02</x:v>
      </x:c>
      <x:c r="D2587" s="1" t="str">
        <x:v>2024-01-31</x:v>
      </x:c>
      <x:c r="E2587" s="5" t="n">
        <x:v>684.85</x:v>
      </x:c>
      <x:c r="F2587" s="6" t="str">
        <x:v>2024-02-29</x:v>
      </x:c>
      <x:c r="G2587" s="5" t="n">
        <x:v>807.71</x:v>
      </x:c>
      <x:c r="H2587" s="7" t="n">
        <x:f>G2587/E2587-1</x:f>
        <x:v>0.17939694823684027</x:v>
      </x:c>
      <x:c r="I2587" s="1" t="n">
        <x:v>1</x:v>
      </x:c>
      <x:c r="J2587" s="1" t="n">
        <x:v>1</x:v>
      </x:c>
      <x:c r="K2587" s="1" t="str">
        <x:v>中证官方优先</x:v>
      </x:c>
    </x:row>
    <x:row r="2588" ht="25" customHeight="1">
      <x:c r="A2588" s="1" t="str">
        <x:v>sh000688</x:v>
      </x:c>
      <x:c r="B2588" s="1" t="str">
        <x:v>科创50</x:v>
      </x:c>
      <x:c r="C2588" s="1" t="str">
        <x:v>2024-03</x:v>
      </x:c>
      <x:c r="D2588" s="1" t="str">
        <x:v>2024-02-29</x:v>
      </x:c>
      <x:c r="E2588" s="5" t="n">
        <x:v>807.71</x:v>
      </x:c>
      <x:c r="F2588" s="6" t="str">
        <x:v>2024-03-29</x:v>
      </x:c>
      <x:c r="G2588" s="5" t="n">
        <x:v>762.74</x:v>
      </x:c>
      <x:c r="H2588" s="7" t="n">
        <x:f>G2588/E2588-1</x:f>
        <x:v>-0.05567592328929938</x:v>
      </x:c>
      <x:c r="I2588" s="1" t="n">
        <x:v>1</x:v>
      </x:c>
      <x:c r="J2588" s="1" t="n">
        <x:v>1</x:v>
      </x:c>
      <x:c r="K2588" s="1" t="str">
        <x:v>中证官方优先</x:v>
      </x:c>
    </x:row>
    <x:row r="2589" ht="25" customHeight="1">
      <x:c r="A2589" s="1" t="str">
        <x:v>sh000688</x:v>
      </x:c>
      <x:c r="B2589" s="1" t="str">
        <x:v>科创50</x:v>
      </x:c>
      <x:c r="C2589" s="1" t="str">
        <x:v>2024-04</x:v>
      </x:c>
      <x:c r="D2589" s="1" t="str">
        <x:v>2024-03-29</x:v>
      </x:c>
      <x:c r="E2589" s="5" t="n">
        <x:v>762.74</x:v>
      </x:c>
      <x:c r="F2589" s="6" t="str">
        <x:v>2024-04-30</x:v>
      </x:c>
      <x:c r="G2589" s="5" t="n">
        <x:v>767.46</x:v>
      </x:c>
      <x:c r="H2589" s="7" t="n">
        <x:f>G2589/E2589-1</x:f>
        <x:v>0.006188216168025784</x:v>
      </x:c>
      <x:c r="I2589" s="1" t="n">
        <x:v>1</x:v>
      </x:c>
      <x:c r="J2589" s="1" t="n">
        <x:v>1</x:v>
      </x:c>
      <x:c r="K2589" s="1" t="str">
        <x:v>中证官方优先</x:v>
      </x:c>
    </x:row>
    <x:row r="2590" ht="25" customHeight="1">
      <x:c r="A2590" s="1" t="str">
        <x:v>sh000688</x:v>
      </x:c>
      <x:c r="B2590" s="1" t="str">
        <x:v>科创50</x:v>
      </x:c>
      <x:c r="C2590" s="1" t="str">
        <x:v>2024-05</x:v>
      </x:c>
      <x:c r="D2590" s="1" t="str">
        <x:v>2024-04-30</x:v>
      </x:c>
      <x:c r="E2590" s="5" t="n">
        <x:v>767.46</x:v>
      </x:c>
      <x:c r="F2590" s="6" t="str">
        <x:v>2024-05-31</x:v>
      </x:c>
      <x:c r="G2590" s="5" t="n">
        <x:v>743.23</x:v>
      </x:c>
      <x:c r="H2590" s="7" t="n">
        <x:f>G2590/E2590-1</x:f>
        <x:v>-0.03157167800276239</x:v>
      </x:c>
      <x:c r="I2590" s="1" t="n">
        <x:v>1</x:v>
      </x:c>
      <x:c r="J2590" s="1" t="n">
        <x:v>1</x:v>
      </x:c>
      <x:c r="K2590" s="1" t="str">
        <x:v>中证官方优先</x:v>
      </x:c>
    </x:row>
    <x:row r="2591" ht="25" customHeight="1">
      <x:c r="A2591" s="1" t="str">
        <x:v>sh000688</x:v>
      </x:c>
      <x:c r="B2591" s="1" t="str">
        <x:v>科创50</x:v>
      </x:c>
      <x:c r="C2591" s="1" t="str">
        <x:v>2024-06</x:v>
      </x:c>
      <x:c r="D2591" s="1" t="str">
        <x:v>2024-05-31</x:v>
      </x:c>
      <x:c r="E2591" s="5" t="n">
        <x:v>743.23</x:v>
      </x:c>
      <x:c r="F2591" s="6" t="str">
        <x:v>2024-06-28</x:v>
      </x:c>
      <x:c r="G2591" s="5" t="n">
        <x:v>712.08</x:v>
      </x:c>
      <x:c r="H2591" s="7" t="n">
        <x:f>G2591/E2591-1</x:f>
        <x:v>-0.04191165588041379</x:v>
      </x:c>
      <x:c r="I2591" s="1" t="n">
        <x:v>1</x:v>
      </x:c>
      <x:c r="J2591" s="1" t="n">
        <x:v>1</x:v>
      </x:c>
      <x:c r="K2591" s="1" t="str">
        <x:v>中证官方优先</x:v>
      </x:c>
    </x:row>
    <x:row r="2592" ht="25" customHeight="1">
      <x:c r="A2592" s="1" t="str">
        <x:v>sh000688</x:v>
      </x:c>
      <x:c r="B2592" s="1" t="str">
        <x:v>科创50</x:v>
      </x:c>
      <x:c r="C2592" s="1" t="str">
        <x:v>2024-07</x:v>
      </x:c>
      <x:c r="D2592" s="1" t="str">
        <x:v>2024-06-28</x:v>
      </x:c>
      <x:c r="E2592" s="5" t="n">
        <x:v>712.08</x:v>
      </x:c>
      <x:c r="F2592" s="6" t="str">
        <x:v>2024-07-31</x:v>
      </x:c>
      <x:c r="G2592" s="5" t="n">
        <x:v>743.37</x:v>
      </x:c>
      <x:c r="H2592" s="7" t="n">
        <x:f>G2592/E2592-1</x:f>
        <x:v>0.0439416919447253</x:v>
      </x:c>
      <x:c r="I2592" s="1" t="n">
        <x:v>1</x:v>
      </x:c>
      <x:c r="J2592" s="1" t="n">
        <x:v>1</x:v>
      </x:c>
      <x:c r="K2592" s="1" t="str">
        <x:v>中证官方优先</x:v>
      </x:c>
    </x:row>
    <x:row r="2593" ht="25" customHeight="1">
      <x:c r="A2593" s="1" t="str">
        <x:v>sh000688</x:v>
      </x:c>
      <x:c r="B2593" s="1" t="str">
        <x:v>科创50</x:v>
      </x:c>
      <x:c r="C2593" s="1" t="str">
        <x:v>2024-08</x:v>
      </x:c>
      <x:c r="D2593" s="1" t="str">
        <x:v>2024-07-31</x:v>
      </x:c>
      <x:c r="E2593" s="5" t="n">
        <x:v>743.37</x:v>
      </x:c>
      <x:c r="F2593" s="6" t="str">
        <x:v>2024-08-30</x:v>
      </x:c>
      <x:c r="G2593" s="5" t="n">
        <x:v>694.16</x:v>
      </x:c>
      <x:c r="H2593" s="7" t="n">
        <x:f>G2593/E2593-1</x:f>
        <x:v>-0.06619852832371498</x:v>
      </x:c>
      <x:c r="I2593" s="1" t="n">
        <x:v>1</x:v>
      </x:c>
      <x:c r="J2593" s="1" t="n">
        <x:v>1</x:v>
      </x:c>
      <x:c r="K2593" s="1" t="str">
        <x:v>中证官方优先</x:v>
      </x:c>
    </x:row>
    <x:row r="2594" ht="25" customHeight="1">
      <x:c r="A2594" s="1" t="str">
        <x:v>sh000688</x:v>
      </x:c>
      <x:c r="B2594" s="1" t="str">
        <x:v>科创50</x:v>
      </x:c>
      <x:c r="C2594" s="1" t="str">
        <x:v>2024-09</x:v>
      </x:c>
      <x:c r="D2594" s="1" t="str">
        <x:v>2024-08-30</x:v>
      </x:c>
      <x:c r="E2594" s="5" t="n">
        <x:v>694.16</x:v>
      </x:c>
      <x:c r="F2594" s="6" t="str">
        <x:v>2024-09-30</x:v>
      </x:c>
      <x:c r="G2594" s="5" t="n">
        <x:v>872.37</x:v>
      </x:c>
      <x:c r="H2594" s="7" t="n">
        <x:f>G2594/E2594-1</x:f>
        <x:v>0.2567275556067765</x:v>
      </x:c>
      <x:c r="I2594" s="1" t="n">
        <x:v>1</x:v>
      </x:c>
      <x:c r="J2594" s="1" t="n">
        <x:v>1</x:v>
      </x:c>
      <x:c r="K2594" s="1" t="str">
        <x:v>中证官方优先</x:v>
      </x:c>
    </x:row>
    <x:row r="2595" ht="25" customHeight="1">
      <x:c r="A2595" s="1" t="str">
        <x:v>sh000688</x:v>
      </x:c>
      <x:c r="B2595" s="1" t="str">
        <x:v>科创50</x:v>
      </x:c>
      <x:c r="C2595" s="1" t="str">
        <x:v>2024-10</x:v>
      </x:c>
      <x:c r="D2595" s="1" t="str">
        <x:v>2024-09-30</x:v>
      </x:c>
      <x:c r="E2595" s="5" t="n">
        <x:v>872.37</x:v>
      </x:c>
      <x:c r="F2595" s="6" t="str">
        <x:v>2024-10-31</x:v>
      </x:c>
      <x:c r="G2595" s="5" t="n">
        <x:v>969.45</x:v>
      </x:c>
      <x:c r="H2595" s="7" t="n">
        <x:f>G2595/E2595-1</x:f>
        <x:v>0.11128305650125525</x:v>
      </x:c>
      <x:c r="I2595" s="1" t="n">
        <x:v>1</x:v>
      </x:c>
      <x:c r="J2595" s="1" t="n">
        <x:v>1</x:v>
      </x:c>
      <x:c r="K2595" s="1" t="str">
        <x:v>中证官方优先</x:v>
      </x:c>
    </x:row>
    <x:row r="2596" ht="25" customHeight="1">
      <x:c r="A2596" s="1" t="str">
        <x:v>sh000688</x:v>
      </x:c>
      <x:c r="B2596" s="1" t="str">
        <x:v>科创50</x:v>
      </x:c>
      <x:c r="C2596" s="1" t="str">
        <x:v>2024-11</x:v>
      </x:c>
      <x:c r="D2596" s="1" t="str">
        <x:v>2024-10-31</x:v>
      </x:c>
      <x:c r="E2596" s="5" t="n">
        <x:v>969.45</x:v>
      </x:c>
      <x:c r="F2596" s="6" t="str">
        <x:v>2024-11-29</x:v>
      </x:c>
      <x:c r="G2596" s="5" t="n">
        <x:v>1007.39</x:v>
      </x:c>
      <x:c r="H2596" s="7" t="n">
        <x:f>G2596/E2596-1</x:f>
        <x:v>0.039135592346175585</x:v>
      </x:c>
      <x:c r="I2596" s="1" t="n">
        <x:v>1</x:v>
      </x:c>
      <x:c r="J2596" s="1" t="n">
        <x:v>1</x:v>
      </x:c>
      <x:c r="K2596" s="1" t="str">
        <x:v>中证官方优先</x:v>
      </x:c>
    </x:row>
    <x:row r="2597" ht="25" customHeight="1">
      <x:c r="A2597" s="1" t="str">
        <x:v>sh000688</x:v>
      </x:c>
      <x:c r="B2597" s="1" t="str">
        <x:v>科创50</x:v>
      </x:c>
      <x:c r="C2597" s="1" t="str">
        <x:v>2024-12</x:v>
      </x:c>
      <x:c r="D2597" s="1" t="str">
        <x:v>2024-11-29</x:v>
      </x:c>
      <x:c r="E2597" s="5" t="n">
        <x:v>1007.39</x:v>
      </x:c>
      <x:c r="F2597" s="6" t="str">
        <x:v>2024-12-31</x:v>
      </x:c>
      <x:c r="G2597" s="5" t="n">
        <x:v>988.93</x:v>
      </x:c>
      <x:c r="H2597" s="7" t="n">
        <x:f>G2597/E2597-1</x:f>
        <x:v>-0.01832458134386883</x:v>
      </x:c>
      <x:c r="I2597" s="1" t="n">
        <x:v>1</x:v>
      </x:c>
      <x:c r="J2597" s="1" t="n">
        <x:v>1</x:v>
      </x:c>
      <x:c r="K2597" s="1" t="str">
        <x:v>中证官方优先</x:v>
      </x:c>
    </x:row>
    <x:row r="2598" ht="25" customHeight="1">
      <x:c r="A2598" s="1" t="str">
        <x:v>sh000688</x:v>
      </x:c>
      <x:c r="B2598" s="1" t="str">
        <x:v>科创50</x:v>
      </x:c>
      <x:c r="C2598" s="1" t="str">
        <x:v>2025-01</x:v>
      </x:c>
      <x:c r="D2598" s="1" t="str">
        <x:v>2024-12-31</x:v>
      </x:c>
      <x:c r="E2598" s="5" t="n">
        <x:v>988.93</x:v>
      </x:c>
      <x:c r="F2598" s="6" t="str">
        <x:v>2025-01-27</x:v>
      </x:c>
      <x:c r="G2598" s="5" t="n">
        <x:v>955.09</x:v>
      </x:c>
      <x:c r="H2598" s="7" t="n">
        <x:f>G2598/E2598-1</x:f>
        <x:v>-0.0342188021396862</x:v>
      </x:c>
      <x:c r="I2598" s="1" t="n">
        <x:v>1</x:v>
      </x:c>
      <x:c r="J2598" s="1" t="n">
        <x:v>1</x:v>
      </x:c>
      <x:c r="K2598" s="1" t="str">
        <x:v>中证官方优先</x:v>
      </x:c>
    </x:row>
    <x:row r="2599" ht="25" customHeight="1">
      <x:c r="A2599" s="1" t="str">
        <x:v>sh000688</x:v>
      </x:c>
      <x:c r="B2599" s="1" t="str">
        <x:v>科创50</x:v>
      </x:c>
      <x:c r="C2599" s="1" t="str">
        <x:v>2025-02</x:v>
      </x:c>
      <x:c r="D2599" s="1" t="str">
        <x:v>2025-01-27</x:v>
      </x:c>
      <x:c r="E2599" s="5" t="n">
        <x:v>955.09</x:v>
      </x:c>
      <x:c r="F2599" s="6" t="str">
        <x:v>2025-02-28</x:v>
      </x:c>
      <x:c r="G2599" s="5" t="n">
        <x:v>1078.8</x:v>
      </x:c>
      <x:c r="H2599" s="7" t="n">
        <x:f>G2599/E2599-1</x:f>
        <x:v>0.12952706027704197</x:v>
      </x:c>
      <x:c r="I2599" s="1" t="n">
        <x:v>1</x:v>
      </x:c>
      <x:c r="J2599" s="1" t="n">
        <x:v>1</x:v>
      </x:c>
      <x:c r="K2599" s="1" t="str">
        <x:v>中证官方优先</x:v>
      </x:c>
    </x:row>
    <x:row r="2600" ht="25" customHeight="1">
      <x:c r="A2600" s="1" t="str">
        <x:v>sh000688</x:v>
      </x:c>
      <x:c r="B2600" s="1" t="str">
        <x:v>科创50</x:v>
      </x:c>
      <x:c r="C2600" s="1" t="str">
        <x:v>2025-03</x:v>
      </x:c>
      <x:c r="D2600" s="1" t="str">
        <x:v>2025-02-28</x:v>
      </x:c>
      <x:c r="E2600" s="5" t="n">
        <x:v>1078.8</x:v>
      </x:c>
      <x:c r="F2600" s="6" t="str">
        <x:v>2025-03-31</x:v>
      </x:c>
      <x:c r="G2600" s="5" t="n">
        <x:v>1022.71</x:v>
      </x:c>
      <x:c r="H2600" s="7" t="n">
        <x:f>G2600/E2600-1</x:f>
        <x:v>-0.05199295513533553</x:v>
      </x:c>
      <x:c r="I2600" s="1" t="n">
        <x:v>1</x:v>
      </x:c>
      <x:c r="J2600" s="1" t="n">
        <x:v>1</x:v>
      </x:c>
      <x:c r="K2600" s="1" t="str">
        <x:v>中证官方优先</x:v>
      </x:c>
    </x:row>
    <x:row r="2601" ht="25" customHeight="1">
      <x:c r="A2601" s="1" t="str">
        <x:v>sh000688</x:v>
      </x:c>
      <x:c r="B2601" s="1" t="str">
        <x:v>科创50</x:v>
      </x:c>
      <x:c r="C2601" s="1" t="str">
        <x:v>2025-04</x:v>
      </x:c>
      <x:c r="D2601" s="1" t="str">
        <x:v>2025-03-31</x:v>
      </x:c>
      <x:c r="E2601" s="5" t="n">
        <x:v>1022.71</x:v>
      </x:c>
      <x:c r="F2601" s="6" t="str">
        <x:v>2025-04-30</x:v>
      </x:c>
      <x:c r="G2601" s="5" t="n">
        <x:v>1012.42</x:v>
      </x:c>
      <x:c r="H2601" s="7" t="n">
        <x:f>G2601/E2601-1</x:f>
        <x:v>-0.010061503260944016</x:v>
      </x:c>
      <x:c r="I2601" s="1" t="n">
        <x:v>1</x:v>
      </x:c>
      <x:c r="J2601" s="1" t="n">
        <x:v>1</x:v>
      </x:c>
      <x:c r="K2601" s="1" t="str">
        <x:v>中证官方优先</x:v>
      </x:c>
    </x:row>
    <x:row r="2602" ht="25" customHeight="1">
      <x:c r="A2602" s="1" t="str">
        <x:v>sh000688</x:v>
      </x:c>
      <x:c r="B2602" s="1" t="str">
        <x:v>科创50</x:v>
      </x:c>
      <x:c r="C2602" s="1" t="str">
        <x:v>2025-05</x:v>
      </x:c>
      <x:c r="D2602" s="1" t="str">
        <x:v>2025-04-30</x:v>
      </x:c>
      <x:c r="E2602" s="5" t="n">
        <x:v>1012.42</x:v>
      </x:c>
      <x:c r="F2602" s="6" t="str">
        <x:v>2025-05-30</x:v>
      </x:c>
      <x:c r="G2602" s="5" t="n">
        <x:v>977.03</x:v>
      </x:c>
      <x:c r="H2602" s="7" t="n">
        <x:f>G2602/E2602-1</x:f>
        <x:v>-0.034955848363327435</x:v>
      </x:c>
      <x:c r="I2602" s="1" t="n">
        <x:v>1</x:v>
      </x:c>
      <x:c r="J2602" s="1" t="n">
        <x:v>1</x:v>
      </x:c>
      <x:c r="K2602" s="1" t="str">
        <x:v>中证官方优先</x:v>
      </x:c>
    </x:row>
    <x:row r="2603" ht="25" customHeight="1">
      <x:c r="A2603" s="1" t="str">
        <x:v>sh000688</x:v>
      </x:c>
      <x:c r="B2603" s="1" t="str">
        <x:v>科创50</x:v>
      </x:c>
      <x:c r="C2603" s="1" t="str">
        <x:v>2025-06</x:v>
      </x:c>
      <x:c r="D2603" s="1" t="str">
        <x:v>2025-05-30</x:v>
      </x:c>
      <x:c r="E2603" s="5" t="n">
        <x:v>977.03</x:v>
      </x:c>
      <x:c r="F2603" s="6" t="str">
        <x:v>2025-06-30</x:v>
      </x:c>
      <x:c r="G2603" s="5" t="n">
        <x:v>1003.41</x:v>
      </x:c>
      <x:c r="H2603" s="7" t="n">
        <x:f>G2603/E2603-1</x:f>
        <x:v>0.027000194466904714</x:v>
      </x:c>
      <x:c r="I2603" s="1" t="n">
        <x:v>1</x:v>
      </x:c>
      <x:c r="J2603" s="1" t="n">
        <x:v>1</x:v>
      </x:c>
      <x:c r="K2603" s="1" t="str">
        <x:v>中证官方优先</x:v>
      </x:c>
    </x:row>
    <x:row r="2604" ht="25" customHeight="1">
      <x:c r="A2604" s="1" t="str">
        <x:v>sh000688</x:v>
      </x:c>
      <x:c r="B2604" s="1" t="str">
        <x:v>科创50</x:v>
      </x:c>
      <x:c r="C2604" s="1" t="str">
        <x:v>2025-07</x:v>
      </x:c>
      <x:c r="D2604" s="1" t="str">
        <x:v>2025-06-30</x:v>
      </x:c>
      <x:c r="E2604" s="5" t="n">
        <x:v>1003.41</x:v>
      </x:c>
      <x:c r="F2604" s="6" t="str">
        <x:v>2025-07-31</x:v>
      </x:c>
      <x:c r="G2604" s="5" t="n">
        <x:v>1047.87</x:v>
      </x:c>
      <x:c r="H2604" s="7" t="n">
        <x:f>G2604/E2604-1</x:f>
        <x:v>0.04430890662839704</x:v>
      </x:c>
      <x:c r="I2604" s="1" t="n">
        <x:v>1</x:v>
      </x:c>
      <x:c r="J2604" s="1" t="n">
        <x:v>1</x:v>
      </x:c>
      <x:c r="K2604" s="1" t="str">
        <x:v>中证官方优先</x:v>
      </x:c>
    </x:row>
    <x:row r="2605" ht="25" customHeight="1">
      <x:c r="A2605" s="1" t="str">
        <x:v>sh000688</x:v>
      </x:c>
      <x:c r="B2605" s="1" t="str">
        <x:v>科创50</x:v>
      </x:c>
      <x:c r="C2605" s="1" t="str">
        <x:v>2025-08</x:v>
      </x:c>
      <x:c r="D2605" s="1" t="str">
        <x:v>2025-07-31</x:v>
      </x:c>
      <x:c r="E2605" s="5" t="n">
        <x:v>1047.87</x:v>
      </x:c>
      <x:c r="F2605" s="6" t="str">
        <x:v>2025-08-29</x:v>
      </x:c>
      <x:c r="G2605" s="5" t="n">
        <x:v>1341.31</x:v>
      </x:c>
      <x:c r="H2605" s="7" t="n">
        <x:f>G2605/E2605-1</x:f>
        <x:v>0.2800347371334231</x:v>
      </x:c>
      <x:c r="I2605" s="1" t="n">
        <x:v>1</x:v>
      </x:c>
      <x:c r="J2605" s="1" t="n">
        <x:v>1</x:v>
      </x:c>
      <x:c r="K2605" s="1" t="str">
        <x:v>中证官方优先</x:v>
      </x:c>
    </x:row>
    <x:row r="2606" ht="25" customHeight="1">
      <x:c r="A2606" s="1" t="str">
        <x:v>sh000688</x:v>
      </x:c>
      <x:c r="B2606" s="1" t="str">
        <x:v>科创50</x:v>
      </x:c>
      <x:c r="C2606" s="1" t="str">
        <x:v>2025-09</x:v>
      </x:c>
      <x:c r="D2606" s="1" t="str">
        <x:v>2025-08-29</x:v>
      </x:c>
      <x:c r="E2606" s="5" t="n">
        <x:v>1341.31</x:v>
      </x:c>
      <x:c r="F2606" s="6" t="str">
        <x:v>2025-09-30</x:v>
      </x:c>
      <x:c r="G2606" s="5" t="n">
        <x:v>1495.29</x:v>
      </x:c>
      <x:c r="H2606" s="7" t="n">
        <x:f>G2606/E2606-1</x:f>
        <x:v>0.11479821965093828</x:v>
      </x:c>
      <x:c r="I2606" s="1" t="n">
        <x:v>1</x:v>
      </x:c>
      <x:c r="J2606" s="1" t="n">
        <x:v>1</x:v>
      </x:c>
      <x:c r="K2606" s="1" t="str">
        <x:v>中证官方优先</x:v>
      </x:c>
    </x:row>
    <x:row r="2607" ht="25" customHeight="1">
      <x:c r="A2607" s="1" t="str">
        <x:v>sh000688</x:v>
      </x:c>
      <x:c r="B2607" s="1" t="str">
        <x:v>科创50</x:v>
      </x:c>
      <x:c r="C2607" s="1" t="str">
        <x:v>2025-10</x:v>
      </x:c>
      <x:c r="D2607" s="1" t="str">
        <x:v>2025-09-30</x:v>
      </x:c>
      <x:c r="E2607" s="5" t="n">
        <x:v>1495.29</x:v>
      </x:c>
      <x:c r="F2607" s="6" t="str">
        <x:v>2025-10-31</x:v>
      </x:c>
      <x:c r="G2607" s="5" t="n">
        <x:v>1415.53</x:v>
      </x:c>
      <x:c r="H2607" s="7" t="n">
        <x:f>G2607/E2607-1</x:f>
        <x:v>-0.05334082351918357</x:v>
      </x:c>
      <x:c r="I2607" s="1" t="n">
        <x:v>1</x:v>
      </x:c>
      <x:c r="J2607" s="1" t="n">
        <x:v>1</x:v>
      </x:c>
      <x:c r="K2607" s="1" t="str">
        <x:v>中证官方优先</x:v>
      </x:c>
    </x:row>
    <x:row r="2608" ht="25" customHeight="1">
      <x:c r="A2608" s="1" t="str">
        <x:v>sh000688</x:v>
      </x:c>
      <x:c r="B2608" s="1" t="str">
        <x:v>科创50</x:v>
      </x:c>
      <x:c r="C2608" s="1" t="str">
        <x:v>2025-11</x:v>
      </x:c>
      <x:c r="D2608" s="1" t="str">
        <x:v>2025-10-31</x:v>
      </x:c>
      <x:c r="E2608" s="5" t="n">
        <x:v>1415.53</x:v>
      </x:c>
      <x:c r="F2608" s="6" t="str">
        <x:v>2025-11-28</x:v>
      </x:c>
      <x:c r="G2608" s="5" t="n">
        <x:v>1327.15</x:v>
      </x:c>
      <x:c r="H2608" s="7" t="n">
        <x:f>G2608/E2608-1</x:f>
        <x:v>-0.0624359780435596</x:v>
      </x:c>
      <x:c r="I2608" s="1" t="n">
        <x:v>1</x:v>
      </x:c>
      <x:c r="J2608" s="1" t="n">
        <x:v>1</x:v>
      </x:c>
      <x:c r="K2608" s="1" t="str">
        <x:v>中证官方优先</x:v>
      </x:c>
    </x:row>
    <x:row r="2609" ht="25" customHeight="1">
      <x:c r="A2609" s="1" t="str">
        <x:v>sh000688</x:v>
      </x:c>
      <x:c r="B2609" s="1" t="str">
        <x:v>科创50</x:v>
      </x:c>
      <x:c r="C2609" s="1" t="str">
        <x:v>2025-12</x:v>
      </x:c>
      <x:c r="D2609" s="1" t="str">
        <x:v>2025-11-28</x:v>
      </x:c>
      <x:c r="E2609" s="5" t="n">
        <x:v>1327.15</x:v>
      </x:c>
      <x:c r="F2609" s="6" t="str">
        <x:v>2025-12-31</x:v>
      </x:c>
      <x:c r="G2609" s="5" t="n">
        <x:v>1344.2</x:v>
      </x:c>
      <x:c r="H2609" s="7" t="n">
        <x:f>G2609/E2609-1</x:f>
        <x:v>0.012847078325735506</x:v>
      </x:c>
      <x:c r="I2609" s="1" t="n">
        <x:v>1</x:v>
      </x:c>
      <x:c r="J2609" s="1" t="n">
        <x:v>1</x:v>
      </x:c>
      <x:c r="K2609" s="1" t="str">
        <x:v>中证官方优先</x:v>
      </x:c>
    </x:row>
    <x:row r="2610" ht="25" customHeight="1">
      <x:c r="A2610" s="1" t="str">
        <x:v>sh000688</x:v>
      </x:c>
      <x:c r="B2610" s="1" t="str">
        <x:v>科创50</x:v>
      </x:c>
      <x:c r="C2610" s="1" t="str">
        <x:v>2026-01</x:v>
      </x:c>
      <x:c r="D2610" s="1" t="str">
        <x:v>2025-12-31</x:v>
      </x:c>
      <x:c r="E2610" s="5" t="n">
        <x:v>1344.2</x:v>
      </x:c>
      <x:c r="F2610" s="6" t="str">
        <x:v>2026-01-30</x:v>
      </x:c>
      <x:c r="G2610" s="5" t="n">
        <x:v>1509.4</x:v>
      </x:c>
      <x:c r="H2610" s="7" t="n">
        <x:f>G2610/E2610-1</x:f>
        <x:v>0.12289837821752725</x:v>
      </x:c>
      <x:c r="I2610" s="1" t="n">
        <x:v>1</x:v>
      </x:c>
      <x:c r="J2610" s="1" t="n">
        <x:v>1</x:v>
      </x:c>
      <x:c r="K2610" s="1" t="str">
        <x:v>中证官方优先</x:v>
      </x:c>
    </x:row>
    <x:row r="2611" ht="25" customHeight="1">
      <x:c r="A2611" s="1" t="str">
        <x:v>sh000688</x:v>
      </x:c>
      <x:c r="B2611" s="1" t="str">
        <x:v>科创50</x:v>
      </x:c>
      <x:c r="C2611" s="1" t="str">
        <x:v>2026-02</x:v>
      </x:c>
      <x:c r="D2611" s="1" t="str">
        <x:v>2026-01-30</x:v>
      </x:c>
      <x:c r="E2611" s="5" t="n">
        <x:v>1509.4</x:v>
      </x:c>
      <x:c r="F2611" s="6" t="str">
        <x:v>2026-02-27</x:v>
      </x:c>
      <x:c r="G2611" s="5" t="n">
        <x:v>1488.02</x:v>
      </x:c>
      <x:c r="H2611" s="7" t="n">
        <x:f>G2611/E2611-1</x:f>
        <x:v>-0.014164568702795921</x:v>
      </x:c>
      <x:c r="I2611" s="1" t="n">
        <x:v>1</x:v>
      </x:c>
      <x:c r="J2611" s="1" t="n">
        <x:v>1</x:v>
      </x:c>
      <x:c r="K2611" s="1" t="str">
        <x:v>中证官方优先</x:v>
      </x:c>
    </x:row>
    <x:row r="2612" ht="25" customHeight="1">
      <x:c r="A2612" s="1" t="str">
        <x:v>sh000688</x:v>
      </x:c>
      <x:c r="B2612" s="1" t="str">
        <x:v>科创50</x:v>
      </x:c>
      <x:c r="C2612" s="1" t="str">
        <x:v>2026-03</x:v>
      </x:c>
      <x:c r="D2612" s="1" t="str">
        <x:v>2026-02-27</x:v>
      </x:c>
      <x:c r="E2612" s="5" t="n">
        <x:v>1488.02</x:v>
      </x:c>
      <x:c r="F2612" s="6" t="str">
        <x:v>2026-03-31</x:v>
      </x:c>
      <x:c r="G2612" s="5" t="n">
        <x:v>1256.33</x:v>
      </x:c>
      <x:c r="H2612" s="7" t="n">
        <x:f>G2612/E2612-1</x:f>
        <x:v>-0.15570355237160793</x:v>
      </x:c>
      <x:c r="I2612" s="1" t="n">
        <x:v>1</x:v>
      </x:c>
      <x:c r="J2612" s="1" t="n">
        <x:v>1</x:v>
      </x:c>
      <x:c r="K2612" s="1" t="str">
        <x:v>中证官方优先</x:v>
      </x:c>
    </x:row>
    <x:row r="2613" ht="25" customHeight="1">
      <x:c r="A2613" s="1" t="str">
        <x:v>sh000688</x:v>
      </x:c>
      <x:c r="B2613" s="1" t="str">
        <x:v>科创50</x:v>
      </x:c>
      <x:c r="C2613" s="1" t="str">
        <x:v>2026-04</x:v>
      </x:c>
      <x:c r="D2613" s="1" t="str">
        <x:v>2026-03-31</x:v>
      </x:c>
      <x:c r="E2613" s="5" t="n">
        <x:v>1256.33</x:v>
      </x:c>
      <x:c r="F2613" s="6" t="str">
        <x:v>2026-04-30</x:v>
      </x:c>
      <x:c r="G2613" s="5" t="n">
        <x:v>1571.07</x:v>
      </x:c>
      <x:c r="H2613" s="7" t="n">
        <x:f>G2613/E2613-1</x:f>
        <x:v>0.2505233497568313</x:v>
      </x:c>
      <x:c r="I2613" s="1" t="n">
        <x:v>1</x:v>
      </x:c>
      <x:c r="J2613" s="1" t="n">
        <x:v>1</x:v>
      </x:c>
      <x:c r="K2613" s="1" t="str">
        <x:v>中证官方优先</x:v>
      </x:c>
    </x:row>
    <x:row r="2614" ht="25" customHeight="1">
      <x:c r="A2614" s="1" t="str">
        <x:v>sh000688</x:v>
      </x:c>
      <x:c r="B2614" s="1" t="str">
        <x:v>科创50</x:v>
      </x:c>
      <x:c r="C2614" s="1" t="str">
        <x:v>2026-05</x:v>
      </x:c>
      <x:c r="D2614" s="1" t="str">
        <x:v>2026-04-30</x:v>
      </x:c>
      <x:c r="E2614" s="5" t="n">
        <x:v>1571.07</x:v>
      </x:c>
      <x:c r="F2614" s="6" t="str">
        <x:v>2026-05-29</x:v>
      </x:c>
      <x:c r="G2614" s="5" t="n">
        <x:v>1751.32</x:v>
      </x:c>
      <x:c r="H2614" s="7" t="n">
        <x:f>G2614/E2614-1</x:f>
        <x:v>0.11473072491995895</x:v>
      </x:c>
      <x:c r="I2614" s="1" t="n">
        <x:v>1</x:v>
      </x:c>
      <x:c r="J2614" s="1" t="n">
        <x:v>1</x:v>
      </x:c>
      <x:c r="K2614" s="1" t="str">
        <x:v>中证官方优先</x:v>
      </x:c>
    </x:row>
    <x:row r="2615" ht="25" customHeight="1">
      <x:c r="A2615" s="1" t="str">
        <x:v>sh000688</x:v>
      </x:c>
      <x:c r="B2615" s="1" t="str">
        <x:v>科创50</x:v>
      </x:c>
      <x:c r="C2615" s="1" t="str">
        <x:v>2026-06</x:v>
      </x:c>
      <x:c r="D2615" s="1" t="str">
        <x:v>2026-05-29</x:v>
      </x:c>
      <x:c r="E2615" s="5" t="n">
        <x:v>1751.32</x:v>
      </x:c>
      <x:c r="F2615" s="6" t="str">
        <x:v>2026-06-30</x:v>
      </x:c>
      <x:c r="G2615" s="5" t="n">
        <x:v>2207.86</x:v>
      </x:c>
      <x:c r="H2615" s="7" t="n">
        <x:f>G2615/E2615-1</x:f>
        <x:v>0.2606833702578628</x:v>
      </x:c>
      <x:c r="I2615" s="1" t="n">
        <x:v>1</x:v>
      </x:c>
      <x:c r="J2615" s="1" t="n">
        <x:v>1</x:v>
      </x:c>
      <x:c r="K2615" s="1" t="str">
        <x:v>中证官方优先</x:v>
      </x:c>
    </x:row>
    <x:row r="2616" ht="25" customHeight="1">
      <x:c r="A2616" s="1" t="str">
        <x:v>sh000688</x:v>
      </x:c>
      <x:c r="B2616" s="1" t="str">
        <x:v>科创50</x:v>
      </x:c>
      <x:c r="C2616" s="1" t="str">
        <x:v>2026-07</x:v>
      </x:c>
      <x:c r="D2616" s="1" t="str">
        <x:v>2026-06-30</x:v>
      </x:c>
      <x:c r="E2616" s="5" t="n">
        <x:v>2207.86</x:v>
      </x:c>
      <x:c r="F2616" s="6" t="str">
        <x:v>2026-07-31</x:v>
      </x:c>
      <x:c r="G2616" s="5" t="n">
        <x:v>1635.96</x:v>
      </x:c>
      <x:c r="H2616" s="7" t="n">
        <x:f>G2616/E2616-1</x:f>
        <x:v>-0.25902910510630206</x:v>
      </x:c>
      <x:c r="I2616" s="1" t="n">
        <x:v>1</x:v>
      </x:c>
      <x:c r="J2616" s="1" t="n">
        <x:v>1</x:v>
      </x:c>
      <x:c r="K2616" s="1" t="str">
        <x:v>中证官方优先</x:v>
      </x:c>
    </x:row>
    <x:row r="2617" ht="25" customHeight="1">
      <x:c r="A2617" s="1" t="str">
        <x:v>sh000688</x:v>
      </x:c>
      <x:c r="B2617" s="1" t="str">
        <x:v>科创50</x:v>
      </x:c>
      <x:c r="C2617" s="1" t="str">
        <x:v>2026-08</x:v>
      </x:c>
      <x:c r="D2617" s="1" t="str">
        <x:v>2026-07-31</x:v>
      </x:c>
      <x:c r="E2617" s="5" t="n">
        <x:v>1635.96</x:v>
      </x:c>
      <x:c r="F2617" s="6" t="str">
        <x:v>2026-08-31</x:v>
      </x:c>
      <x:c r="G2617" s="5" t="n">
        <x:v>1684.39</x:v>
      </x:c>
      <x:c r="H2617" s="7" t="n">
        <x:f>G2617/E2617-1</x:f>
        <x:v>0.02960341328638849</x:v>
      </x:c>
      <x:c r="I2617" s="1" t="n">
        <x:v>1</x:v>
      </x:c>
      <x:c r="J2617" s="1" t="n">
        <x:v>1</x:v>
      </x:c>
      <x:c r="K2617" s="1" t="str">
        <x:v>中证官方优先</x:v>
      </x:c>
    </x:row>
    <x:row r="2618" ht="25" customHeight="1">
      <x:c r="A2618" s="1" t="str">
        <x:v>sh000688</x:v>
      </x:c>
      <x:c r="B2618" s="1" t="str">
        <x:v>科创50</x:v>
      </x:c>
      <x:c r="C2618" s="1" t="str">
        <x:v>2026-09</x:v>
      </x:c>
      <x:c r="D2618" s="1" t="str">
        <x:v>2026-08-31</x:v>
      </x:c>
      <x:c r="E2618" s="5" t="n">
        <x:v>1684.39</x:v>
      </x:c>
      <x:c r="F2618" s="6" t="str">
        <x:v>2026-09-30</x:v>
      </x:c>
      <x:c r="G2618" s="5" t="n">
        <x:v>1530.01</x:v>
      </x:c>
      <x:c r="H2618" s="7" t="n">
        <x:f>G2618/E2618-1</x:f>
        <x:v>-0.0916533581890181</x:v>
      </x:c>
      <x:c r="I2618" s="1" t="n">
        <x:v>1</x:v>
      </x:c>
      <x:c r="J2618" s="1" t="n">
        <x:v>1</x:v>
      </x:c>
      <x:c r="K2618" s="1" t="str">
        <x:v>中证官方优先</x:v>
      </x:c>
    </x:row>
    <x:row r="2619" ht="25" customHeight="1">
      <x:c r="A2619" s="1" t="str">
        <x:v>sh000688</x:v>
      </x:c>
      <x:c r="B2619" s="1" t="str">
        <x:v>科创50</x:v>
      </x:c>
      <x:c r="C2619" s="1" t="str">
        <x:v>2026-10</x:v>
      </x:c>
      <x:c r="D2619" s="1" t="str">
        <x:v>2026-09-30</x:v>
      </x:c>
      <x:c r="E2619" s="5" t="n">
        <x:v>1530.01</x:v>
      </x:c>
      <x:c r="F2619" s="6" t="str">
        <x:v>2026-10-09</x:v>
      </x:c>
      <x:c r="G2619" s="5" t="n">
        <x:v>1457.27</x:v>
      </x:c>
      <x:c r="H2619" s="7" t="n">
        <x:f>G2619/E2619-1</x:f>
        <x:v>-0.04754217292697438</x:v>
      </x:c>
      <x:c r="I2619" s="1" t="n">
        <x:v>0</x:v>
      </x:c>
      <x:c r="J2619" s="1" t="n">
        <x:v>1</x:v>
      </x:c>
      <x:c r="K2619" s="1" t="str">
        <x:v>中证官方优先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5" customHeight="1">
      <x:c r="A1" s="10" t="str">
        <x:v>研究口径、数据与使用边界</x:v>
      </x:c>
      <x:c r="B1" s="10"/>
      <x:c r="C1" s="10"/>
      <x:c r="D1" s="10"/>
      <x:c r="E1" s="10"/>
      <x:c r="F1" s="10"/>
    </x:row>
    <x:row r="2" ht="25" customHeight="1">
      <x:c r="A2" s="1"/>
      <x:c r="B2" s="1"/>
      <x:c r="C2" s="1"/>
      <x:c r="D2" s="1"/>
      <x:c r="E2" s="1"/>
      <x:c r="F2" s="1"/>
    </x:row>
    <x:row r="3" ht="25" customHeight="1">
      <x:c r="A3" s="1"/>
      <x:c r="B3" s="1"/>
      <x:c r="C3" s="1"/>
      <x:c r="D3" s="1"/>
      <x:c r="E3" s="1"/>
      <x:c r="F3" s="1"/>
    </x:row>
    <x:row r="4" ht="25" customHeight="1">
      <x:c r="A4" s="1"/>
      <x:c r="B4" s="1"/>
      <x:c r="C4" s="1"/>
      <x:c r="D4" s="1"/>
      <x:c r="E4" s="1"/>
      <x:c r="F4" s="1"/>
    </x:row>
    <x:row r="5" ht="34" customHeight="1">
      <x:c r="A5" s="4" t="str">
        <x:v>指数</x:v>
      </x:c>
      <x:c r="B5" s="4" t="str">
        <x:v>全历史月收益起点</x:v>
      </x:c>
      <x:c r="C5" s="4" t="str">
        <x:v>发布后月收益起点</x:v>
      </x:c>
      <x:c r="D5" s="4" t="str">
        <x:v>发布日</x:v>
      </x:c>
      <x:c r="E5" s="4" t="str">
        <x:v>日行情截止</x:v>
      </x:c>
      <x:c r="F5" s="4" t="str">
        <x:v>日行情条数</x:v>
      </x:c>
    </x:row>
    <x:row r="6" ht="25" customHeight="1">
      <x:c r="A6" s="1" t="str">
        <x:v>上证综指</x:v>
      </x:c>
      <x:c r="B6" s="1" t="str">
        <x:v>1991-01</x:v>
      </x:c>
      <x:c r="C6" s="1" t="str">
        <x:v>1991-08</x:v>
      </x:c>
      <x:c r="D6" s="1" t="str">
        <x:v>1991-07-15</x:v>
      </x:c>
      <x:c r="E6" s="1" t="str">
        <x:v>2026-10-09</x:v>
      </x:c>
      <x:c r="F6" s="1" t="n">
        <x:v>8738</x:v>
      </x:c>
    </x:row>
    <x:row r="7" ht="25" customHeight="1">
      <x:c r="A7" s="1" t="str">
        <x:v>沪深300</x:v>
      </x:c>
      <x:c r="B7" s="1" t="str">
        <x:v>2005-01</x:v>
      </x:c>
      <x:c r="C7" s="1" t="str">
        <x:v>2005-05</x:v>
      </x:c>
      <x:c r="D7" s="1" t="str">
        <x:v>2005-04-08</x:v>
      </x:c>
      <x:c r="E7" s="1" t="str">
        <x:v>2026-10-09</x:v>
      </x:c>
      <x:c r="F7" s="1" t="n">
        <x:v>5284</x:v>
      </x:c>
    </x:row>
    <x:row r="8" ht="25" customHeight="1">
      <x:c r="A8" s="1" t="str">
        <x:v>中证500</x:v>
      </x:c>
      <x:c r="B8" s="1" t="str">
        <x:v>2005-01</x:v>
      </x:c>
      <x:c r="C8" s="1" t="str">
        <x:v>2007-02</x:v>
      </x:c>
      <x:c r="D8" s="1" t="str">
        <x:v>2007-01-15</x:v>
      </x:c>
      <x:c r="E8" s="1" t="str">
        <x:v>2026-10-09</x:v>
      </x:c>
      <x:c r="F8" s="1" t="n">
        <x:v>5284</x:v>
      </x:c>
    </x:row>
    <x:row r="9" ht="25" customHeight="1">
      <x:c r="A9" s="1" t="str">
        <x:v>中证1000</x:v>
      </x:c>
      <x:c r="B9" s="1" t="str">
        <x:v>2005-02</x:v>
      </x:c>
      <x:c r="C9" s="1" t="str">
        <x:v>2014-11</x:v>
      </x:c>
      <x:c r="D9" s="1" t="str">
        <x:v>2014-10-17</x:v>
      </x:c>
      <x:c r="E9" s="1" t="str">
        <x:v>2026-10-09</x:v>
      </x:c>
      <x:c r="F9" s="1" t="n">
        <x:v>5284</x:v>
      </x:c>
    </x:row>
    <x:row r="10" ht="25" customHeight="1">
      <x:c r="A10" s="1" t="str">
        <x:v>中证2000</x:v>
      </x:c>
      <x:c r="B10" s="1" t="str">
        <x:v>2014-01</x:v>
      </x:c>
      <x:c r="C10" s="1" t="str">
        <x:v>2023-09</x:v>
      </x:c>
      <x:c r="D10" s="1" t="str">
        <x:v>2023-08-11</x:v>
      </x:c>
      <x:c r="E10" s="1" t="str">
        <x:v>2026-10-09</x:v>
      </x:c>
      <x:c r="F10" s="1" t="n">
        <x:v>3102</x:v>
      </x:c>
    </x:row>
    <x:row r="11" ht="25" customHeight="1">
      <x:c r="A11" s="1" t="str">
        <x:v>上证50</x:v>
      </x:c>
      <x:c r="B11" s="1" t="str">
        <x:v>2004-01</x:v>
      </x:c>
      <x:c r="C11" s="1" t="str">
        <x:v>2004-01</x:v>
      </x:c>
      <x:c r="D11" s="1" t="str">
        <x:v>2004-01-02</x:v>
      </x:c>
      <x:c r="E11" s="1" t="str">
        <x:v>2026-10-09</x:v>
      </x:c>
      <x:c r="F11" s="1" t="n">
        <x:v>5527</x:v>
      </x:c>
    </x:row>
    <x:row r="12" ht="25" customHeight="1">
      <x:c r="A12" s="1" t="str">
        <x:v>深证成指</x:v>
      </x:c>
      <x:c r="B12" s="1" t="str">
        <x:v>1991-05</x:v>
      </x:c>
      <x:c r="C12" s="1" t="str">
        <x:v>1995-02</x:v>
      </x:c>
      <x:c r="D12" s="1" t="str">
        <x:v>1995-01-23</x:v>
      </x:c>
      <x:c r="E12" s="1" t="str">
        <x:v>2026-10-09</x:v>
      </x:c>
      <x:c r="F12" s="1" t="n">
        <x:v>8692</x:v>
      </x:c>
    </x:row>
    <x:row r="13" ht="25" customHeight="1">
      <x:c r="A13" s="1" t="str">
        <x:v>创业板指</x:v>
      </x:c>
      <x:c r="B13" s="1" t="str">
        <x:v>2010-07</x:v>
      </x:c>
      <x:c r="C13" s="1" t="str">
        <x:v>2010-07</x:v>
      </x:c>
      <x:c r="D13" s="1" t="str">
        <x:v>2010-06-01</x:v>
      </x:c>
      <x:c r="E13" s="1" t="str">
        <x:v>2026-10-09</x:v>
      </x:c>
      <x:c r="F13" s="1" t="n">
        <x:v>3970</x:v>
      </x:c>
    </x:row>
    <x:row r="14" ht="25" customHeight="1">
      <x:c r="A14" s="1" t="str">
        <x:v>中证红利</x:v>
      </x:c>
      <x:c r="B14" s="1" t="str">
        <x:v>2005-01</x:v>
      </x:c>
      <x:c r="C14" s="1" t="str">
        <x:v>2008-06</x:v>
      </x:c>
      <x:c r="D14" s="1" t="str">
        <x:v>2008-05-26</x:v>
      </x:c>
      <x:c r="E14" s="1" t="str">
        <x:v>2026-10-09</x:v>
      </x:c>
      <x:c r="F14" s="1" t="n">
        <x:v>5284</x:v>
      </x:c>
    </x:row>
    <x:row r="15" ht="25" customHeight="1">
      <x:c r="A15" s="1" t="str">
        <x:v>科创50</x:v>
      </x:c>
      <x:c r="B15" s="1" t="str">
        <x:v>2020-01</x:v>
      </x:c>
      <x:c r="C15" s="1" t="str">
        <x:v>2020-08</x:v>
      </x:c>
      <x:c r="D15" s="1" t="str">
        <x:v>2020-07-23</x:v>
      </x:c>
      <x:c r="E15" s="1" t="str">
        <x:v>2026-10-09</x:v>
      </x:c>
      <x:c r="F15" s="1" t="n">
        <x:v>1639</x:v>
      </x:c>
    </x:row>
    <x:row r="16" ht="25" customHeight="1">
      <x:c r="A16" s="1"/>
      <x:c r="B16" s="1"/>
      <x:c r="C16" s="1"/>
      <x:c r="D16" s="1"/>
      <x:c r="E16" s="1"/>
      <x:c r="F16" s="1"/>
    </x:row>
    <x:row r="17" ht="36" customHeight="1">
      <x:c r="A17" s="11" t="str">
        <x:v>价格指数不包含股息，成本默认0，不等同于可成交产品收益。</x:v>
      </x:c>
      <x:c r="B17" s="11"/>
      <x:c r="C17" s="11"/>
      <x:c r="D17" s="11"/>
      <x:c r="E17" s="11"/>
      <x:c r="F17" s="11"/>
    </x:row>
    <x:row r="18" ht="36" customHeight="1">
      <x:c r="A18" s="11" t="str">
        <x:v>回溯数据＝指数正式发布前按规则编制的历史，不能当成当时可交易收益。</x:v>
      </x:c>
      <x:c r="B18" s="11"/>
      <x:c r="C18" s="11"/>
      <x:c r="D18" s="11"/>
      <x:c r="E18" s="11"/>
      <x:c r="F18" s="11"/>
    </x:row>
    <x:row r="19" ht="36" customHeight="1">
      <x:c r="A19" s="11" t="str">
        <x:v>四档是包含关系：跌超25%也属于跌超20%、15%、10%。</x:v>
      </x:c>
      <x:c r="B19" s="11"/>
      <x:c r="C19" s="11"/>
      <x:c r="D19" s="11"/>
      <x:c r="E19" s="11"/>
      <x:c r="F19" s="11"/>
    </x:row>
    <x:row r="20" ht="36" customHeight="1">
      <x:c r="A20" s="11" t="str">
        <x:v>每次触发独立计算；同指数持有期可能重叠，跨指数同月冲击也可能重叠。</x:v>
      </x:c>
      <x:c r="B20" s="11"/>
      <x:c r="C20" s="11"/>
      <x:c r="D20" s="11"/>
      <x:c r="E20" s="11"/>
      <x:c r="F20" s="11"/>
    </x:row>
    <x:row r="21" ht="36" customHeight="1">
      <x:c r="A21" s="11" t="str">
        <x:v>最大回撤按买入开盘、每日收盘、卖出开盘的路径计算；日内低点另列。</x:v>
      </x:c>
      <x:c r="B21" s="11"/>
      <x:c r="C21" s="11"/>
      <x:c r="D21" s="11"/>
      <x:c r="E21" s="11"/>
      <x:c r="F21" s="11"/>
    </x:row>
    <x:row r="22" ht="36" customHeight="1">
      <x:c r="A22" s="11" t="str">
        <x:v>有效中证官方OHLC优先，其次搜狐、腾讯。保留原始响应和文件哈希。</x:v>
      </x:c>
      <x:c r="B22" s="11"/>
      <x:c r="C22" s="11"/>
      <x:c r="D22" s="11"/>
      <x:c r="E22" s="11"/>
      <x:c r="F22" s="11"/>
    </x:row>
    <x:row r="23" ht="36" customHeight="1">
      <x:c r="A23" s="11" t="str">
        <x:v>官方1990-12-01重复占位记录已排除；来源高低价错误优先由有效其他源修复。</x:v>
      </x:c>
      <x:c r="B23" s="11"/>
      <x:c r="C23" s="11"/>
      <x:c r="D23" s="11"/>
      <x:c r="E23" s="11"/>
      <x:c r="F23" s="11"/>
    </x:row>
    <x:row r="24" ht="36" customHeight="1">
      <x:c r="A24" s="11" t="str">
        <x:v>早期高低价仍无法修复的日线，保留开盘和收盘，日内最差收益留空。</x:v>
      </x:c>
      <x:c r="B24" s="11"/>
      <x:c r="C24" s="11"/>
      <x:c r="D24" s="11"/>
      <x:c r="E24" s="11"/>
      <x:c r="F24" s="11"/>
    </x:row>
  </x:sheetData>
  <x:mergeCells>
    <x:mergeCell ref="A1:F1"/>
    <x:mergeCell ref="A17:F17"/>
    <x:mergeCell ref="A18:F18"/>
    <x:mergeCell ref="A19:F19"/>
    <x:mergeCell ref="A20:F20"/>
    <x:mergeCell ref="A21:F21"/>
    <x:mergeCell ref="A22:F22"/>
    <x:mergeCell ref="A23:F23"/>
    <x:mergeCell ref="A24:F24"/>
  </x:mergeCells>
  <x:pageMargins left="0.7" right="0.7" top="0.75" bottom="0.75" header="0.3" footer="0.3"/>
</x:worksheet>
</file>